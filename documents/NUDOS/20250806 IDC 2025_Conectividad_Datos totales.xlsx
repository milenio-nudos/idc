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07\NUDOS\20250617 IDC 2025 - Conectividad\Entregas\v5_Conectividad 2025\Validación datos\NUDOS\"/>
    </mc:Choice>
  </mc:AlternateContent>
  <xr:revisionPtr revIDLastSave="0" documentId="13_ncr:1_{33C840D8-4282-45A6-AD03-78F797E305D9}" xr6:coauthVersionLast="47" xr6:coauthVersionMax="47" xr10:uidLastSave="{00000000-0000-0000-0000-000000000000}"/>
  <bookViews>
    <workbookView xWindow="-120" yWindow="-120" windowWidth="20730" windowHeight="11160" xr2:uid="{B2076931-9B54-4BCA-A2EE-2764C7DA5BBD}"/>
  </bookViews>
  <sheets>
    <sheet name="IDC_Conectividad" sheetId="14" r:id="rId1"/>
    <sheet name="IDC_Conectividad_Total" sheetId="4" r:id="rId2"/>
    <sheet name="Ajuste 2024" sheetId="10" state="hidden" r:id="rId3"/>
  </sheets>
  <definedNames>
    <definedName name="_xlnm._FilterDatabase" localSheetId="2" hidden="1">'Ajuste 2024'!$B$3:$O$348</definedName>
    <definedName name="_xlnm._FilterDatabase" localSheetId="0" hidden="1">IDC_Conectividad!$B$4:$AH$349</definedName>
    <definedName name="_xlnm._FilterDatabase" localSheetId="1" hidden="1">IDC_Conectividad_Total!$B$3:$BH$349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8" i="4" l="1"/>
  <c r="AH347" i="4"/>
  <c r="AH346" i="4"/>
  <c r="AH345" i="4"/>
  <c r="AH344" i="4"/>
  <c r="AH343" i="4"/>
  <c r="AH342" i="4"/>
  <c r="AH341" i="4"/>
  <c r="AH340" i="4"/>
  <c r="AH339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H309" i="4"/>
  <c r="AH308" i="4"/>
  <c r="AH307" i="4"/>
  <c r="AH306" i="4"/>
  <c r="AH305" i="4"/>
  <c r="AH304" i="4"/>
  <c r="AH303" i="4"/>
  <c r="AH302" i="4"/>
  <c r="AH301" i="4"/>
  <c r="AH300" i="4"/>
  <c r="AH299" i="4"/>
  <c r="AH298" i="4"/>
  <c r="AH297" i="4"/>
  <c r="AH296" i="4"/>
  <c r="AH295" i="4"/>
  <c r="AH294" i="4"/>
  <c r="AH293" i="4"/>
  <c r="AH292" i="4"/>
  <c r="AH291" i="4"/>
  <c r="AH290" i="4"/>
  <c r="AH289" i="4"/>
  <c r="AH288" i="4"/>
  <c r="AH287" i="4"/>
  <c r="AH286" i="4"/>
  <c r="AH285" i="4"/>
  <c r="AH284" i="4"/>
  <c r="AH283" i="4"/>
  <c r="AH282" i="4"/>
  <c r="AH281" i="4"/>
  <c r="AH280" i="4"/>
  <c r="AH279" i="4"/>
  <c r="AH278" i="4"/>
  <c r="AH277" i="4"/>
  <c r="AH276" i="4"/>
  <c r="AH275" i="4"/>
  <c r="AH274" i="4"/>
  <c r="AH273" i="4"/>
  <c r="AH272" i="4"/>
  <c r="AH271" i="4"/>
  <c r="AH270" i="4"/>
  <c r="AH269" i="4"/>
  <c r="AH268" i="4"/>
  <c r="AH267" i="4"/>
  <c r="AH266" i="4"/>
  <c r="AH265" i="4"/>
  <c r="AH264" i="4"/>
  <c r="AH263" i="4"/>
  <c r="AH262" i="4"/>
  <c r="AH261" i="4"/>
  <c r="AH260" i="4"/>
  <c r="AH259" i="4"/>
  <c r="AH258" i="4"/>
  <c r="AH257" i="4"/>
  <c r="AH256" i="4"/>
  <c r="AH255" i="4"/>
  <c r="AH254" i="4"/>
  <c r="AH253" i="4"/>
  <c r="AH252" i="4"/>
  <c r="AH251" i="4"/>
  <c r="AH250" i="4"/>
  <c r="AH249" i="4"/>
  <c r="AH248" i="4"/>
  <c r="AH247" i="4"/>
  <c r="AH246" i="4"/>
  <c r="AH245" i="4"/>
  <c r="AH244" i="4"/>
  <c r="AH243" i="4"/>
  <c r="AH242" i="4"/>
  <c r="AH241" i="4"/>
  <c r="AH240" i="4"/>
  <c r="AH239" i="4"/>
  <c r="AH238" i="4"/>
  <c r="AH237" i="4"/>
  <c r="AH236" i="4"/>
  <c r="AH235" i="4"/>
  <c r="AH234" i="4"/>
  <c r="AH233" i="4"/>
  <c r="AH232" i="4"/>
  <c r="AH231" i="4"/>
  <c r="AH230" i="4"/>
  <c r="AH229" i="4"/>
  <c r="AH228" i="4"/>
  <c r="AH227" i="4"/>
  <c r="AH226" i="4"/>
  <c r="AH225" i="4"/>
  <c r="AH224" i="4"/>
  <c r="AH223" i="4"/>
  <c r="AH222" i="4"/>
  <c r="AH221" i="4"/>
  <c r="AH220" i="4"/>
  <c r="AH219" i="4"/>
  <c r="AH218" i="4"/>
  <c r="AH217" i="4"/>
  <c r="AH216" i="4"/>
  <c r="AH215" i="4"/>
  <c r="AH214" i="4"/>
  <c r="AH213" i="4"/>
  <c r="AH212" i="4"/>
  <c r="AH211" i="4"/>
  <c r="AH210" i="4"/>
  <c r="AH209" i="4"/>
  <c r="AH208" i="4"/>
  <c r="AH207" i="4"/>
  <c r="AH206" i="4"/>
  <c r="AH205" i="4"/>
  <c r="AH204" i="4"/>
  <c r="AH203" i="4"/>
  <c r="AH202" i="4"/>
  <c r="AH201" i="4"/>
  <c r="AH200" i="4"/>
  <c r="AH199" i="4"/>
  <c r="AH198" i="4"/>
  <c r="AH197" i="4"/>
  <c r="AH196" i="4"/>
  <c r="AH195" i="4"/>
  <c r="AH194" i="4"/>
  <c r="AH193" i="4"/>
  <c r="AH192" i="4"/>
  <c r="AH191" i="4"/>
  <c r="AH190" i="4"/>
  <c r="AH189" i="4"/>
  <c r="AH188" i="4"/>
  <c r="AH187" i="4"/>
  <c r="AH186" i="4"/>
  <c r="AH185" i="4"/>
  <c r="AH184" i="4"/>
  <c r="AH183" i="4"/>
  <c r="AH182" i="4"/>
  <c r="AH181" i="4"/>
  <c r="AH180" i="4"/>
  <c r="AH179" i="4"/>
  <c r="AH178" i="4"/>
  <c r="AH177" i="4"/>
  <c r="AH176" i="4"/>
  <c r="AH175" i="4"/>
  <c r="AH174" i="4"/>
  <c r="AH173" i="4"/>
  <c r="AH172" i="4"/>
  <c r="AH171" i="4"/>
  <c r="AH170" i="4"/>
  <c r="AH169" i="4"/>
  <c r="AH168" i="4"/>
  <c r="AH167" i="4"/>
  <c r="AH166" i="4"/>
  <c r="AH165" i="4"/>
  <c r="AH164" i="4"/>
  <c r="AH163" i="4"/>
  <c r="AH162" i="4"/>
  <c r="AH161" i="4"/>
  <c r="AH160" i="4"/>
  <c r="AH159" i="4"/>
  <c r="AH158" i="4"/>
  <c r="AH157" i="4"/>
  <c r="AH156" i="4"/>
  <c r="AH155" i="4"/>
  <c r="AH154" i="4"/>
  <c r="AH153" i="4"/>
  <c r="AH152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H88" i="4"/>
  <c r="AH87" i="4"/>
  <c r="AH86" i="4"/>
  <c r="AH85" i="4"/>
  <c r="AH84" i="4"/>
  <c r="AH83" i="4"/>
  <c r="AH82" i="4"/>
  <c r="AH81" i="4"/>
  <c r="AH80" i="4"/>
  <c r="AH79" i="4"/>
  <c r="AH78" i="4"/>
  <c r="AH77" i="4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49" i="4"/>
  <c r="O197" i="10" l="1"/>
  <c r="O231" i="10"/>
  <c r="O337" i="10"/>
  <c r="O221" i="10"/>
  <c r="O40" i="10"/>
  <c r="O338" i="10"/>
  <c r="O92" i="10"/>
  <c r="O283" i="10"/>
  <c r="O242" i="10"/>
  <c r="O247" i="10"/>
  <c r="O264" i="10"/>
  <c r="O294" i="10"/>
  <c r="O266" i="10"/>
  <c r="O286" i="10"/>
  <c r="O287" i="10"/>
  <c r="O346" i="10"/>
  <c r="O118" i="10"/>
  <c r="O261" i="10"/>
  <c r="O268" i="10"/>
  <c r="O271" i="10"/>
  <c r="O113" i="10"/>
  <c r="O289" i="10"/>
  <c r="O345" i="10"/>
  <c r="O155" i="10"/>
  <c r="O220" i="10"/>
  <c r="O308" i="10"/>
  <c r="O330" i="10"/>
  <c r="O270" i="10"/>
  <c r="O203" i="10"/>
  <c r="O275" i="10"/>
  <c r="O343" i="10"/>
  <c r="O190" i="10"/>
  <c r="O319" i="10"/>
  <c r="O104" i="10"/>
  <c r="O249" i="10"/>
  <c r="O323" i="10"/>
  <c r="O329" i="10"/>
  <c r="O174" i="10"/>
  <c r="O306" i="10"/>
  <c r="O282" i="10"/>
  <c r="O314" i="10"/>
  <c r="O208" i="10"/>
  <c r="O269" i="10"/>
  <c r="O127" i="10"/>
  <c r="O278" i="10"/>
  <c r="O237" i="10"/>
  <c r="O243" i="10"/>
  <c r="O291" i="10"/>
  <c r="O157" i="10"/>
  <c r="O215" i="10"/>
  <c r="O334" i="10"/>
  <c r="O348" i="10"/>
  <c r="O233" i="10"/>
  <c r="O204" i="10"/>
  <c r="O4" i="10"/>
  <c r="O324" i="10"/>
  <c r="O100" i="10"/>
  <c r="O290" i="10"/>
  <c r="O321" i="10"/>
  <c r="O98" i="10"/>
  <c r="O167" i="10"/>
  <c r="O25" i="10"/>
  <c r="O178" i="10"/>
  <c r="O279" i="10"/>
  <c r="O173" i="10"/>
  <c r="O99" i="10"/>
  <c r="O274" i="10"/>
  <c r="O241" i="10"/>
  <c r="O277" i="10"/>
  <c r="O171" i="10"/>
  <c r="O259" i="10"/>
  <c r="O135" i="10"/>
  <c r="O6" i="10"/>
  <c r="O143" i="10"/>
  <c r="O53" i="10"/>
  <c r="O80" i="10"/>
  <c r="O125" i="10"/>
  <c r="O79" i="10"/>
  <c r="O116" i="10"/>
  <c r="O182" i="10"/>
  <c r="O27" i="10"/>
  <c r="O285" i="10"/>
  <c r="O91" i="10"/>
  <c r="O267" i="10"/>
  <c r="O226" i="10"/>
  <c r="O296" i="10"/>
  <c r="O77" i="10"/>
  <c r="O71" i="10"/>
  <c r="O232" i="10"/>
  <c r="O50" i="10"/>
  <c r="O256" i="10"/>
  <c r="O222" i="10"/>
  <c r="O81" i="10"/>
  <c r="O102" i="10"/>
  <c r="O45" i="10"/>
  <c r="O68" i="10"/>
  <c r="O96" i="10"/>
  <c r="O172" i="10"/>
  <c r="O228" i="10"/>
  <c r="O136" i="10"/>
  <c r="O188" i="10"/>
  <c r="O310" i="10"/>
  <c r="O175" i="10"/>
  <c r="O129" i="10"/>
  <c r="O153" i="10"/>
  <c r="O160" i="10"/>
  <c r="O159" i="10"/>
  <c r="O111" i="10"/>
  <c r="O168" i="10"/>
  <c r="O48" i="10"/>
  <c r="O240" i="10"/>
  <c r="O69" i="10"/>
  <c r="O62" i="10"/>
  <c r="O255" i="10"/>
  <c r="O115" i="10"/>
  <c r="O245" i="10"/>
  <c r="O184" i="10"/>
  <c r="O57" i="10"/>
  <c r="O84" i="10"/>
  <c r="O320" i="10"/>
  <c r="O32" i="10"/>
  <c r="O114" i="10"/>
  <c r="O156" i="10"/>
  <c r="O239" i="10"/>
  <c r="O217" i="10"/>
  <c r="O119" i="10"/>
  <c r="O126" i="10"/>
  <c r="O144" i="10"/>
  <c r="O13" i="10"/>
  <c r="O16" i="10"/>
  <c r="O161" i="10"/>
  <c r="O14" i="10"/>
  <c r="O207" i="10"/>
  <c r="O216" i="10"/>
  <c r="O130" i="10"/>
  <c r="O55" i="10"/>
  <c r="O101" i="10"/>
  <c r="O128" i="10"/>
  <c r="O26" i="10"/>
  <c r="O212" i="10"/>
  <c r="O146" i="10"/>
  <c r="O189" i="10"/>
  <c r="O43" i="10"/>
  <c r="O67" i="10"/>
  <c r="O292" i="10"/>
  <c r="O151" i="10"/>
  <c r="O219" i="10"/>
  <c r="O303" i="10"/>
  <c r="O12" i="10"/>
  <c r="O339" i="10"/>
  <c r="O169" i="10"/>
  <c r="O140" i="10"/>
  <c r="O179" i="10"/>
  <c r="O325" i="10"/>
  <c r="O7" i="10"/>
  <c r="O121" i="10"/>
  <c r="O304" i="10"/>
  <c r="O72" i="10"/>
  <c r="O236" i="10"/>
  <c r="O196" i="10"/>
  <c r="O311" i="10"/>
  <c r="O235" i="10"/>
  <c r="O248" i="10"/>
  <c r="O262" i="10"/>
  <c r="O194" i="10"/>
  <c r="O257" i="10"/>
  <c r="O223" i="10"/>
  <c r="O85" i="10"/>
  <c r="O281" i="10"/>
  <c r="O317" i="10"/>
  <c r="O206" i="10"/>
  <c r="O333" i="10"/>
  <c r="O322" i="10"/>
  <c r="O163" i="10"/>
  <c r="O192" i="10"/>
  <c r="O244" i="10"/>
  <c r="O23" i="10"/>
  <c r="O21" i="10"/>
  <c r="O166" i="10"/>
  <c r="O61" i="10"/>
  <c r="O28" i="10"/>
  <c r="O60" i="10"/>
  <c r="O141" i="10"/>
  <c r="O162" i="10"/>
  <c r="O90" i="10"/>
  <c r="O87" i="10"/>
  <c r="O170" i="10"/>
  <c r="O41" i="10"/>
  <c r="O176" i="10"/>
  <c r="O94" i="10"/>
  <c r="O19" i="10"/>
  <c r="O56" i="10"/>
  <c r="O34" i="10"/>
  <c r="O39" i="10"/>
  <c r="O187" i="10"/>
  <c r="O134" i="10"/>
  <c r="O131" i="10"/>
  <c r="O318" i="10"/>
  <c r="O154" i="10"/>
  <c r="O44" i="10"/>
  <c r="O74" i="10"/>
  <c r="O147" i="10"/>
  <c r="O76" i="10"/>
  <c r="O315" i="10"/>
  <c r="O58" i="10"/>
  <c r="O105" i="10"/>
  <c r="O124" i="10"/>
  <c r="O8" i="10"/>
  <c r="O117" i="10"/>
  <c r="O49" i="10"/>
  <c r="O152" i="10"/>
  <c r="O148" i="10"/>
  <c r="O42" i="10"/>
  <c r="O191" i="10"/>
  <c r="O33" i="10"/>
  <c r="O238" i="10"/>
  <c r="O138" i="10"/>
  <c r="O95" i="10"/>
  <c r="O123" i="10"/>
  <c r="O224" i="10"/>
  <c r="O202" i="10"/>
  <c r="O70" i="10"/>
  <c r="O52" i="10"/>
  <c r="O300" i="10"/>
  <c r="O30" i="10"/>
  <c r="O180" i="10"/>
  <c r="O75" i="10"/>
  <c r="O29" i="10"/>
  <c r="O234" i="10"/>
  <c r="O185" i="10"/>
  <c r="O150" i="10"/>
  <c r="O252" i="10"/>
  <c r="O133" i="10"/>
  <c r="O253" i="10"/>
  <c r="O309" i="10"/>
  <c r="O158" i="10"/>
  <c r="O36" i="10"/>
  <c r="O37" i="10"/>
  <c r="O288" i="10"/>
  <c r="O86" i="10"/>
  <c r="O108" i="10"/>
  <c r="O54" i="10"/>
  <c r="O11" i="10"/>
  <c r="O31" i="10"/>
  <c r="O149" i="10"/>
  <c r="O198" i="10"/>
  <c r="O122" i="10"/>
  <c r="O195" i="10"/>
  <c r="O47" i="10"/>
  <c r="O83" i="10"/>
  <c r="O305" i="10"/>
  <c r="O78" i="10"/>
  <c r="O97" i="10"/>
  <c r="O66" i="10"/>
  <c r="O93" i="10"/>
  <c r="O276" i="10"/>
  <c r="O213" i="10"/>
  <c r="O186" i="10"/>
  <c r="O209" i="10"/>
  <c r="O110" i="10"/>
  <c r="O107" i="10"/>
  <c r="O64" i="10"/>
  <c r="O327" i="10"/>
  <c r="O336" i="10"/>
  <c r="O316" i="10"/>
  <c r="O313" i="10"/>
  <c r="O331" i="10"/>
  <c r="O139" i="10"/>
  <c r="O260" i="10"/>
  <c r="O218" i="10"/>
  <c r="O273" i="10"/>
  <c r="O254" i="10"/>
  <c r="O265" i="10"/>
  <c r="O328" i="10"/>
  <c r="O295" i="10"/>
  <c r="O165" i="10"/>
  <c r="O332" i="10"/>
  <c r="O22" i="10"/>
  <c r="O246" i="10"/>
  <c r="O205" i="10"/>
  <c r="O229" i="10"/>
  <c r="O225" i="10"/>
  <c r="O326" i="10"/>
  <c r="O181" i="10"/>
  <c r="O272" i="10"/>
  <c r="O210" i="10"/>
  <c r="O301" i="10"/>
  <c r="O200" i="10"/>
  <c r="O307" i="10"/>
  <c r="O177" i="10"/>
  <c r="O341" i="10"/>
  <c r="O342" i="10"/>
  <c r="O344" i="10"/>
  <c r="O137" i="10"/>
  <c r="O201" i="10"/>
  <c r="O299" i="10"/>
  <c r="O227" i="10"/>
  <c r="O284" i="10"/>
  <c r="O132" i="10"/>
  <c r="O347" i="10"/>
  <c r="O112" i="10"/>
  <c r="O65" i="10"/>
  <c r="O5" i="10"/>
  <c r="O88" i="10"/>
  <c r="O10" i="10"/>
  <c r="O193" i="10"/>
  <c r="O59" i="10"/>
  <c r="O251" i="10"/>
  <c r="O312" i="10"/>
  <c r="O63" i="10"/>
  <c r="O164" i="10"/>
  <c r="O297" i="10"/>
  <c r="O109" i="10"/>
  <c r="O103" i="10"/>
  <c r="O145" i="10"/>
  <c r="O250" i="10"/>
  <c r="O106" i="10"/>
  <c r="O142" i="10"/>
  <c r="O17" i="10"/>
  <c r="O199" i="10"/>
  <c r="O280" i="10"/>
  <c r="O51" i="10"/>
  <c r="O230" i="10"/>
  <c r="O15" i="10"/>
  <c r="O263" i="10"/>
  <c r="O211" i="10"/>
  <c r="O335" i="10"/>
  <c r="O73" i="10"/>
  <c r="O89" i="10"/>
  <c r="O214" i="10"/>
  <c r="O46" i="10"/>
  <c r="O298" i="10"/>
  <c r="O302" i="10"/>
  <c r="O120" i="10"/>
  <c r="O20" i="10"/>
  <c r="O293" i="10"/>
  <c r="O18" i="10"/>
  <c r="O82" i="10"/>
  <c r="O9" i="10"/>
  <c r="O183" i="10"/>
  <c r="O24" i="10"/>
  <c r="O38" i="10"/>
  <c r="O35" i="10"/>
  <c r="O258" i="10"/>
  <c r="O340" i="10"/>
  <c r="R353" i="10"/>
  <c r="R352" i="10"/>
  <c r="R351" i="10"/>
  <c r="R17" i="10"/>
  <c r="R16" i="10"/>
  <c r="R15" i="10"/>
  <c r="W13" i="10"/>
  <c r="W12" i="10"/>
  <c r="W11" i="10"/>
  <c r="W10" i="10"/>
  <c r="W9" i="10"/>
  <c r="W8" i="10"/>
  <c r="W7" i="10"/>
  <c r="W6" i="10"/>
  <c r="W5" i="10"/>
  <c r="W4" i="10"/>
</calcChain>
</file>

<file path=xl/sharedStrings.xml><?xml version="1.0" encoding="utf-8"?>
<sst xmlns="http://schemas.openxmlformats.org/spreadsheetml/2006/main" count="4271" uniqueCount="803">
  <si>
    <t>Comuna</t>
  </si>
  <si>
    <t>Código Comuna</t>
  </si>
  <si>
    <t>Región</t>
  </si>
  <si>
    <t>Arica</t>
  </si>
  <si>
    <t>15101</t>
  </si>
  <si>
    <t>Camarones</t>
  </si>
  <si>
    <t>15102</t>
  </si>
  <si>
    <t>General Lagos</t>
  </si>
  <si>
    <t>15202</t>
  </si>
  <si>
    <t>Putre</t>
  </si>
  <si>
    <t>15201</t>
  </si>
  <si>
    <t>Alto Hospicio</t>
  </si>
  <si>
    <t>01107</t>
  </si>
  <si>
    <t>Tarapacá</t>
  </si>
  <si>
    <t>Camiña</t>
  </si>
  <si>
    <t>01402</t>
  </si>
  <si>
    <t>Colchane</t>
  </si>
  <si>
    <t>01403</t>
  </si>
  <si>
    <t>Huara</t>
  </si>
  <si>
    <t>01404</t>
  </si>
  <si>
    <t>Iquique</t>
  </si>
  <si>
    <t>01101</t>
  </si>
  <si>
    <t>Pica</t>
  </si>
  <si>
    <t>01405</t>
  </si>
  <si>
    <t>Pozo Almonte</t>
  </si>
  <si>
    <t>01401</t>
  </si>
  <si>
    <t>Antofagasta</t>
  </si>
  <si>
    <t>02101</t>
  </si>
  <si>
    <t>Calama</t>
  </si>
  <si>
    <t>02201</t>
  </si>
  <si>
    <t>María Elena</t>
  </si>
  <si>
    <t>02302</t>
  </si>
  <si>
    <t>Mejillones</t>
  </si>
  <si>
    <t>02102</t>
  </si>
  <si>
    <t>Ollagüe</t>
  </si>
  <si>
    <t>02202</t>
  </si>
  <si>
    <t>San Pedro de Atacama</t>
  </si>
  <si>
    <t>02203</t>
  </si>
  <si>
    <t>Sierra Gorda</t>
  </si>
  <si>
    <t>02103</t>
  </si>
  <si>
    <t>Taltal</t>
  </si>
  <si>
    <t>02104</t>
  </si>
  <si>
    <t>Tocopilla</t>
  </si>
  <si>
    <t>02301</t>
  </si>
  <si>
    <t>Alto Del Carmen</t>
  </si>
  <si>
    <t>03302</t>
  </si>
  <si>
    <t>Atacama</t>
  </si>
  <si>
    <t>Caldera</t>
  </si>
  <si>
    <t>03102</t>
  </si>
  <si>
    <t>Chañaral</t>
  </si>
  <si>
    <t>03201</t>
  </si>
  <si>
    <t>Copiapó</t>
  </si>
  <si>
    <t>03101</t>
  </si>
  <si>
    <t>Diego de Almagro</t>
  </si>
  <si>
    <t>03202</t>
  </si>
  <si>
    <t>Freirina</t>
  </si>
  <si>
    <t>03303</t>
  </si>
  <si>
    <t>Huasco</t>
  </si>
  <si>
    <t>03304</t>
  </si>
  <si>
    <t>Tierra Amarilla</t>
  </si>
  <si>
    <t>03103</t>
  </si>
  <si>
    <t>Vallenar</t>
  </si>
  <si>
    <t>03301</t>
  </si>
  <si>
    <t>Andacollo</t>
  </si>
  <si>
    <t>04103</t>
  </si>
  <si>
    <t>Coquimbo</t>
  </si>
  <si>
    <t>Canela</t>
  </si>
  <si>
    <t>04202</t>
  </si>
  <si>
    <t>Combarbalá</t>
  </si>
  <si>
    <t>04302</t>
  </si>
  <si>
    <t>04102</t>
  </si>
  <si>
    <t>Illapel</t>
  </si>
  <si>
    <t>04201</t>
  </si>
  <si>
    <t>La Higuera</t>
  </si>
  <si>
    <t>04104</t>
  </si>
  <si>
    <t>La Serena</t>
  </si>
  <si>
    <t>04101</t>
  </si>
  <si>
    <t>Los Vilos</t>
  </si>
  <si>
    <t>04203</t>
  </si>
  <si>
    <t>Monte Patria</t>
  </si>
  <si>
    <t>04303</t>
  </si>
  <si>
    <t>Ovalle</t>
  </si>
  <si>
    <t>04301</t>
  </si>
  <si>
    <t>Paihuano</t>
  </si>
  <si>
    <t>04105</t>
  </si>
  <si>
    <t>Punitaqui</t>
  </si>
  <si>
    <t>04304</t>
  </si>
  <si>
    <t>Río Hurtado</t>
  </si>
  <si>
    <t>04305</t>
  </si>
  <si>
    <t>Salamanca</t>
  </si>
  <si>
    <t>04204</t>
  </si>
  <si>
    <t>Vicuña</t>
  </si>
  <si>
    <t>04106</t>
  </si>
  <si>
    <t>Algarrobo</t>
  </si>
  <si>
    <t>05602</t>
  </si>
  <si>
    <t>Valparaíso</t>
  </si>
  <si>
    <t>Cabildo</t>
  </si>
  <si>
    <t>05402</t>
  </si>
  <si>
    <t>Calera</t>
  </si>
  <si>
    <t>05502</t>
  </si>
  <si>
    <t>Calle Larga</t>
  </si>
  <si>
    <t>05302</t>
  </si>
  <si>
    <t>Cartagena</t>
  </si>
  <si>
    <t>05603</t>
  </si>
  <si>
    <t>Casablanca</t>
  </si>
  <si>
    <t>05102</t>
  </si>
  <si>
    <t>Catemu</t>
  </si>
  <si>
    <t>05702</t>
  </si>
  <si>
    <t>Concón</t>
  </si>
  <si>
    <t>05103</t>
  </si>
  <si>
    <t>El Quisco</t>
  </si>
  <si>
    <t>05604</t>
  </si>
  <si>
    <t>El Tabo</t>
  </si>
  <si>
    <t>05605</t>
  </si>
  <si>
    <t>Hijuelas</t>
  </si>
  <si>
    <t>05503</t>
  </si>
  <si>
    <t>Isla de Pascua</t>
  </si>
  <si>
    <t>05201</t>
  </si>
  <si>
    <t>Juan Fernández</t>
  </si>
  <si>
    <t>05104</t>
  </si>
  <si>
    <t>La Cruz</t>
  </si>
  <si>
    <t>05504</t>
  </si>
  <si>
    <t>La Ligua</t>
  </si>
  <si>
    <t>05401</t>
  </si>
  <si>
    <t>Limache</t>
  </si>
  <si>
    <t>05802</t>
  </si>
  <si>
    <t>Llaillay</t>
  </si>
  <si>
    <t>05703</t>
  </si>
  <si>
    <t>Los Andes</t>
  </si>
  <si>
    <t>05301</t>
  </si>
  <si>
    <t>Nogales</t>
  </si>
  <si>
    <t>05506</t>
  </si>
  <si>
    <t>Olmué</t>
  </si>
  <si>
    <t>05803</t>
  </si>
  <si>
    <t>Panquehue</t>
  </si>
  <si>
    <t>05704</t>
  </si>
  <si>
    <t>Papudo</t>
  </si>
  <si>
    <t>05403</t>
  </si>
  <si>
    <t>Petorca</t>
  </si>
  <si>
    <t>05404</t>
  </si>
  <si>
    <t>Puchuncaví</t>
  </si>
  <si>
    <t>05105</t>
  </si>
  <si>
    <t>Putaendo</t>
  </si>
  <si>
    <t>05705</t>
  </si>
  <si>
    <t>Quillota</t>
  </si>
  <si>
    <t>05501</t>
  </si>
  <si>
    <t>Quilpué</t>
  </si>
  <si>
    <t>05801</t>
  </si>
  <si>
    <t>Quintero</t>
  </si>
  <si>
    <t>05107</t>
  </si>
  <si>
    <t>Rinconada</t>
  </si>
  <si>
    <t>05303</t>
  </si>
  <si>
    <t>San Antonio</t>
  </si>
  <si>
    <t>05601</t>
  </si>
  <si>
    <t>San Esteban</t>
  </si>
  <si>
    <t>05304</t>
  </si>
  <si>
    <t>San Felipe</t>
  </si>
  <si>
    <t>05701</t>
  </si>
  <si>
    <t>Santa María</t>
  </si>
  <si>
    <t>05706</t>
  </si>
  <si>
    <t>Santo Domingo</t>
  </si>
  <si>
    <t>05606</t>
  </si>
  <si>
    <t>05101</t>
  </si>
  <si>
    <t>Villa Alemana</t>
  </si>
  <si>
    <t>05804</t>
  </si>
  <si>
    <t>Viña del Mar</t>
  </si>
  <si>
    <t>05109</t>
  </si>
  <si>
    <t>Zapallar</t>
  </si>
  <si>
    <t>05405</t>
  </si>
  <si>
    <t>Chépica</t>
  </si>
  <si>
    <t>06302</t>
  </si>
  <si>
    <t>O'Higgins</t>
  </si>
  <si>
    <t>Chimbarongo</t>
  </si>
  <si>
    <t>06303</t>
  </si>
  <si>
    <t>Codegua</t>
  </si>
  <si>
    <t>06102</t>
  </si>
  <si>
    <t>Coinco</t>
  </si>
  <si>
    <t>06103</t>
  </si>
  <si>
    <t>Coltauco</t>
  </si>
  <si>
    <t>06104</t>
  </si>
  <si>
    <t>Doñihue</t>
  </si>
  <si>
    <t>06105</t>
  </si>
  <si>
    <t>Graneros</t>
  </si>
  <si>
    <t>06106</t>
  </si>
  <si>
    <t>La Estrella</t>
  </si>
  <si>
    <t>06202</t>
  </si>
  <si>
    <t>Las Cabras</t>
  </si>
  <si>
    <t>06107</t>
  </si>
  <si>
    <t>Litueche</t>
  </si>
  <si>
    <t>06203</t>
  </si>
  <si>
    <t>Lolol</t>
  </si>
  <si>
    <t>06304</t>
  </si>
  <si>
    <t>Machalí</t>
  </si>
  <si>
    <t>06108</t>
  </si>
  <si>
    <t>Malloa</t>
  </si>
  <si>
    <t>06109</t>
  </si>
  <si>
    <t>Marchihue</t>
  </si>
  <si>
    <t>06204</t>
  </si>
  <si>
    <t>Mostazal</t>
  </si>
  <si>
    <t>06110</t>
  </si>
  <si>
    <t>Nancagua</t>
  </si>
  <si>
    <t>06305</t>
  </si>
  <si>
    <t>Navidad</t>
  </si>
  <si>
    <t>06205</t>
  </si>
  <si>
    <t>Olivar</t>
  </si>
  <si>
    <t>06111</t>
  </si>
  <si>
    <t>Palmilla</t>
  </si>
  <si>
    <t>06306</t>
  </si>
  <si>
    <t>Paredones</t>
  </si>
  <si>
    <t>06206</t>
  </si>
  <si>
    <t>Peralillo</t>
  </si>
  <si>
    <t>06307</t>
  </si>
  <si>
    <t>Peumo</t>
  </si>
  <si>
    <t>06112</t>
  </si>
  <si>
    <t>Pichidegua</t>
  </si>
  <si>
    <t>06113</t>
  </si>
  <si>
    <t>Pichilemu</t>
  </si>
  <si>
    <t>06201</t>
  </si>
  <si>
    <t>Placilla</t>
  </si>
  <si>
    <t>06308</t>
  </si>
  <si>
    <t>Pumanque</t>
  </si>
  <si>
    <t>06309</t>
  </si>
  <si>
    <t>Quinta de Tilcoco</t>
  </si>
  <si>
    <t>06114</t>
  </si>
  <si>
    <t>Rancagua</t>
  </si>
  <si>
    <t>06101</t>
  </si>
  <si>
    <t>Rengo</t>
  </si>
  <si>
    <t>06115</t>
  </si>
  <si>
    <t>Requinoa</t>
  </si>
  <si>
    <t>06116</t>
  </si>
  <si>
    <t>San Fernando</t>
  </si>
  <si>
    <t>06301</t>
  </si>
  <si>
    <t>San Vicente</t>
  </si>
  <si>
    <t>06117</t>
  </si>
  <si>
    <t>Santa Cruz</t>
  </si>
  <si>
    <t>06310</t>
  </si>
  <si>
    <t>Cauquenes</t>
  </si>
  <si>
    <t>07201</t>
  </si>
  <si>
    <t>Maule</t>
  </si>
  <si>
    <t>Chanco</t>
  </si>
  <si>
    <t>07202</t>
  </si>
  <si>
    <t>Colbún</t>
  </si>
  <si>
    <t>07402</t>
  </si>
  <si>
    <t>Constitución</t>
  </si>
  <si>
    <t>07102</t>
  </si>
  <si>
    <t>Curepto</t>
  </si>
  <si>
    <t>07103</t>
  </si>
  <si>
    <t>Curicó</t>
  </si>
  <si>
    <t>07301</t>
  </si>
  <si>
    <t>Empedrado</t>
  </si>
  <si>
    <t>07104</t>
  </si>
  <si>
    <t>Hualañé</t>
  </si>
  <si>
    <t>07302</t>
  </si>
  <si>
    <t>Licantén</t>
  </si>
  <si>
    <t>07303</t>
  </si>
  <si>
    <t>Linares</t>
  </si>
  <si>
    <t>07401</t>
  </si>
  <si>
    <t>Longaví</t>
  </si>
  <si>
    <t>07403</t>
  </si>
  <si>
    <t>07105</t>
  </si>
  <si>
    <t>Molina</t>
  </si>
  <si>
    <t>07304</t>
  </si>
  <si>
    <t>Parral</t>
  </si>
  <si>
    <t>07404</t>
  </si>
  <si>
    <t>Pelarco</t>
  </si>
  <si>
    <t>07106</t>
  </si>
  <si>
    <t>Pelluhue</t>
  </si>
  <si>
    <t>07203</t>
  </si>
  <si>
    <t>Pencahue</t>
  </si>
  <si>
    <t>07107</t>
  </si>
  <si>
    <t>Rauco</t>
  </si>
  <si>
    <t>07305</t>
  </si>
  <si>
    <t>Retiro</t>
  </si>
  <si>
    <t>07405</t>
  </si>
  <si>
    <t>Río Claro</t>
  </si>
  <si>
    <t>07108</t>
  </si>
  <si>
    <t>Romeral</t>
  </si>
  <si>
    <t>07306</t>
  </si>
  <si>
    <t>Sagrada Familia</t>
  </si>
  <si>
    <t>07307</t>
  </si>
  <si>
    <t>San Clemente</t>
  </si>
  <si>
    <t>07109</t>
  </si>
  <si>
    <t>San Javier</t>
  </si>
  <si>
    <t>07406</t>
  </si>
  <si>
    <t>San Rafael</t>
  </si>
  <si>
    <t>07110</t>
  </si>
  <si>
    <t>Talca</t>
  </si>
  <si>
    <t>07101</t>
  </si>
  <si>
    <t>Teno</t>
  </si>
  <si>
    <t>07308</t>
  </si>
  <si>
    <t>Vichuquén</t>
  </si>
  <si>
    <t>07309</t>
  </si>
  <si>
    <t>Villa Alegre</t>
  </si>
  <si>
    <t>07407</t>
  </si>
  <si>
    <t>Yerbas Buenas</t>
  </si>
  <si>
    <t>07408</t>
  </si>
  <si>
    <t>Bulnes</t>
  </si>
  <si>
    <t>16102</t>
  </si>
  <si>
    <t>Ñuble</t>
  </si>
  <si>
    <t>Chillán</t>
  </si>
  <si>
    <t>16101</t>
  </si>
  <si>
    <t>Chillán Viejo</t>
  </si>
  <si>
    <t>16103</t>
  </si>
  <si>
    <t>Cobquecura</t>
  </si>
  <si>
    <t>16202</t>
  </si>
  <si>
    <t>Coelemu</t>
  </si>
  <si>
    <t>16203</t>
  </si>
  <si>
    <t>Coihueco</t>
  </si>
  <si>
    <t>16302</t>
  </si>
  <si>
    <t>El Carmen</t>
  </si>
  <si>
    <t>16104</t>
  </si>
  <si>
    <t>Ninhue</t>
  </si>
  <si>
    <t>16204</t>
  </si>
  <si>
    <t>Ñiquén</t>
  </si>
  <si>
    <t>16303</t>
  </si>
  <si>
    <t>Pemuco</t>
  </si>
  <si>
    <t>16105</t>
  </si>
  <si>
    <t>Pinto</t>
  </si>
  <si>
    <t>16106</t>
  </si>
  <si>
    <t>Portezuelo</t>
  </si>
  <si>
    <t>16205</t>
  </si>
  <si>
    <t>Quillón</t>
  </si>
  <si>
    <t>16107</t>
  </si>
  <si>
    <t>Quirihue</t>
  </si>
  <si>
    <t>16201</t>
  </si>
  <si>
    <t>Ranquil</t>
  </si>
  <si>
    <t>16206</t>
  </si>
  <si>
    <t>San Carlos</t>
  </si>
  <si>
    <t>16301</t>
  </si>
  <si>
    <t>San Fabián</t>
  </si>
  <si>
    <t>16304</t>
  </si>
  <si>
    <t>San Ignacio</t>
  </si>
  <si>
    <t>16108</t>
  </si>
  <si>
    <t>San Nicolás</t>
  </si>
  <si>
    <t>16305</t>
  </si>
  <si>
    <t>Treguaco</t>
  </si>
  <si>
    <t>16207</t>
  </si>
  <si>
    <t>Yungay</t>
  </si>
  <si>
    <t>16109</t>
  </si>
  <si>
    <t>Alto Biobío</t>
  </si>
  <si>
    <t>08314</t>
  </si>
  <si>
    <t>Biobío</t>
  </si>
  <si>
    <t>Antuco</t>
  </si>
  <si>
    <t>08302</t>
  </si>
  <si>
    <t>Arauco</t>
  </si>
  <si>
    <t>08202</t>
  </si>
  <si>
    <t>Cabrero</t>
  </si>
  <si>
    <t>08303</t>
  </si>
  <si>
    <t>Cañete</t>
  </si>
  <si>
    <t>08203</t>
  </si>
  <si>
    <t>Chiguayante</t>
  </si>
  <si>
    <t>08103</t>
  </si>
  <si>
    <t>Concepción</t>
  </si>
  <si>
    <t>08101</t>
  </si>
  <si>
    <t>Contulmo</t>
  </si>
  <si>
    <t>08204</t>
  </si>
  <si>
    <t>Coronel</t>
  </si>
  <si>
    <t>08102</t>
  </si>
  <si>
    <t>Curanilahue</t>
  </si>
  <si>
    <t>08205</t>
  </si>
  <si>
    <t>Florida</t>
  </si>
  <si>
    <t>08104</t>
  </si>
  <si>
    <t>Hualpén</t>
  </si>
  <si>
    <t>08112</t>
  </si>
  <si>
    <t>Hualqui</t>
  </si>
  <si>
    <t>08105</t>
  </si>
  <si>
    <t>Laja</t>
  </si>
  <si>
    <t>08304</t>
  </si>
  <si>
    <t>Lebu</t>
  </si>
  <si>
    <t>08201</t>
  </si>
  <si>
    <t>Los Alamos</t>
  </si>
  <si>
    <t>08206</t>
  </si>
  <si>
    <t>Los Angeles</t>
  </si>
  <si>
    <t>08301</t>
  </si>
  <si>
    <t>Lota</t>
  </si>
  <si>
    <t>08106</t>
  </si>
  <si>
    <t>Mulchén</t>
  </si>
  <si>
    <t>08305</t>
  </si>
  <si>
    <t>Nacimiento</t>
  </si>
  <si>
    <t>08306</t>
  </si>
  <si>
    <t>Negrete</t>
  </si>
  <si>
    <t>08307</t>
  </si>
  <si>
    <t>Penco</t>
  </si>
  <si>
    <t>08107</t>
  </si>
  <si>
    <t>Quilaco</t>
  </si>
  <si>
    <t>08308</t>
  </si>
  <si>
    <t>Quilleco</t>
  </si>
  <si>
    <t>08309</t>
  </si>
  <si>
    <t>San Pedro de la Paz</t>
  </si>
  <si>
    <t>08108</t>
  </si>
  <si>
    <t>San Rosendo</t>
  </si>
  <si>
    <t>08310</t>
  </si>
  <si>
    <t>Santa Bárbara</t>
  </si>
  <si>
    <t>08311</t>
  </si>
  <si>
    <t>Santa Juana</t>
  </si>
  <si>
    <t>08109</t>
  </si>
  <si>
    <t>Talcahuano</t>
  </si>
  <si>
    <t>08110</t>
  </si>
  <si>
    <t>Tirúa</t>
  </si>
  <si>
    <t>08207</t>
  </si>
  <si>
    <t>Tomé</t>
  </si>
  <si>
    <t>08111</t>
  </si>
  <si>
    <t>Tucapel</t>
  </si>
  <si>
    <t>08312</t>
  </si>
  <si>
    <t>Yumbel</t>
  </si>
  <si>
    <t>08313</t>
  </si>
  <si>
    <t>Angol</t>
  </si>
  <si>
    <t>09201</t>
  </si>
  <si>
    <t>La Araucanía</t>
  </si>
  <si>
    <t>Carahue</t>
  </si>
  <si>
    <t>09102</t>
  </si>
  <si>
    <t>Cholchol</t>
  </si>
  <si>
    <t>09121</t>
  </si>
  <si>
    <t>Collipulli</t>
  </si>
  <si>
    <t>09202</t>
  </si>
  <si>
    <t>Cunco</t>
  </si>
  <si>
    <t>09103</t>
  </si>
  <si>
    <t>Curacautín</t>
  </si>
  <si>
    <t>09203</t>
  </si>
  <si>
    <t>Curarrehue</t>
  </si>
  <si>
    <t>09104</t>
  </si>
  <si>
    <t>Ercilla</t>
  </si>
  <si>
    <t>09204</t>
  </si>
  <si>
    <t>Freire</t>
  </si>
  <si>
    <t>09105</t>
  </si>
  <si>
    <t>Galvarino</t>
  </si>
  <si>
    <t>09106</t>
  </si>
  <si>
    <t>Gorbea</t>
  </si>
  <si>
    <t>09107</t>
  </si>
  <si>
    <t>Lautaro</t>
  </si>
  <si>
    <t>09108</t>
  </si>
  <si>
    <t>Loncoche</t>
  </si>
  <si>
    <t>09109</t>
  </si>
  <si>
    <t>Lonquimay</t>
  </si>
  <si>
    <t>09205</t>
  </si>
  <si>
    <t>Los Sauces</t>
  </si>
  <si>
    <t>09206</t>
  </si>
  <si>
    <t>Lumaco</t>
  </si>
  <si>
    <t>09207</t>
  </si>
  <si>
    <t>Melipeuco</t>
  </si>
  <si>
    <t>09110</t>
  </si>
  <si>
    <t>Nueva Imperial</t>
  </si>
  <si>
    <t>09111</t>
  </si>
  <si>
    <t>Padre Las Casas</t>
  </si>
  <si>
    <t>09112</t>
  </si>
  <si>
    <t>Perquenco</t>
  </si>
  <si>
    <t>09113</t>
  </si>
  <si>
    <t>Pitrufquén</t>
  </si>
  <si>
    <t>09114</t>
  </si>
  <si>
    <t>Pucón</t>
  </si>
  <si>
    <t>09115</t>
  </si>
  <si>
    <t>Purén</t>
  </si>
  <si>
    <t>09208</t>
  </si>
  <si>
    <t>Renaico</t>
  </si>
  <si>
    <t>09209</t>
  </si>
  <si>
    <t>Saavedra</t>
  </si>
  <si>
    <t>09116</t>
  </si>
  <si>
    <t>Temuco</t>
  </si>
  <si>
    <t>09101</t>
  </si>
  <si>
    <t>Teodoro Schmidt</t>
  </si>
  <si>
    <t>09117</t>
  </si>
  <si>
    <t>Toltén</t>
  </si>
  <si>
    <t>09118</t>
  </si>
  <si>
    <t>Traiguén</t>
  </si>
  <si>
    <t>09210</t>
  </si>
  <si>
    <t>Victoria</t>
  </si>
  <si>
    <t>09211</t>
  </si>
  <si>
    <t>Vilcún</t>
  </si>
  <si>
    <t>09119</t>
  </si>
  <si>
    <t>Villarrica</t>
  </si>
  <si>
    <t>09120</t>
  </si>
  <si>
    <t>Corral</t>
  </si>
  <si>
    <t>14102</t>
  </si>
  <si>
    <t>Los Ríos</t>
  </si>
  <si>
    <t>Futrono</t>
  </si>
  <si>
    <t>14202</t>
  </si>
  <si>
    <t>La Unión</t>
  </si>
  <si>
    <t>14201</t>
  </si>
  <si>
    <t>Lago Ranco</t>
  </si>
  <si>
    <t>14203</t>
  </si>
  <si>
    <t>Lanco</t>
  </si>
  <si>
    <t>14103</t>
  </si>
  <si>
    <t>Los Lagos</t>
  </si>
  <si>
    <t>14104</t>
  </si>
  <si>
    <t>Mafil</t>
  </si>
  <si>
    <t>14105</t>
  </si>
  <si>
    <t>Mariquina</t>
  </si>
  <si>
    <t>14106</t>
  </si>
  <si>
    <t>Paillaco</t>
  </si>
  <si>
    <t>14107</t>
  </si>
  <si>
    <t>Panguipulli</t>
  </si>
  <si>
    <t>14108</t>
  </si>
  <si>
    <t>Río Bueno</t>
  </si>
  <si>
    <t>14204</t>
  </si>
  <si>
    <t>Valdivia</t>
  </si>
  <si>
    <t>14101</t>
  </si>
  <si>
    <t>Ancud</t>
  </si>
  <si>
    <t>10202</t>
  </si>
  <si>
    <t>Calbuco</t>
  </si>
  <si>
    <t>10102</t>
  </si>
  <si>
    <t>Castro</t>
  </si>
  <si>
    <t>10201</t>
  </si>
  <si>
    <t>Chaitén</t>
  </si>
  <si>
    <t>10401</t>
  </si>
  <si>
    <t>Chonchi</t>
  </si>
  <si>
    <t>10203</t>
  </si>
  <si>
    <t>Cochamó</t>
  </si>
  <si>
    <t>10103</t>
  </si>
  <si>
    <t>Curaco de Vélez</t>
  </si>
  <si>
    <t>10204</t>
  </si>
  <si>
    <t>Dalcahue</t>
  </si>
  <si>
    <t>10205</t>
  </si>
  <si>
    <t>Fresia</t>
  </si>
  <si>
    <t>10104</t>
  </si>
  <si>
    <t>Frutillar</t>
  </si>
  <si>
    <t>10105</t>
  </si>
  <si>
    <t>Futaleufú</t>
  </si>
  <si>
    <t>10402</t>
  </si>
  <si>
    <t>Hualaihue</t>
  </si>
  <si>
    <t>10403</t>
  </si>
  <si>
    <t>Llanquihue</t>
  </si>
  <si>
    <t>10107</t>
  </si>
  <si>
    <t>Los Muermos</t>
  </si>
  <si>
    <t>10106</t>
  </si>
  <si>
    <t>Maullín</t>
  </si>
  <si>
    <t>10108</t>
  </si>
  <si>
    <t>Osorno</t>
  </si>
  <si>
    <t>10301</t>
  </si>
  <si>
    <t>Palena</t>
  </si>
  <si>
    <t>10404</t>
  </si>
  <si>
    <t>Puerto Montt</t>
  </si>
  <si>
    <t>10101</t>
  </si>
  <si>
    <t>Puerto Octay</t>
  </si>
  <si>
    <t>10302</t>
  </si>
  <si>
    <t>Puerto Varas</t>
  </si>
  <si>
    <t>10109</t>
  </si>
  <si>
    <t>Puqueldón</t>
  </si>
  <si>
    <t>10206</t>
  </si>
  <si>
    <t>Purranque</t>
  </si>
  <si>
    <t>10303</t>
  </si>
  <si>
    <t>Puyehue</t>
  </si>
  <si>
    <t>10304</t>
  </si>
  <si>
    <t>Queilén</t>
  </si>
  <si>
    <t>10207</t>
  </si>
  <si>
    <t>Quellón</t>
  </si>
  <si>
    <t>10208</t>
  </si>
  <si>
    <t>Quemchi</t>
  </si>
  <si>
    <t>10209</t>
  </si>
  <si>
    <t>Quinchao</t>
  </si>
  <si>
    <t>10210</t>
  </si>
  <si>
    <t>Río Negro</t>
  </si>
  <si>
    <t>10305</t>
  </si>
  <si>
    <t>San Juan de la Costa</t>
  </si>
  <si>
    <t>10306</t>
  </si>
  <si>
    <t>San Pablo</t>
  </si>
  <si>
    <t>10307</t>
  </si>
  <si>
    <t>Aisén</t>
  </si>
  <si>
    <t>11201</t>
  </si>
  <si>
    <t>Chile Chico</t>
  </si>
  <si>
    <t>11401</t>
  </si>
  <si>
    <t>Cisnes</t>
  </si>
  <si>
    <t>11202</t>
  </si>
  <si>
    <t>Cochrane</t>
  </si>
  <si>
    <t>11301</t>
  </si>
  <si>
    <t>Coyhaique</t>
  </si>
  <si>
    <t>11101</t>
  </si>
  <si>
    <t>Guaitecas</t>
  </si>
  <si>
    <t>11203</t>
  </si>
  <si>
    <t>Lago Verde</t>
  </si>
  <si>
    <t>11102</t>
  </si>
  <si>
    <t>11302</t>
  </si>
  <si>
    <t>Río Ibáñez</t>
  </si>
  <si>
    <t>11402</t>
  </si>
  <si>
    <t>Tortel</t>
  </si>
  <si>
    <t>11303</t>
  </si>
  <si>
    <t>Cabo de Hornos</t>
  </si>
  <si>
    <t>12201</t>
  </si>
  <si>
    <t>Laguna Blanca</t>
  </si>
  <si>
    <t>12102</t>
  </si>
  <si>
    <t>Natales</t>
  </si>
  <si>
    <t>12401</t>
  </si>
  <si>
    <t>Porvenir</t>
  </si>
  <si>
    <t>12301</t>
  </si>
  <si>
    <t>Primavera</t>
  </si>
  <si>
    <t>12302</t>
  </si>
  <si>
    <t>Punta Arenas</t>
  </si>
  <si>
    <t>12101</t>
  </si>
  <si>
    <t>Río Verde</t>
  </si>
  <si>
    <t>12103</t>
  </si>
  <si>
    <t>San Gregorio</t>
  </si>
  <si>
    <t>12104</t>
  </si>
  <si>
    <t>Timaukel</t>
  </si>
  <si>
    <t>12303</t>
  </si>
  <si>
    <t>Torres del Paine</t>
  </si>
  <si>
    <t>12402</t>
  </si>
  <si>
    <t>Alhué</t>
  </si>
  <si>
    <t>13502</t>
  </si>
  <si>
    <t>Buin</t>
  </si>
  <si>
    <t>13402</t>
  </si>
  <si>
    <t>Calera de Tango</t>
  </si>
  <si>
    <t>13403</t>
  </si>
  <si>
    <t>Cerrillos</t>
  </si>
  <si>
    <t>13102</t>
  </si>
  <si>
    <t>Cerro Navia</t>
  </si>
  <si>
    <t>13103</t>
  </si>
  <si>
    <t>Colina</t>
  </si>
  <si>
    <t>13301</t>
  </si>
  <si>
    <t>Conchalí</t>
  </si>
  <si>
    <t>13104</t>
  </si>
  <si>
    <t>Curacaví</t>
  </si>
  <si>
    <t>13503</t>
  </si>
  <si>
    <t>El Bosque</t>
  </si>
  <si>
    <t>13105</t>
  </si>
  <si>
    <t>El Monte</t>
  </si>
  <si>
    <t>13602</t>
  </si>
  <si>
    <t>Estación Central</t>
  </si>
  <si>
    <t>13106</t>
  </si>
  <si>
    <t>Huechuraba</t>
  </si>
  <si>
    <t>13107</t>
  </si>
  <si>
    <t>Independencia</t>
  </si>
  <si>
    <t>13108</t>
  </si>
  <si>
    <t>Isla de Maipo</t>
  </si>
  <si>
    <t>13603</t>
  </si>
  <si>
    <t>La Cisterna</t>
  </si>
  <si>
    <t>13109</t>
  </si>
  <si>
    <t>La Florida</t>
  </si>
  <si>
    <t>13110</t>
  </si>
  <si>
    <t>La Granja</t>
  </si>
  <si>
    <t>13111</t>
  </si>
  <si>
    <t>La Pintana</t>
  </si>
  <si>
    <t>13112</t>
  </si>
  <si>
    <t>La Reina</t>
  </si>
  <si>
    <t>13113</t>
  </si>
  <si>
    <t>Lampa</t>
  </si>
  <si>
    <t>13302</t>
  </si>
  <si>
    <t>Las Condes</t>
  </si>
  <si>
    <t>13114</t>
  </si>
  <si>
    <t>Lo Barnechea</t>
  </si>
  <si>
    <t>13115</t>
  </si>
  <si>
    <t>Lo Espejo</t>
  </si>
  <si>
    <t>13116</t>
  </si>
  <si>
    <t>Lo Prado</t>
  </si>
  <si>
    <t>13117</t>
  </si>
  <si>
    <t>Macul</t>
  </si>
  <si>
    <t>13118</t>
  </si>
  <si>
    <t>Maipú</t>
  </si>
  <si>
    <t>13119</t>
  </si>
  <si>
    <t>María Pinto</t>
  </si>
  <si>
    <t>13504</t>
  </si>
  <si>
    <t>Melipilla</t>
  </si>
  <si>
    <t>13501</t>
  </si>
  <si>
    <t>Ñuñoa</t>
  </si>
  <si>
    <t>13120</t>
  </si>
  <si>
    <t>Padre Hurtado</t>
  </si>
  <si>
    <t>13604</t>
  </si>
  <si>
    <t>Paine</t>
  </si>
  <si>
    <t>13404</t>
  </si>
  <si>
    <t>Pedro Aguirre Cerda</t>
  </si>
  <si>
    <t>13121</t>
  </si>
  <si>
    <t>Peñaflor</t>
  </si>
  <si>
    <t>13605</t>
  </si>
  <si>
    <t>Peñalolén</t>
  </si>
  <si>
    <t>13122</t>
  </si>
  <si>
    <t>Pirque</t>
  </si>
  <si>
    <t>13202</t>
  </si>
  <si>
    <t>Providencia</t>
  </si>
  <si>
    <t>13123</t>
  </si>
  <si>
    <t>Pudahuel</t>
  </si>
  <si>
    <t>13124</t>
  </si>
  <si>
    <t>Puente Alto</t>
  </si>
  <si>
    <t>13201</t>
  </si>
  <si>
    <t>Quilicura</t>
  </si>
  <si>
    <t>13125</t>
  </si>
  <si>
    <t>Quinta Normal</t>
  </si>
  <si>
    <t>13126</t>
  </si>
  <si>
    <t>Recoleta</t>
  </si>
  <si>
    <t>13127</t>
  </si>
  <si>
    <t>Renca</t>
  </si>
  <si>
    <t>13128</t>
  </si>
  <si>
    <t>San Bernardo</t>
  </si>
  <si>
    <t>13401</t>
  </si>
  <si>
    <t>San Joaquín</t>
  </si>
  <si>
    <t>13129</t>
  </si>
  <si>
    <t>San José de Maipo</t>
  </si>
  <si>
    <t>13203</t>
  </si>
  <si>
    <t>San Miguel</t>
  </si>
  <si>
    <t>13130</t>
  </si>
  <si>
    <t>San Pedro</t>
  </si>
  <si>
    <t>13505</t>
  </si>
  <si>
    <t>San Ramón</t>
  </si>
  <si>
    <t>13131</t>
  </si>
  <si>
    <t>Santiago</t>
  </si>
  <si>
    <t>13101</t>
  </si>
  <si>
    <t>Talagante</t>
  </si>
  <si>
    <t>13601</t>
  </si>
  <si>
    <t>Til Til</t>
  </si>
  <si>
    <t>13303</t>
  </si>
  <si>
    <t>Vitacura</t>
  </si>
  <si>
    <t>13132</t>
  </si>
  <si>
    <t>Código Región</t>
  </si>
  <si>
    <t>Código Comuna_n</t>
  </si>
  <si>
    <t>#</t>
  </si>
  <si>
    <t>Antártica</t>
  </si>
  <si>
    <t>Arica y Parinacota</t>
  </si>
  <si>
    <t>Libertador General Bernardo O'Higgins</t>
  </si>
  <si>
    <t>Aysén del General Carlos Ibáñez del Campo</t>
  </si>
  <si>
    <t>Magallanes y de la Antártica Chilena</t>
  </si>
  <si>
    <t>Metropolitana de Santiago</t>
  </si>
  <si>
    <t>Conectividad hogar_2024_estandarizada</t>
  </si>
  <si>
    <t>Conectividad hogar_2025_censo_estandarizada</t>
  </si>
  <si>
    <t>Diferencia_conectividad_censo_bruto</t>
  </si>
  <si>
    <t>Diferencia_conectividad_censo_estandarizada</t>
  </si>
  <si>
    <t>Diferencia_conectividad_proyección_bruto</t>
  </si>
  <si>
    <t>Diferencia_conectividad_proyección_estandarizada</t>
  </si>
  <si>
    <t>Diferencia_posición_censo</t>
  </si>
  <si>
    <t>Diferencia_posición_proyección</t>
  </si>
  <si>
    <t>Posición_subindice_2024</t>
  </si>
  <si>
    <t>Posición_subindice_censo_2025</t>
  </si>
  <si>
    <t>Posición_subindice_proyección_2025</t>
  </si>
  <si>
    <t>Comunas</t>
  </si>
  <si>
    <t>Subíndice conectividad 2025</t>
  </si>
  <si>
    <t>Subíndice conectividad 2024</t>
  </si>
  <si>
    <t>Posición_subindice_2024_v2</t>
  </si>
  <si>
    <t>Conectividad hogar_2024_v2_censo_bruto</t>
  </si>
  <si>
    <t>Conectividad hogar_2024_v2_censo_bruto_3</t>
  </si>
  <si>
    <t>Conectividad hogar_2024_v2_censo_estandarizada</t>
  </si>
  <si>
    <t>Diferencia_v1_v2_2024</t>
  </si>
  <si>
    <t>Diferencia_conectividad_censo</t>
  </si>
  <si>
    <t>IDC_2024</t>
  </si>
  <si>
    <t>Cód. Comuna</t>
  </si>
  <si>
    <t>Posición _2025</t>
  </si>
  <si>
    <t>Posición _2024</t>
  </si>
  <si>
    <t>Dif._posición</t>
  </si>
  <si>
    <t>Pearson 2025-2024_v1</t>
  </si>
  <si>
    <t>Pearson 2025-2024_v2</t>
  </si>
  <si>
    <t>Pearson 2024_v1-2024_v2</t>
  </si>
  <si>
    <t>Diferencia posición</t>
  </si>
  <si>
    <t>Posición</t>
  </si>
  <si>
    <t>Dif._</t>
  </si>
  <si>
    <t>posición</t>
  </si>
  <si>
    <t>Validación 2024_v2 (ajuste por CENSO 2024)</t>
  </si>
  <si>
    <t>Código_comuna</t>
  </si>
  <si>
    <t>Código_comuna_n</t>
  </si>
  <si>
    <t>Código_región</t>
  </si>
  <si>
    <t>Validación_CFR_por_tipo_de_tecnología</t>
  </si>
  <si>
    <t>Conexiones_fijas_residenciales_(CFR)_2024</t>
  </si>
  <si>
    <t>Diferencia_total_conexiones</t>
  </si>
  <si>
    <t>Diferencia_%_conexiones</t>
  </si>
  <si>
    <t>Conectividad_hogar_2025_censo_bruto</t>
  </si>
  <si>
    <t>Conectividad_hogar_2025_censo_bruto_3</t>
  </si>
  <si>
    <t>Conectividad_hogar_2025_censo_estandarizada</t>
  </si>
  <si>
    <t>Conectividad_hogar_2025_proyección_bruto</t>
  </si>
  <si>
    <t>Conectividad_hogar_2025_proyección_bruto_3</t>
  </si>
  <si>
    <t>Conectividad_hogar_2025_proyección_estandarizada</t>
  </si>
  <si>
    <t>Conectividad_hogar_2024_bruto</t>
  </si>
  <si>
    <t>Conectividad_hogar_2024_bruto_3</t>
  </si>
  <si>
    <t>Conectividad_hogar_2024_estandarizada</t>
  </si>
  <si>
    <t>Conectividad_hogar_2024_estandarizada_3</t>
  </si>
  <si>
    <t>Comparación conectividad 2024-2025</t>
  </si>
  <si>
    <t>ADSL_tecnología_2024</t>
  </si>
  <si>
    <t>FTTX_tecnología_2024</t>
  </si>
  <si>
    <t>MODEM_tecnología_2024</t>
  </si>
  <si>
    <t>OTA_tecnología_2024</t>
  </si>
  <si>
    <t>OTI_tecnología_2024</t>
  </si>
  <si>
    <t>W_tecnología_2024</t>
  </si>
  <si>
    <t>Total general_tecnología_2024</t>
  </si>
  <si>
    <t>Diferencia_FTTX</t>
  </si>
  <si>
    <t>IDC 2024</t>
  </si>
  <si>
    <t>Población</t>
  </si>
  <si>
    <t>Diferencia_población_censo_proyección_2024</t>
  </si>
  <si>
    <t>Población_censo_2024</t>
  </si>
  <si>
    <t>Población_proyección_2024_base2017</t>
  </si>
  <si>
    <t>Población_proyección_2023_base2017</t>
  </si>
  <si>
    <t>Conexiones fijas residenciales_diciembre_2024</t>
  </si>
  <si>
    <t>Conexiones fijas residenciales_diciembre_2023</t>
  </si>
  <si>
    <t>Conexiones_fijas_residenciales_(CFR)_2023</t>
  </si>
  <si>
    <t>Validación_CFR _2023_Subtel</t>
  </si>
  <si>
    <t>Validación_reporte_subtel_2023</t>
  </si>
  <si>
    <t>ADSL_tecnología_2023</t>
  </si>
  <si>
    <t>FTTX_tecnología_2023</t>
  </si>
  <si>
    <t>MODEM_tecnología_2023</t>
  </si>
  <si>
    <t>OTA_tecnología_2023</t>
  </si>
  <si>
    <t>OTI_tecnología_2023</t>
  </si>
  <si>
    <t>W_tecnología_2023</t>
  </si>
  <si>
    <t>Total general_tecnología_2023</t>
  </si>
  <si>
    <t>Comparación CFR 2023-2024</t>
  </si>
  <si>
    <t>Conectividad_hogar_2025_censo_estandarizada_3</t>
  </si>
  <si>
    <t>Población_2024</t>
  </si>
  <si>
    <t>Conectividad_2025</t>
  </si>
  <si>
    <t>Conectividad_2025_bruto</t>
  </si>
  <si>
    <t>Conectividad_2025_bruto_3</t>
  </si>
  <si>
    <t>Dimensión conectividad hogar 2025</t>
  </si>
  <si>
    <t>Conectividad_2025_estandarizada</t>
  </si>
  <si>
    <t>Conectividad_2025_estandarizada_3</t>
  </si>
  <si>
    <t>Posición_dimensión_2025</t>
  </si>
  <si>
    <t>Dimensión conectividad hogar 2024</t>
  </si>
  <si>
    <t>Población_2023</t>
  </si>
  <si>
    <t>Conectividad_2024</t>
  </si>
  <si>
    <t>Conectividad_2024_bruto</t>
  </si>
  <si>
    <t>Conectividad_2024_bruto_3</t>
  </si>
  <si>
    <t>Conectividad_2024_estandarizada</t>
  </si>
  <si>
    <t>Conectividad_2024_estandarizada_3</t>
  </si>
  <si>
    <t>Posición_dimensión_2024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</si>
</sst>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8"/>
      <color theme="0"/>
      <name val="Aptos"/>
      <family val="2"/>
    </font>
    <font>
      <sz val="8"/>
      <color theme="0"/>
      <name val="Aptos"/>
      <family val="2"/>
    </font>
    <font>
      <b/>
      <sz val="10"/>
      <color theme="0"/>
      <name val="Aptos"/>
      <family val="2"/>
    </font>
    <font>
      <sz val="10"/>
      <color theme="1"/>
      <name val="Aptos Narrow"/>
      <family val="2"/>
      <scheme val="minor"/>
    </font>
    <font>
      <b/>
      <sz val="10"/>
      <color rgb="FFFFFFFF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1" xfId="0" applyFont="1" applyBorder="1"/>
    <xf numFmtId="3" fontId="2" fillId="0" borderId="1" xfId="0" applyNumberFormat="1" applyFont="1" applyBorder="1"/>
    <xf numFmtId="9" fontId="2" fillId="0" borderId="1" xfId="1" applyFont="1" applyBorder="1"/>
    <xf numFmtId="164" fontId="2" fillId="0" borderId="1" xfId="0" applyNumberFormat="1" applyFont="1" applyBorder="1"/>
    <xf numFmtId="1" fontId="2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6" fillId="0" borderId="1" xfId="0" applyNumberFormat="1" applyFont="1" applyBorder="1"/>
    <xf numFmtId="164" fontId="0" fillId="0" borderId="0" xfId="0" applyNumberFormat="1"/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3" fontId="2" fillId="0" borderId="8" xfId="0" applyNumberFormat="1" applyFont="1" applyBorder="1"/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3" fontId="3" fillId="2" borderId="13" xfId="0" applyNumberFormat="1" applyFont="1" applyFill="1" applyBorder="1" applyAlignment="1">
      <alignment horizontal="center" vertical="center" wrapText="1"/>
    </xf>
    <xf numFmtId="9" fontId="2" fillId="0" borderId="8" xfId="1" applyFont="1" applyBorder="1"/>
    <xf numFmtId="3" fontId="3" fillId="2" borderId="11" xfId="0" applyNumberFormat="1" applyFont="1" applyFill="1" applyBorder="1" applyAlignment="1">
      <alignment horizontal="center" vertical="center" wrapText="1"/>
    </xf>
    <xf numFmtId="3" fontId="3" fillId="2" borderId="12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Border="1"/>
    <xf numFmtId="1" fontId="2" fillId="0" borderId="8" xfId="0" applyNumberFormat="1" applyFont="1" applyBorder="1"/>
    <xf numFmtId="164" fontId="6" fillId="0" borderId="8" xfId="0" applyNumberFormat="1" applyFont="1" applyBorder="1"/>
    <xf numFmtId="9" fontId="2" fillId="0" borderId="1" xfId="1" applyFont="1" applyFill="1" applyBorder="1"/>
    <xf numFmtId="49" fontId="2" fillId="0" borderId="1" xfId="0" applyNumberFormat="1" applyFont="1" applyBorder="1"/>
    <xf numFmtId="3" fontId="3" fillId="2" borderId="14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3" fontId="5" fillId="4" borderId="9" xfId="0" applyNumberFormat="1" applyFont="1" applyFill="1" applyBorder="1" applyAlignment="1">
      <alignment horizontal="center"/>
    </xf>
    <xf numFmtId="3" fontId="5" fillId="4" borderId="10" xfId="0" applyNumberFormat="1" applyFont="1" applyFill="1" applyBorder="1" applyAlignment="1">
      <alignment horizontal="center"/>
    </xf>
    <xf numFmtId="3" fontId="5" fillId="4" borderId="3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/>
    <xf numFmtId="0" fontId="5" fillId="4" borderId="10" xfId="0" applyFont="1" applyFill="1" applyBorder="1" applyAlignment="1"/>
    <xf numFmtId="0" fontId="2" fillId="0" borderId="0" xfId="0" applyFont="1" applyAlignment="1"/>
    <xf numFmtId="0" fontId="3" fillId="5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Conectividad</a:t>
            </a:r>
            <a:r>
              <a:rPr lang="es-CL" baseline="0"/>
              <a:t> 2024 versión original vs versión ajustada según CENSO 2024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4"/>
          <c:order val="1"/>
          <c:tx>
            <c:strRef>
              <c:f>'Ajuste 2024'!$J$3</c:f>
              <c:strCache>
                <c:ptCount val="1"/>
                <c:pt idx="0">
                  <c:v>Conectividad hogar_2024_estandarizada</c:v>
                </c:pt>
              </c:strCache>
            </c:strRef>
          </c:tx>
          <c:spPr>
            <a:ln w="1270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'Ajuste 2024'!$C$4:$C$348</c:f>
              <c:strCache>
                <c:ptCount val="345"/>
                <c:pt idx="0">
                  <c:v>Río Verde</c:v>
                </c:pt>
                <c:pt idx="1">
                  <c:v>Río Hurtado</c:v>
                </c:pt>
                <c:pt idx="2">
                  <c:v>San Juan de la Costa</c:v>
                </c:pt>
                <c:pt idx="3">
                  <c:v>Quilleco</c:v>
                </c:pt>
                <c:pt idx="4">
                  <c:v>Sagrada Familia</c:v>
                </c:pt>
                <c:pt idx="5">
                  <c:v>Camiña</c:v>
                </c:pt>
                <c:pt idx="6">
                  <c:v>Paihuano</c:v>
                </c:pt>
                <c:pt idx="7">
                  <c:v>Paredones</c:v>
                </c:pt>
                <c:pt idx="8">
                  <c:v>Tirúa</c:v>
                </c:pt>
                <c:pt idx="9">
                  <c:v>Melipeuco</c:v>
                </c:pt>
                <c:pt idx="10">
                  <c:v>Lonquimay</c:v>
                </c:pt>
                <c:pt idx="11">
                  <c:v>Alto Del Carmen</c:v>
                </c:pt>
                <c:pt idx="12">
                  <c:v>Lumaco</c:v>
                </c:pt>
                <c:pt idx="13">
                  <c:v>Freirina</c:v>
                </c:pt>
                <c:pt idx="14">
                  <c:v>Huara</c:v>
                </c:pt>
                <c:pt idx="15">
                  <c:v>Ñiquén</c:v>
                </c:pt>
                <c:pt idx="16">
                  <c:v>Pica</c:v>
                </c:pt>
                <c:pt idx="17">
                  <c:v>Alto Biobío</c:v>
                </c:pt>
                <c:pt idx="18">
                  <c:v>Petorca</c:v>
                </c:pt>
                <c:pt idx="19">
                  <c:v>Antuco</c:v>
                </c:pt>
                <c:pt idx="20">
                  <c:v>Putre</c:v>
                </c:pt>
                <c:pt idx="21">
                  <c:v>Tortel</c:v>
                </c:pt>
                <c:pt idx="22">
                  <c:v>Curarrehue</c:v>
                </c:pt>
                <c:pt idx="23">
                  <c:v>Puqueldón</c:v>
                </c:pt>
                <c:pt idx="24">
                  <c:v>San Nicolás</c:v>
                </c:pt>
                <c:pt idx="25">
                  <c:v>Chanco</c:v>
                </c:pt>
                <c:pt idx="26">
                  <c:v>Curepto</c:v>
                </c:pt>
                <c:pt idx="27">
                  <c:v>Palmilla</c:v>
                </c:pt>
                <c:pt idx="28">
                  <c:v>Saavedra</c:v>
                </c:pt>
                <c:pt idx="29">
                  <c:v>Pelarco</c:v>
                </c:pt>
                <c:pt idx="30">
                  <c:v>El Carmen</c:v>
                </c:pt>
                <c:pt idx="31">
                  <c:v>Camarones</c:v>
                </c:pt>
                <c:pt idx="32">
                  <c:v>Pumanque</c:v>
                </c:pt>
                <c:pt idx="33">
                  <c:v>Placilla</c:v>
                </c:pt>
                <c:pt idx="34">
                  <c:v>General Lagos</c:v>
                </c:pt>
                <c:pt idx="35">
                  <c:v>Coihueco</c:v>
                </c:pt>
                <c:pt idx="36">
                  <c:v>San Pedro</c:v>
                </c:pt>
                <c:pt idx="37">
                  <c:v>Portezuelo</c:v>
                </c:pt>
                <c:pt idx="38">
                  <c:v>Pencahue</c:v>
                </c:pt>
                <c:pt idx="39">
                  <c:v>Cholchol</c:v>
                </c:pt>
                <c:pt idx="40">
                  <c:v>Yerbas Buenas</c:v>
                </c:pt>
                <c:pt idx="41">
                  <c:v>Curaco de Vélez</c:v>
                </c:pt>
                <c:pt idx="42">
                  <c:v>María Elena</c:v>
                </c:pt>
                <c:pt idx="43">
                  <c:v>Marchihue</c:v>
                </c:pt>
                <c:pt idx="44">
                  <c:v>Lago Ranco</c:v>
                </c:pt>
                <c:pt idx="45">
                  <c:v>Río Claro</c:v>
                </c:pt>
                <c:pt idx="46">
                  <c:v>Hualaihue</c:v>
                </c:pt>
                <c:pt idx="47">
                  <c:v>Chañaral</c:v>
                </c:pt>
                <c:pt idx="48">
                  <c:v>Empedrado</c:v>
                </c:pt>
                <c:pt idx="49">
                  <c:v>Quinchao</c:v>
                </c:pt>
                <c:pt idx="50">
                  <c:v>Peralillo</c:v>
                </c:pt>
                <c:pt idx="51">
                  <c:v>Galvarino</c:v>
                </c:pt>
                <c:pt idx="52">
                  <c:v>Ninhue</c:v>
                </c:pt>
                <c:pt idx="53">
                  <c:v>Toltén</c:v>
                </c:pt>
                <c:pt idx="54">
                  <c:v>San Rafael</c:v>
                </c:pt>
                <c:pt idx="55">
                  <c:v>Monte Patria</c:v>
                </c:pt>
                <c:pt idx="56">
                  <c:v>San Ignacio</c:v>
                </c:pt>
                <c:pt idx="57">
                  <c:v>Treguaco</c:v>
                </c:pt>
                <c:pt idx="58">
                  <c:v>Corral</c:v>
                </c:pt>
                <c:pt idx="59">
                  <c:v>La Higuera</c:v>
                </c:pt>
                <c:pt idx="60">
                  <c:v>Chépica</c:v>
                </c:pt>
                <c:pt idx="61">
                  <c:v>Salamanca</c:v>
                </c:pt>
                <c:pt idx="62">
                  <c:v>Las Cabras</c:v>
                </c:pt>
                <c:pt idx="63">
                  <c:v>Carahue</c:v>
                </c:pt>
                <c:pt idx="64">
                  <c:v>Cochamó</c:v>
                </c:pt>
                <c:pt idx="65">
                  <c:v>Futrono</c:v>
                </c:pt>
                <c:pt idx="66">
                  <c:v>Hualañé</c:v>
                </c:pt>
                <c:pt idx="67">
                  <c:v>Los Muermos</c:v>
                </c:pt>
                <c:pt idx="68">
                  <c:v>Negrete</c:v>
                </c:pt>
                <c:pt idx="69">
                  <c:v>San Pedro de Atacama</c:v>
                </c:pt>
                <c:pt idx="70">
                  <c:v>Villa Alegre</c:v>
                </c:pt>
                <c:pt idx="71">
                  <c:v>Colbún</c:v>
                </c:pt>
                <c:pt idx="72">
                  <c:v>Teno</c:v>
                </c:pt>
                <c:pt idx="73">
                  <c:v>Maullín</c:v>
                </c:pt>
                <c:pt idx="74">
                  <c:v>Lolol</c:v>
                </c:pt>
                <c:pt idx="75">
                  <c:v>Queilén</c:v>
                </c:pt>
                <c:pt idx="76">
                  <c:v>Quemchi</c:v>
                </c:pt>
                <c:pt idx="77">
                  <c:v>Fresia</c:v>
                </c:pt>
                <c:pt idx="78">
                  <c:v>Colchane</c:v>
                </c:pt>
                <c:pt idx="79">
                  <c:v>Malloa</c:v>
                </c:pt>
                <c:pt idx="80">
                  <c:v>Teodoro Schmidt</c:v>
                </c:pt>
                <c:pt idx="81">
                  <c:v>Florida</c:v>
                </c:pt>
                <c:pt idx="82">
                  <c:v>Pichidegua</c:v>
                </c:pt>
                <c:pt idx="83">
                  <c:v>Quirihue</c:v>
                </c:pt>
                <c:pt idx="84">
                  <c:v>Punitaqui</c:v>
                </c:pt>
                <c:pt idx="85">
                  <c:v>Ollagüe</c:v>
                </c:pt>
                <c:pt idx="86">
                  <c:v>Ranquil</c:v>
                </c:pt>
                <c:pt idx="87">
                  <c:v>Puerto Octay</c:v>
                </c:pt>
                <c:pt idx="88">
                  <c:v>San José de Maipo</c:v>
                </c:pt>
                <c:pt idx="89">
                  <c:v>La Estrella</c:v>
                </c:pt>
                <c:pt idx="90">
                  <c:v>Pemuco</c:v>
                </c:pt>
                <c:pt idx="91">
                  <c:v>Maule</c:v>
                </c:pt>
                <c:pt idx="92">
                  <c:v>Chonchi</c:v>
                </c:pt>
                <c:pt idx="93">
                  <c:v>Litueche</c:v>
                </c:pt>
                <c:pt idx="94">
                  <c:v>Laguna Blanca</c:v>
                </c:pt>
                <c:pt idx="95">
                  <c:v>Guaitecas</c:v>
                </c:pt>
                <c:pt idx="96">
                  <c:v>Primavera</c:v>
                </c:pt>
                <c:pt idx="97">
                  <c:v>Freire</c:v>
                </c:pt>
                <c:pt idx="98">
                  <c:v>Dalcahue</c:v>
                </c:pt>
                <c:pt idx="99">
                  <c:v>Canela</c:v>
                </c:pt>
                <c:pt idx="100">
                  <c:v>La Pintana</c:v>
                </c:pt>
                <c:pt idx="101">
                  <c:v>San Javier</c:v>
                </c:pt>
                <c:pt idx="102">
                  <c:v>Tierra Amarilla</c:v>
                </c:pt>
                <c:pt idx="103">
                  <c:v>Chimbarongo</c:v>
                </c:pt>
                <c:pt idx="104">
                  <c:v>Peumo</c:v>
                </c:pt>
                <c:pt idx="105">
                  <c:v>Combarbalá</c:v>
                </c:pt>
                <c:pt idx="106">
                  <c:v>Codegua</c:v>
                </c:pt>
                <c:pt idx="107">
                  <c:v>Los Lagos</c:v>
                </c:pt>
                <c:pt idx="108">
                  <c:v>Vicuña</c:v>
                </c:pt>
                <c:pt idx="109">
                  <c:v>Paine</c:v>
                </c:pt>
                <c:pt idx="110">
                  <c:v>Renaico</c:v>
                </c:pt>
                <c:pt idx="111">
                  <c:v>Vilcún</c:v>
                </c:pt>
                <c:pt idx="112">
                  <c:v>Puyehue</c:v>
                </c:pt>
                <c:pt idx="113">
                  <c:v>Romeral</c:v>
                </c:pt>
                <c:pt idx="114">
                  <c:v>Pirque</c:v>
                </c:pt>
                <c:pt idx="115">
                  <c:v>Perquenco</c:v>
                </c:pt>
                <c:pt idx="116">
                  <c:v>Pozo Almonte</c:v>
                </c:pt>
                <c:pt idx="117">
                  <c:v>Quilaco</c:v>
                </c:pt>
                <c:pt idx="118">
                  <c:v>Nancagua</c:v>
                </c:pt>
                <c:pt idx="119">
                  <c:v>Longaví</c:v>
                </c:pt>
                <c:pt idx="120">
                  <c:v>San Clemente</c:v>
                </c:pt>
                <c:pt idx="121">
                  <c:v>Quellón</c:v>
                </c:pt>
                <c:pt idx="122">
                  <c:v>Padre Las Casas</c:v>
                </c:pt>
                <c:pt idx="123">
                  <c:v>Curacaví</c:v>
                </c:pt>
                <c:pt idx="124">
                  <c:v>Ercilla</c:v>
                </c:pt>
                <c:pt idx="125">
                  <c:v>Panguipulli</c:v>
                </c:pt>
                <c:pt idx="126">
                  <c:v>Gorbea</c:v>
                </c:pt>
                <c:pt idx="127">
                  <c:v>Chillán Viejo</c:v>
                </c:pt>
                <c:pt idx="128">
                  <c:v>Cabildo</c:v>
                </c:pt>
                <c:pt idx="129">
                  <c:v>Requinoa</c:v>
                </c:pt>
                <c:pt idx="130">
                  <c:v>Cobquecura</c:v>
                </c:pt>
                <c:pt idx="131">
                  <c:v>San Pablo</c:v>
                </c:pt>
                <c:pt idx="132">
                  <c:v>Calbuco</c:v>
                </c:pt>
                <c:pt idx="133">
                  <c:v>Catemu</c:v>
                </c:pt>
                <c:pt idx="134">
                  <c:v>Molina</c:v>
                </c:pt>
                <c:pt idx="135">
                  <c:v>Santa María</c:v>
                </c:pt>
                <c:pt idx="136">
                  <c:v>Santa Bárbara</c:v>
                </c:pt>
                <c:pt idx="137">
                  <c:v>San Fabián</c:v>
                </c:pt>
                <c:pt idx="138">
                  <c:v>Huasco</c:v>
                </c:pt>
                <c:pt idx="139">
                  <c:v>Río Negro</c:v>
                </c:pt>
                <c:pt idx="140">
                  <c:v>Nueva Imperial</c:v>
                </c:pt>
                <c:pt idx="141">
                  <c:v>Andacollo</c:v>
                </c:pt>
                <c:pt idx="142">
                  <c:v>Cunco</c:v>
                </c:pt>
                <c:pt idx="143">
                  <c:v>Vichuquén</c:v>
                </c:pt>
                <c:pt idx="144">
                  <c:v>Rauco</c:v>
                </c:pt>
                <c:pt idx="145">
                  <c:v>Olivar</c:v>
                </c:pt>
                <c:pt idx="146">
                  <c:v>San Vicente</c:v>
                </c:pt>
                <c:pt idx="147">
                  <c:v>Yumbel</c:v>
                </c:pt>
                <c:pt idx="148">
                  <c:v>Retiro</c:v>
                </c:pt>
                <c:pt idx="149">
                  <c:v>Paillaco</c:v>
                </c:pt>
                <c:pt idx="150">
                  <c:v>Bulnes</c:v>
                </c:pt>
                <c:pt idx="151">
                  <c:v>Melipilla</c:v>
                </c:pt>
                <c:pt idx="152">
                  <c:v>Purén</c:v>
                </c:pt>
                <c:pt idx="153">
                  <c:v>Calera de Tango</c:v>
                </c:pt>
                <c:pt idx="154">
                  <c:v>Quinta de Tilcoco</c:v>
                </c:pt>
                <c:pt idx="155">
                  <c:v>Mafil</c:v>
                </c:pt>
                <c:pt idx="156">
                  <c:v>Mariquina</c:v>
                </c:pt>
                <c:pt idx="157">
                  <c:v>Los Sauces</c:v>
                </c:pt>
                <c:pt idx="158">
                  <c:v>San Carlos</c:v>
                </c:pt>
                <c:pt idx="159">
                  <c:v>Cañete</c:v>
                </c:pt>
                <c:pt idx="160">
                  <c:v>Illapel</c:v>
                </c:pt>
                <c:pt idx="161">
                  <c:v>Putaendo</c:v>
                </c:pt>
                <c:pt idx="162">
                  <c:v>Yungay</c:v>
                </c:pt>
                <c:pt idx="163">
                  <c:v>Cabo de Hornos</c:v>
                </c:pt>
                <c:pt idx="164">
                  <c:v>Lanco</c:v>
                </c:pt>
                <c:pt idx="165">
                  <c:v>Santa Juana</c:v>
                </c:pt>
                <c:pt idx="166">
                  <c:v>Quillón</c:v>
                </c:pt>
                <c:pt idx="167">
                  <c:v>Chile Chico</c:v>
                </c:pt>
                <c:pt idx="168">
                  <c:v>Chaitén</c:v>
                </c:pt>
                <c:pt idx="169">
                  <c:v>Lago Verde</c:v>
                </c:pt>
                <c:pt idx="170">
                  <c:v>Isla de Maipo</c:v>
                </c:pt>
                <c:pt idx="171">
                  <c:v>Río Bueno</c:v>
                </c:pt>
                <c:pt idx="172">
                  <c:v>Pinto</c:v>
                </c:pt>
                <c:pt idx="173">
                  <c:v>Hijuelas</c:v>
                </c:pt>
                <c:pt idx="174">
                  <c:v>Río Ibáñez</c:v>
                </c:pt>
                <c:pt idx="175">
                  <c:v>San Rosendo</c:v>
                </c:pt>
                <c:pt idx="176">
                  <c:v>Constitución</c:v>
                </c:pt>
                <c:pt idx="177">
                  <c:v>Llaillay</c:v>
                </c:pt>
                <c:pt idx="178">
                  <c:v>Purranque</c:v>
                </c:pt>
                <c:pt idx="179">
                  <c:v>Alto Hospicio</c:v>
                </c:pt>
                <c:pt idx="180">
                  <c:v>Traiguén</c:v>
                </c:pt>
                <c:pt idx="181">
                  <c:v>Santa Cruz</c:v>
                </c:pt>
                <c:pt idx="182">
                  <c:v>Coltauco</c:v>
                </c:pt>
                <c:pt idx="183">
                  <c:v>Coelemu</c:v>
                </c:pt>
                <c:pt idx="184">
                  <c:v>Ancud</c:v>
                </c:pt>
                <c:pt idx="185">
                  <c:v>Collipulli</c:v>
                </c:pt>
                <c:pt idx="186">
                  <c:v>Lampa</c:v>
                </c:pt>
                <c:pt idx="187">
                  <c:v>Pelluhue</c:v>
                </c:pt>
                <c:pt idx="188">
                  <c:v>Cabrero</c:v>
                </c:pt>
                <c:pt idx="189">
                  <c:v>Ovalle</c:v>
                </c:pt>
                <c:pt idx="190">
                  <c:v>Laja</c:v>
                </c:pt>
                <c:pt idx="191">
                  <c:v>Mostazal</c:v>
                </c:pt>
                <c:pt idx="192">
                  <c:v>Mulchén</c:v>
                </c:pt>
                <c:pt idx="193">
                  <c:v>Til Til</c:v>
                </c:pt>
                <c:pt idx="194">
                  <c:v>Navidad</c:v>
                </c:pt>
                <c:pt idx="195">
                  <c:v>Diego de Almagro</c:v>
                </c:pt>
                <c:pt idx="196">
                  <c:v>Juan Fernández</c:v>
                </c:pt>
                <c:pt idx="197">
                  <c:v>Casablanca</c:v>
                </c:pt>
                <c:pt idx="198">
                  <c:v>Licantén</c:v>
                </c:pt>
                <c:pt idx="199">
                  <c:v>Lo Espejo</c:v>
                </c:pt>
                <c:pt idx="200">
                  <c:v>San Gregorio</c:v>
                </c:pt>
                <c:pt idx="201">
                  <c:v>Panquehue</c:v>
                </c:pt>
                <c:pt idx="202">
                  <c:v>Contulmo</c:v>
                </c:pt>
                <c:pt idx="203">
                  <c:v>Loncoche</c:v>
                </c:pt>
                <c:pt idx="204">
                  <c:v>El Monte</c:v>
                </c:pt>
                <c:pt idx="205">
                  <c:v>Coinco</c:v>
                </c:pt>
                <c:pt idx="206">
                  <c:v>La Ligua</c:v>
                </c:pt>
                <c:pt idx="207">
                  <c:v>Taltal</c:v>
                </c:pt>
                <c:pt idx="208">
                  <c:v>Curacautín</c:v>
                </c:pt>
                <c:pt idx="209">
                  <c:v>Doñihue</c:v>
                </c:pt>
                <c:pt idx="210">
                  <c:v>Mejillones</c:v>
                </c:pt>
                <c:pt idx="211">
                  <c:v>Buin</c:v>
                </c:pt>
                <c:pt idx="212">
                  <c:v>Lautaro</c:v>
                </c:pt>
                <c:pt idx="213">
                  <c:v>Pitrufquén</c:v>
                </c:pt>
                <c:pt idx="214">
                  <c:v>San Esteban</c:v>
                </c:pt>
                <c:pt idx="215">
                  <c:v>Tucapel</c:v>
                </c:pt>
                <c:pt idx="216">
                  <c:v>María Pinto</c:v>
                </c:pt>
                <c:pt idx="217">
                  <c:v>San Ramón</c:v>
                </c:pt>
                <c:pt idx="218">
                  <c:v>Frutillar</c:v>
                </c:pt>
                <c:pt idx="219">
                  <c:v>Hualpén</c:v>
                </c:pt>
                <c:pt idx="220">
                  <c:v>Linares</c:v>
                </c:pt>
                <c:pt idx="221">
                  <c:v>Nogales</c:v>
                </c:pt>
                <c:pt idx="222">
                  <c:v>Palena</c:v>
                </c:pt>
                <c:pt idx="223">
                  <c:v>Calle Larga</c:v>
                </c:pt>
                <c:pt idx="224">
                  <c:v>Castro</c:v>
                </c:pt>
                <c:pt idx="225">
                  <c:v>Olmué</c:v>
                </c:pt>
                <c:pt idx="226">
                  <c:v>Caldera</c:v>
                </c:pt>
                <c:pt idx="227">
                  <c:v>Talagante</c:v>
                </c:pt>
                <c:pt idx="228">
                  <c:v>Llanquihue</c:v>
                </c:pt>
                <c:pt idx="229">
                  <c:v>Timaukel</c:v>
                </c:pt>
                <c:pt idx="230">
                  <c:v>Cauquenes</c:v>
                </c:pt>
                <c:pt idx="231">
                  <c:v>Los Angeles</c:v>
                </c:pt>
                <c:pt idx="232">
                  <c:v>Nacimiento</c:v>
                </c:pt>
                <c:pt idx="233">
                  <c:v>Colina</c:v>
                </c:pt>
                <c:pt idx="234">
                  <c:v>Parral</c:v>
                </c:pt>
                <c:pt idx="235">
                  <c:v>Pucón</c:v>
                </c:pt>
                <c:pt idx="236">
                  <c:v>La Unión</c:v>
                </c:pt>
                <c:pt idx="237">
                  <c:v>Cochrane</c:v>
                </c:pt>
                <c:pt idx="238">
                  <c:v>San Bernardo</c:v>
                </c:pt>
                <c:pt idx="239">
                  <c:v>Cerro Navia</c:v>
                </c:pt>
                <c:pt idx="240">
                  <c:v>Arauco</c:v>
                </c:pt>
                <c:pt idx="241">
                  <c:v>Victoria</c:v>
                </c:pt>
                <c:pt idx="242">
                  <c:v>Papudo</c:v>
                </c:pt>
                <c:pt idx="243">
                  <c:v>Renca</c:v>
                </c:pt>
                <c:pt idx="244">
                  <c:v>Los Alamos</c:v>
                </c:pt>
                <c:pt idx="245">
                  <c:v>La Granja</c:v>
                </c:pt>
                <c:pt idx="246">
                  <c:v>Vallenar</c:v>
                </c:pt>
                <c:pt idx="247">
                  <c:v>Los Vilos</c:v>
                </c:pt>
                <c:pt idx="248">
                  <c:v>San Fernando</c:v>
                </c:pt>
                <c:pt idx="249">
                  <c:v>Rengo</c:v>
                </c:pt>
                <c:pt idx="250">
                  <c:v>Rinconada</c:v>
                </c:pt>
                <c:pt idx="251">
                  <c:v>Villarrica</c:v>
                </c:pt>
                <c:pt idx="252">
                  <c:v>Futaleufú</c:v>
                </c:pt>
                <c:pt idx="253">
                  <c:v>Hualqui</c:v>
                </c:pt>
                <c:pt idx="254">
                  <c:v>Arica</c:v>
                </c:pt>
                <c:pt idx="255">
                  <c:v>Aisén</c:v>
                </c:pt>
                <c:pt idx="256">
                  <c:v>San Felipe</c:v>
                </c:pt>
                <c:pt idx="257">
                  <c:v>Peñalolén</c:v>
                </c:pt>
                <c:pt idx="258">
                  <c:v>Lebu</c:v>
                </c:pt>
                <c:pt idx="259">
                  <c:v>Tocopilla</c:v>
                </c:pt>
                <c:pt idx="260">
                  <c:v>Recoleta</c:v>
                </c:pt>
                <c:pt idx="261">
                  <c:v>Quintero</c:v>
                </c:pt>
                <c:pt idx="262">
                  <c:v>Quilicura</c:v>
                </c:pt>
                <c:pt idx="263">
                  <c:v>Puerto Montt</c:v>
                </c:pt>
                <c:pt idx="264">
                  <c:v>Peñaflor</c:v>
                </c:pt>
                <c:pt idx="265">
                  <c:v>El Bosque</c:v>
                </c:pt>
                <c:pt idx="266">
                  <c:v>Lo Prado</c:v>
                </c:pt>
                <c:pt idx="267">
                  <c:v>Pedro Aguirre Cerda</c:v>
                </c:pt>
                <c:pt idx="268">
                  <c:v>Limache</c:v>
                </c:pt>
                <c:pt idx="269">
                  <c:v>San Antonio</c:v>
                </c:pt>
                <c:pt idx="270">
                  <c:v>Coyhaique</c:v>
                </c:pt>
                <c:pt idx="271">
                  <c:v>Lo Barnechea</c:v>
                </c:pt>
                <c:pt idx="272">
                  <c:v>Graneros</c:v>
                </c:pt>
                <c:pt idx="273">
                  <c:v>Cisnes</c:v>
                </c:pt>
                <c:pt idx="274">
                  <c:v>Conchalí</c:v>
                </c:pt>
                <c:pt idx="275">
                  <c:v>O'Higgins</c:v>
                </c:pt>
                <c:pt idx="276">
                  <c:v>Copiapó</c:v>
                </c:pt>
                <c:pt idx="277">
                  <c:v>Curanilahue</c:v>
                </c:pt>
                <c:pt idx="278">
                  <c:v>Huechuraba</c:v>
                </c:pt>
                <c:pt idx="279">
                  <c:v>San Joaquín</c:v>
                </c:pt>
                <c:pt idx="280">
                  <c:v>Calera</c:v>
                </c:pt>
                <c:pt idx="281">
                  <c:v>Puerto Varas</c:v>
                </c:pt>
                <c:pt idx="282">
                  <c:v>Puente Alto</c:v>
                </c:pt>
                <c:pt idx="283">
                  <c:v>Pudahuel</c:v>
                </c:pt>
                <c:pt idx="284">
                  <c:v>Pichilemu</c:v>
                </c:pt>
                <c:pt idx="285">
                  <c:v>Padre Hurtado</c:v>
                </c:pt>
                <c:pt idx="286">
                  <c:v>Porvenir</c:v>
                </c:pt>
                <c:pt idx="287">
                  <c:v>Cerrillos</c:v>
                </c:pt>
                <c:pt idx="288">
                  <c:v>Angol</c:v>
                </c:pt>
                <c:pt idx="289">
                  <c:v>Iquique</c:v>
                </c:pt>
                <c:pt idx="290">
                  <c:v>Quinta Normal</c:v>
                </c:pt>
                <c:pt idx="291">
                  <c:v>Quillota</c:v>
                </c:pt>
                <c:pt idx="292">
                  <c:v>Osorno</c:v>
                </c:pt>
                <c:pt idx="293">
                  <c:v>Coquimbo</c:v>
                </c:pt>
                <c:pt idx="294">
                  <c:v>Calama</c:v>
                </c:pt>
                <c:pt idx="295">
                  <c:v>Cartagena</c:v>
                </c:pt>
                <c:pt idx="296">
                  <c:v>Curicó</c:v>
                </c:pt>
                <c:pt idx="297">
                  <c:v>La Cruz</c:v>
                </c:pt>
                <c:pt idx="298">
                  <c:v>Antofagasta</c:v>
                </c:pt>
                <c:pt idx="299">
                  <c:v>Tomé</c:v>
                </c:pt>
                <c:pt idx="300">
                  <c:v>Penco</c:v>
                </c:pt>
                <c:pt idx="301">
                  <c:v>Machalí</c:v>
                </c:pt>
                <c:pt idx="302">
                  <c:v>Independencia</c:v>
                </c:pt>
                <c:pt idx="303">
                  <c:v>Isla de Pascua</c:v>
                </c:pt>
                <c:pt idx="304">
                  <c:v>Maipú</c:v>
                </c:pt>
                <c:pt idx="305">
                  <c:v>Rancagua</c:v>
                </c:pt>
                <c:pt idx="306">
                  <c:v>Valdivia</c:v>
                </c:pt>
                <c:pt idx="307">
                  <c:v>Lota</c:v>
                </c:pt>
                <c:pt idx="308">
                  <c:v>La Serena</c:v>
                </c:pt>
                <c:pt idx="309">
                  <c:v>Valparaíso</c:v>
                </c:pt>
                <c:pt idx="310">
                  <c:v>Estación Central</c:v>
                </c:pt>
                <c:pt idx="311">
                  <c:v>Talca</c:v>
                </c:pt>
                <c:pt idx="312">
                  <c:v>Villa Alemana</c:v>
                </c:pt>
                <c:pt idx="313">
                  <c:v>Coronel</c:v>
                </c:pt>
                <c:pt idx="314">
                  <c:v>Chillán</c:v>
                </c:pt>
                <c:pt idx="315">
                  <c:v>La Reina</c:v>
                </c:pt>
                <c:pt idx="316">
                  <c:v>Temuco</c:v>
                </c:pt>
                <c:pt idx="317">
                  <c:v>Natales</c:v>
                </c:pt>
                <c:pt idx="318">
                  <c:v>Chiguayante</c:v>
                </c:pt>
                <c:pt idx="319">
                  <c:v>La Florida</c:v>
                </c:pt>
                <c:pt idx="320">
                  <c:v>Punta Arenas</c:v>
                </c:pt>
                <c:pt idx="321">
                  <c:v>San Pedro de la Paz</c:v>
                </c:pt>
                <c:pt idx="322">
                  <c:v>Los Andes</c:v>
                </c:pt>
                <c:pt idx="323">
                  <c:v>Zapallar</c:v>
                </c:pt>
                <c:pt idx="324">
                  <c:v>Quilpué</c:v>
                </c:pt>
                <c:pt idx="325">
                  <c:v>La Cisterna</c:v>
                </c:pt>
                <c:pt idx="326">
                  <c:v>Macul</c:v>
                </c:pt>
                <c:pt idx="327">
                  <c:v>Santo Domingo</c:v>
                </c:pt>
                <c:pt idx="328">
                  <c:v>Puchuncaví</c:v>
                </c:pt>
                <c:pt idx="329">
                  <c:v>Concepción</c:v>
                </c:pt>
                <c:pt idx="330">
                  <c:v>Alhué</c:v>
                </c:pt>
                <c:pt idx="331">
                  <c:v>Sierra Gorda</c:v>
                </c:pt>
                <c:pt idx="332">
                  <c:v>Viña del Mar</c:v>
                </c:pt>
                <c:pt idx="333">
                  <c:v>Santiago</c:v>
                </c:pt>
                <c:pt idx="334">
                  <c:v>San Miguel</c:v>
                </c:pt>
                <c:pt idx="335">
                  <c:v>Talcahuano</c:v>
                </c:pt>
                <c:pt idx="336">
                  <c:v>Vitacura</c:v>
                </c:pt>
                <c:pt idx="337">
                  <c:v>El Tabo</c:v>
                </c:pt>
                <c:pt idx="338">
                  <c:v>El Quisco</c:v>
                </c:pt>
                <c:pt idx="339">
                  <c:v>Las Condes</c:v>
                </c:pt>
                <c:pt idx="340">
                  <c:v>Concón</c:v>
                </c:pt>
                <c:pt idx="341">
                  <c:v>Ñuñoa</c:v>
                </c:pt>
                <c:pt idx="342">
                  <c:v>Providencia</c:v>
                </c:pt>
                <c:pt idx="343">
                  <c:v>Algarrobo</c:v>
                </c:pt>
                <c:pt idx="344">
                  <c:v>Torres del Paine</c:v>
                </c:pt>
              </c:strCache>
            </c:strRef>
          </c:cat>
          <c:val>
            <c:numRef>
              <c:f>'Ajuste 2024'!$J$4:$J$348</c:f>
              <c:numCache>
                <c:formatCode>0.000</c:formatCode>
                <c:ptCount val="345"/>
                <c:pt idx="0">
                  <c:v>0.34217956483404843</c:v>
                </c:pt>
                <c:pt idx="1">
                  <c:v>0.34565986251202285</c:v>
                </c:pt>
                <c:pt idx="2">
                  <c:v>0.34217956483404843</c:v>
                </c:pt>
                <c:pt idx="3">
                  <c:v>0.35610075554594622</c:v>
                </c:pt>
                <c:pt idx="4">
                  <c:v>0.35030025941598886</c:v>
                </c:pt>
                <c:pt idx="5">
                  <c:v>0.36538154935387812</c:v>
                </c:pt>
                <c:pt idx="6">
                  <c:v>0.35378055709396328</c:v>
                </c:pt>
                <c:pt idx="7">
                  <c:v>0.3572608547719377</c:v>
                </c:pt>
                <c:pt idx="8">
                  <c:v>0.35610075554594622</c:v>
                </c:pt>
                <c:pt idx="9">
                  <c:v>0.36190125167590365</c:v>
                </c:pt>
                <c:pt idx="10">
                  <c:v>0.3572608547719377</c:v>
                </c:pt>
                <c:pt idx="11">
                  <c:v>0.35378055709396328</c:v>
                </c:pt>
                <c:pt idx="12">
                  <c:v>0.3595810532239207</c:v>
                </c:pt>
                <c:pt idx="13">
                  <c:v>0.36074115244991223</c:v>
                </c:pt>
                <c:pt idx="14">
                  <c:v>0.3595810532239207</c:v>
                </c:pt>
                <c:pt idx="15">
                  <c:v>0.36422145012788665</c:v>
                </c:pt>
                <c:pt idx="16">
                  <c:v>0.36306135090189517</c:v>
                </c:pt>
                <c:pt idx="17">
                  <c:v>0.36422145012788665</c:v>
                </c:pt>
                <c:pt idx="18">
                  <c:v>0.36654164857986959</c:v>
                </c:pt>
                <c:pt idx="19">
                  <c:v>0.35842095399792923</c:v>
                </c:pt>
                <c:pt idx="20">
                  <c:v>0.35378055709396328</c:v>
                </c:pt>
                <c:pt idx="21">
                  <c:v>0.36654164857986959</c:v>
                </c:pt>
                <c:pt idx="22">
                  <c:v>0.37582244238780149</c:v>
                </c:pt>
                <c:pt idx="23">
                  <c:v>0.37466234316181002</c:v>
                </c:pt>
                <c:pt idx="24">
                  <c:v>0.38046283929176744</c:v>
                </c:pt>
                <c:pt idx="25">
                  <c:v>0.37466234316181002</c:v>
                </c:pt>
                <c:pt idx="26">
                  <c:v>0.37582244238780149</c:v>
                </c:pt>
                <c:pt idx="27">
                  <c:v>0.37466234316181002</c:v>
                </c:pt>
                <c:pt idx="28">
                  <c:v>0.37582244238780149</c:v>
                </c:pt>
                <c:pt idx="29">
                  <c:v>0.37466234316181002</c:v>
                </c:pt>
                <c:pt idx="30">
                  <c:v>0.37930274006577591</c:v>
                </c:pt>
                <c:pt idx="31">
                  <c:v>0.36422145012788665</c:v>
                </c:pt>
                <c:pt idx="32">
                  <c:v>0.3955441292296567</c:v>
                </c:pt>
                <c:pt idx="33">
                  <c:v>0.38974363309969928</c:v>
                </c:pt>
                <c:pt idx="34">
                  <c:v>0.37350224393581855</c:v>
                </c:pt>
                <c:pt idx="35">
                  <c:v>0.38626333542172486</c:v>
                </c:pt>
                <c:pt idx="36">
                  <c:v>0.38046283929176744</c:v>
                </c:pt>
                <c:pt idx="37">
                  <c:v>0.38626333542172486</c:v>
                </c:pt>
                <c:pt idx="38">
                  <c:v>0.39206383155168228</c:v>
                </c:pt>
                <c:pt idx="39">
                  <c:v>0.38046283929176744</c:v>
                </c:pt>
                <c:pt idx="40">
                  <c:v>0.38510323619573339</c:v>
                </c:pt>
                <c:pt idx="41">
                  <c:v>0.38162293851775891</c:v>
                </c:pt>
                <c:pt idx="42">
                  <c:v>0.37582244238780149</c:v>
                </c:pt>
                <c:pt idx="43">
                  <c:v>0.39090373232569076</c:v>
                </c:pt>
                <c:pt idx="44">
                  <c:v>0.38742343464771634</c:v>
                </c:pt>
                <c:pt idx="45">
                  <c:v>0.38742343464771634</c:v>
                </c:pt>
                <c:pt idx="46">
                  <c:v>0.39902442690763118</c:v>
                </c:pt>
                <c:pt idx="47">
                  <c:v>0.3955441292296567</c:v>
                </c:pt>
                <c:pt idx="48">
                  <c:v>0.33985936638206543</c:v>
                </c:pt>
                <c:pt idx="49">
                  <c:v>0.3955441292296567</c:v>
                </c:pt>
                <c:pt idx="50">
                  <c:v>0.39438403000366529</c:v>
                </c:pt>
                <c:pt idx="51">
                  <c:v>0.40018452613362265</c:v>
                </c:pt>
                <c:pt idx="52">
                  <c:v>0.39670422845564823</c:v>
                </c:pt>
                <c:pt idx="53">
                  <c:v>0.3955441292296567</c:v>
                </c:pt>
                <c:pt idx="54">
                  <c:v>0.4071451214895716</c:v>
                </c:pt>
                <c:pt idx="55">
                  <c:v>0.38742343464771634</c:v>
                </c:pt>
                <c:pt idx="56">
                  <c:v>0.40250472458560566</c:v>
                </c:pt>
                <c:pt idx="57">
                  <c:v>0.4141057168455205</c:v>
                </c:pt>
                <c:pt idx="58">
                  <c:v>0.4117855183935375</c:v>
                </c:pt>
                <c:pt idx="59">
                  <c:v>0.39902442690763118</c:v>
                </c:pt>
                <c:pt idx="60">
                  <c:v>0.40830522071556308</c:v>
                </c:pt>
                <c:pt idx="61">
                  <c:v>0.39902442690763118</c:v>
                </c:pt>
                <c:pt idx="62">
                  <c:v>0.40946531994155455</c:v>
                </c:pt>
                <c:pt idx="63">
                  <c:v>0.40830522071556308</c:v>
                </c:pt>
                <c:pt idx="64">
                  <c:v>0.40366482381159713</c:v>
                </c:pt>
                <c:pt idx="65">
                  <c:v>0.41062541916754602</c:v>
                </c:pt>
                <c:pt idx="66">
                  <c:v>0.40250472458560566</c:v>
                </c:pt>
                <c:pt idx="67">
                  <c:v>0.40134462535961413</c:v>
                </c:pt>
                <c:pt idx="68">
                  <c:v>0.40018452613362265</c:v>
                </c:pt>
                <c:pt idx="69">
                  <c:v>0.37930274006577591</c:v>
                </c:pt>
                <c:pt idx="70">
                  <c:v>0.4141057168455205</c:v>
                </c:pt>
                <c:pt idx="71">
                  <c:v>0.41526581607151197</c:v>
                </c:pt>
                <c:pt idx="72">
                  <c:v>0.41758601452349497</c:v>
                </c:pt>
                <c:pt idx="73">
                  <c:v>0.40946531994155455</c:v>
                </c:pt>
                <c:pt idx="74">
                  <c:v>0.4164259152975035</c:v>
                </c:pt>
                <c:pt idx="75">
                  <c:v>0.43034710600940129</c:v>
                </c:pt>
                <c:pt idx="76">
                  <c:v>0.39786432768163971</c:v>
                </c:pt>
                <c:pt idx="77">
                  <c:v>0.40366482381159713</c:v>
                </c:pt>
                <c:pt idx="78">
                  <c:v>0.36538154935387812</c:v>
                </c:pt>
                <c:pt idx="79">
                  <c:v>0.41294561761952903</c:v>
                </c:pt>
                <c:pt idx="80">
                  <c:v>0.41526581607151197</c:v>
                </c:pt>
                <c:pt idx="81">
                  <c:v>0.42222641142746087</c:v>
                </c:pt>
                <c:pt idx="82">
                  <c:v>0.41874611374948645</c:v>
                </c:pt>
                <c:pt idx="83">
                  <c:v>0.42570670910543534</c:v>
                </c:pt>
                <c:pt idx="84">
                  <c:v>0.40134462535961413</c:v>
                </c:pt>
                <c:pt idx="85">
                  <c:v>0.39090373232569076</c:v>
                </c:pt>
                <c:pt idx="86">
                  <c:v>0.41990621297547792</c:v>
                </c:pt>
                <c:pt idx="87">
                  <c:v>0.40946531994155455</c:v>
                </c:pt>
                <c:pt idx="88">
                  <c:v>0.40946531994155455</c:v>
                </c:pt>
                <c:pt idx="89">
                  <c:v>0.44310819749530761</c:v>
                </c:pt>
                <c:pt idx="90">
                  <c:v>0.42686680833142682</c:v>
                </c:pt>
                <c:pt idx="91">
                  <c:v>0.41990621297547792</c:v>
                </c:pt>
                <c:pt idx="92">
                  <c:v>0.42338651065345234</c:v>
                </c:pt>
                <c:pt idx="93">
                  <c:v>0.43498750291336724</c:v>
                </c:pt>
                <c:pt idx="94">
                  <c:v>0.4141057168455205</c:v>
                </c:pt>
                <c:pt idx="95">
                  <c:v>0.42686680833142682</c:v>
                </c:pt>
                <c:pt idx="96">
                  <c:v>0.37234214470982707</c:v>
                </c:pt>
                <c:pt idx="97">
                  <c:v>0.42454660987944387</c:v>
                </c:pt>
                <c:pt idx="98">
                  <c:v>0.43498750291336724</c:v>
                </c:pt>
                <c:pt idx="99">
                  <c:v>0.41758601452349497</c:v>
                </c:pt>
                <c:pt idx="100">
                  <c:v>0.43730770136535019</c:v>
                </c:pt>
                <c:pt idx="101">
                  <c:v>0.42802690755741835</c:v>
                </c:pt>
                <c:pt idx="102">
                  <c:v>0.42454660987944387</c:v>
                </c:pt>
                <c:pt idx="103">
                  <c:v>0.43962789981733319</c:v>
                </c:pt>
                <c:pt idx="104">
                  <c:v>0.44542839594729061</c:v>
                </c:pt>
                <c:pt idx="105">
                  <c:v>0.42106631220146939</c:v>
                </c:pt>
                <c:pt idx="106">
                  <c:v>0.44310819749530761</c:v>
                </c:pt>
                <c:pt idx="107">
                  <c:v>0.45006879285125656</c:v>
                </c:pt>
                <c:pt idx="108">
                  <c:v>0.43266730446138424</c:v>
                </c:pt>
                <c:pt idx="109">
                  <c:v>0.43498750291336724</c:v>
                </c:pt>
                <c:pt idx="110">
                  <c:v>0.43034710600940129</c:v>
                </c:pt>
                <c:pt idx="111">
                  <c:v>0.44310819749530761</c:v>
                </c:pt>
                <c:pt idx="112">
                  <c:v>0.45122889207724803</c:v>
                </c:pt>
                <c:pt idx="113">
                  <c:v>0.45238899130323951</c:v>
                </c:pt>
                <c:pt idx="114">
                  <c:v>0.43730770136535019</c:v>
                </c:pt>
                <c:pt idx="115">
                  <c:v>0.45006879285125656</c:v>
                </c:pt>
                <c:pt idx="116">
                  <c:v>0.44426829672129908</c:v>
                </c:pt>
                <c:pt idx="117">
                  <c:v>0.45354909052923098</c:v>
                </c:pt>
                <c:pt idx="118">
                  <c:v>0.45238899130323951</c:v>
                </c:pt>
                <c:pt idx="119">
                  <c:v>0.39206383155168228</c:v>
                </c:pt>
                <c:pt idx="120">
                  <c:v>0.45818948743319693</c:v>
                </c:pt>
                <c:pt idx="121">
                  <c:v>0.4593495866591884</c:v>
                </c:pt>
                <c:pt idx="122">
                  <c:v>0.45122889207724803</c:v>
                </c:pt>
                <c:pt idx="123">
                  <c:v>0.44310819749530761</c:v>
                </c:pt>
                <c:pt idx="124">
                  <c:v>0.44774859439927356</c:v>
                </c:pt>
                <c:pt idx="125">
                  <c:v>0.45470918975522245</c:v>
                </c:pt>
                <c:pt idx="126">
                  <c:v>0.45702938820720546</c:v>
                </c:pt>
                <c:pt idx="127">
                  <c:v>0.49763286111690747</c:v>
                </c:pt>
                <c:pt idx="128">
                  <c:v>0.45586928898121398</c:v>
                </c:pt>
                <c:pt idx="129">
                  <c:v>0.45122889207724803</c:v>
                </c:pt>
                <c:pt idx="130">
                  <c:v>0.45818948743319693</c:v>
                </c:pt>
                <c:pt idx="131">
                  <c:v>0.46282988433716288</c:v>
                </c:pt>
                <c:pt idx="132">
                  <c:v>0.46050968588517993</c:v>
                </c:pt>
                <c:pt idx="133">
                  <c:v>0.45122889207724803</c:v>
                </c:pt>
                <c:pt idx="134">
                  <c:v>0.46515008278914582</c:v>
                </c:pt>
                <c:pt idx="135">
                  <c:v>0.44542839594729061</c:v>
                </c:pt>
                <c:pt idx="136">
                  <c:v>0.4616697851111714</c:v>
                </c:pt>
                <c:pt idx="137">
                  <c:v>0.4755909758230692</c:v>
                </c:pt>
                <c:pt idx="138">
                  <c:v>0.38046283929176744</c:v>
                </c:pt>
                <c:pt idx="139">
                  <c:v>0.4686303804671203</c:v>
                </c:pt>
                <c:pt idx="140">
                  <c:v>0.4686303804671203</c:v>
                </c:pt>
                <c:pt idx="141">
                  <c:v>0.45470918975522245</c:v>
                </c:pt>
                <c:pt idx="142">
                  <c:v>0.47211067814509478</c:v>
                </c:pt>
                <c:pt idx="143">
                  <c:v>0.45470918975522245</c:v>
                </c:pt>
                <c:pt idx="144">
                  <c:v>0.48371167040500962</c:v>
                </c:pt>
                <c:pt idx="145">
                  <c:v>0.46282988433716288</c:v>
                </c:pt>
                <c:pt idx="146">
                  <c:v>0.4779111742750522</c:v>
                </c:pt>
                <c:pt idx="147">
                  <c:v>0.48951216653496704</c:v>
                </c:pt>
                <c:pt idx="148">
                  <c:v>0.37350224393581855</c:v>
                </c:pt>
                <c:pt idx="149">
                  <c:v>0.48255157117901815</c:v>
                </c:pt>
                <c:pt idx="150">
                  <c:v>0.49531266266492446</c:v>
                </c:pt>
                <c:pt idx="151">
                  <c:v>0.48023137272703514</c:v>
                </c:pt>
                <c:pt idx="152">
                  <c:v>0.48719196808298409</c:v>
                </c:pt>
                <c:pt idx="153">
                  <c:v>0.46515008278914582</c:v>
                </c:pt>
                <c:pt idx="154">
                  <c:v>0.46747028124112883</c:v>
                </c:pt>
                <c:pt idx="155">
                  <c:v>0.50111315879488183</c:v>
                </c:pt>
                <c:pt idx="156">
                  <c:v>0.49183236498695004</c:v>
                </c:pt>
                <c:pt idx="157">
                  <c:v>0.48603186885699257</c:v>
                </c:pt>
                <c:pt idx="158">
                  <c:v>0.49183236498695004</c:v>
                </c:pt>
                <c:pt idx="159">
                  <c:v>0.48719196808298409</c:v>
                </c:pt>
                <c:pt idx="160">
                  <c:v>0.48023137272703514</c:v>
                </c:pt>
                <c:pt idx="161">
                  <c:v>0.48835206730897557</c:v>
                </c:pt>
                <c:pt idx="162">
                  <c:v>0.50343335724686489</c:v>
                </c:pt>
                <c:pt idx="163">
                  <c:v>0.46979047969311177</c:v>
                </c:pt>
                <c:pt idx="164">
                  <c:v>0.49067226576095851</c:v>
                </c:pt>
                <c:pt idx="165">
                  <c:v>0.49531266266492446</c:v>
                </c:pt>
                <c:pt idx="166">
                  <c:v>0.49647276189091594</c:v>
                </c:pt>
                <c:pt idx="167">
                  <c:v>0.49647276189091594</c:v>
                </c:pt>
                <c:pt idx="168">
                  <c:v>0.46050968588517993</c:v>
                </c:pt>
                <c:pt idx="169">
                  <c:v>0.49879296034289894</c:v>
                </c:pt>
                <c:pt idx="170">
                  <c:v>0.46515008278914582</c:v>
                </c:pt>
                <c:pt idx="171">
                  <c:v>0.51387425028078826</c:v>
                </c:pt>
                <c:pt idx="172">
                  <c:v>0.48603186885699257</c:v>
                </c:pt>
                <c:pt idx="173">
                  <c:v>0.49415256343893299</c:v>
                </c:pt>
                <c:pt idx="174">
                  <c:v>0.50111315879488183</c:v>
                </c:pt>
                <c:pt idx="175">
                  <c:v>0.51851464718475415</c:v>
                </c:pt>
                <c:pt idx="176">
                  <c:v>0.49647276189091594</c:v>
                </c:pt>
                <c:pt idx="177">
                  <c:v>0.49299246421294152</c:v>
                </c:pt>
                <c:pt idx="178">
                  <c:v>0.49995305956889041</c:v>
                </c:pt>
                <c:pt idx="179">
                  <c:v>0.5115540518288052</c:v>
                </c:pt>
                <c:pt idx="180">
                  <c:v>0.50923385337682225</c:v>
                </c:pt>
                <c:pt idx="181">
                  <c:v>0.51503434950677973</c:v>
                </c:pt>
                <c:pt idx="182">
                  <c:v>0.49531266266492446</c:v>
                </c:pt>
                <c:pt idx="183">
                  <c:v>0.50227325802087341</c:v>
                </c:pt>
                <c:pt idx="184">
                  <c:v>0.48603186885699257</c:v>
                </c:pt>
                <c:pt idx="185">
                  <c:v>0.49763286111690747</c:v>
                </c:pt>
                <c:pt idx="186">
                  <c:v>0.5254752425407031</c:v>
                </c:pt>
                <c:pt idx="187">
                  <c:v>0.50343335724686489</c:v>
                </c:pt>
                <c:pt idx="188">
                  <c:v>0.52315504408872016</c:v>
                </c:pt>
                <c:pt idx="189">
                  <c:v>0.51271415105479679</c:v>
                </c:pt>
                <c:pt idx="190">
                  <c:v>0.5254752425407031</c:v>
                </c:pt>
                <c:pt idx="191">
                  <c:v>0.51967474641074562</c:v>
                </c:pt>
                <c:pt idx="192">
                  <c:v>0.51503434950677973</c:v>
                </c:pt>
                <c:pt idx="193">
                  <c:v>0.48835206730897557</c:v>
                </c:pt>
                <c:pt idx="194">
                  <c:v>0.51503434950677973</c:v>
                </c:pt>
                <c:pt idx="195">
                  <c:v>0.46398998356315435</c:v>
                </c:pt>
                <c:pt idx="196">
                  <c:v>0.47907127350104367</c:v>
                </c:pt>
                <c:pt idx="197">
                  <c:v>0.5208348456367371</c:v>
                </c:pt>
                <c:pt idx="198">
                  <c:v>0.50459345647285636</c:v>
                </c:pt>
                <c:pt idx="199">
                  <c:v>0.50111315879488183</c:v>
                </c:pt>
                <c:pt idx="200">
                  <c:v>0.38278303774375039</c:v>
                </c:pt>
                <c:pt idx="201">
                  <c:v>0.48835206730897557</c:v>
                </c:pt>
                <c:pt idx="202">
                  <c:v>0.51503434950677973</c:v>
                </c:pt>
                <c:pt idx="203">
                  <c:v>0.52895554021867752</c:v>
                </c:pt>
                <c:pt idx="204">
                  <c:v>0.51851464718475415</c:v>
                </c:pt>
                <c:pt idx="205">
                  <c:v>0.52199494486272868</c:v>
                </c:pt>
                <c:pt idx="206">
                  <c:v>0.51851464718475415</c:v>
                </c:pt>
                <c:pt idx="207">
                  <c:v>0.50923385337682225</c:v>
                </c:pt>
                <c:pt idx="208">
                  <c:v>0.51851464718475415</c:v>
                </c:pt>
                <c:pt idx="209">
                  <c:v>0.51271415105479679</c:v>
                </c:pt>
                <c:pt idx="210">
                  <c:v>0.51039395260281373</c:v>
                </c:pt>
                <c:pt idx="211">
                  <c:v>0.54983732628652426</c:v>
                </c:pt>
                <c:pt idx="212">
                  <c:v>0.54171663170458384</c:v>
                </c:pt>
                <c:pt idx="213">
                  <c:v>0.54519692938255837</c:v>
                </c:pt>
                <c:pt idx="214">
                  <c:v>0.52779544099268605</c:v>
                </c:pt>
                <c:pt idx="215">
                  <c:v>0.54867722706053279</c:v>
                </c:pt>
                <c:pt idx="216">
                  <c:v>0.3572608547719377</c:v>
                </c:pt>
                <c:pt idx="217">
                  <c:v>0.52895554021867752</c:v>
                </c:pt>
                <c:pt idx="218">
                  <c:v>0.55795802086846469</c:v>
                </c:pt>
                <c:pt idx="219">
                  <c:v>0.54867722706053279</c:v>
                </c:pt>
                <c:pt idx="220">
                  <c:v>0.534756036348635</c:v>
                </c:pt>
                <c:pt idx="221">
                  <c:v>0.53707623480061795</c:v>
                </c:pt>
                <c:pt idx="222">
                  <c:v>0.54635702860854984</c:v>
                </c:pt>
                <c:pt idx="223">
                  <c:v>0.52663534176669458</c:v>
                </c:pt>
                <c:pt idx="224">
                  <c:v>0.54983732628652426</c:v>
                </c:pt>
                <c:pt idx="225">
                  <c:v>0.54635702860854984</c:v>
                </c:pt>
                <c:pt idx="226">
                  <c:v>0.53359593712264353</c:v>
                </c:pt>
                <c:pt idx="227">
                  <c:v>0.54055653247859237</c:v>
                </c:pt>
                <c:pt idx="228">
                  <c:v>0.54751712783454132</c:v>
                </c:pt>
                <c:pt idx="229">
                  <c:v>0.43614760213935871</c:v>
                </c:pt>
                <c:pt idx="230">
                  <c:v>0.55215752473850721</c:v>
                </c:pt>
                <c:pt idx="231">
                  <c:v>0.56375851699842205</c:v>
                </c:pt>
                <c:pt idx="232">
                  <c:v>0.55911812009445616</c:v>
                </c:pt>
                <c:pt idx="233">
                  <c:v>0.54403683015656679</c:v>
                </c:pt>
                <c:pt idx="234">
                  <c:v>0.53939643325260089</c:v>
                </c:pt>
                <c:pt idx="235">
                  <c:v>0.5799999061623029</c:v>
                </c:pt>
                <c:pt idx="236">
                  <c:v>0.56723881467639659</c:v>
                </c:pt>
                <c:pt idx="237">
                  <c:v>0.55331762396449868</c:v>
                </c:pt>
                <c:pt idx="238">
                  <c:v>0.55447772319049027</c:v>
                </c:pt>
                <c:pt idx="239">
                  <c:v>0.55215752473850721</c:v>
                </c:pt>
                <c:pt idx="240">
                  <c:v>0.56259841777243058</c:v>
                </c:pt>
                <c:pt idx="241">
                  <c:v>0.57303931080635395</c:v>
                </c:pt>
                <c:pt idx="242">
                  <c:v>0.58812060074424333</c:v>
                </c:pt>
                <c:pt idx="243">
                  <c:v>0.55679792164247321</c:v>
                </c:pt>
                <c:pt idx="244">
                  <c:v>0.57187921158036248</c:v>
                </c:pt>
                <c:pt idx="245">
                  <c:v>0.57187921158036248</c:v>
                </c:pt>
                <c:pt idx="246">
                  <c:v>0.56723881467639659</c:v>
                </c:pt>
                <c:pt idx="247">
                  <c:v>0.55795802086846469</c:v>
                </c:pt>
                <c:pt idx="248">
                  <c:v>0.5799999061623029</c:v>
                </c:pt>
                <c:pt idx="249">
                  <c:v>0.57651960848432837</c:v>
                </c:pt>
                <c:pt idx="250">
                  <c:v>0.57303931080635395</c:v>
                </c:pt>
                <c:pt idx="251">
                  <c:v>0.61248268449006449</c:v>
                </c:pt>
                <c:pt idx="252">
                  <c:v>0.5892806999702348</c:v>
                </c:pt>
                <c:pt idx="253">
                  <c:v>0.5799999061623029</c:v>
                </c:pt>
                <c:pt idx="254">
                  <c:v>0.58696050151825174</c:v>
                </c:pt>
                <c:pt idx="255">
                  <c:v>0.57651960848432837</c:v>
                </c:pt>
                <c:pt idx="256">
                  <c:v>0.57767970771031996</c:v>
                </c:pt>
                <c:pt idx="257">
                  <c:v>0.56607871545040511</c:v>
                </c:pt>
                <c:pt idx="258">
                  <c:v>0.57419941003234543</c:v>
                </c:pt>
                <c:pt idx="259">
                  <c:v>0.5892806999702348</c:v>
                </c:pt>
                <c:pt idx="260">
                  <c:v>0.54867722706053279</c:v>
                </c:pt>
                <c:pt idx="261">
                  <c:v>0.57883980693631143</c:v>
                </c:pt>
                <c:pt idx="262">
                  <c:v>0.53823633402660942</c:v>
                </c:pt>
                <c:pt idx="263">
                  <c:v>0.60320189068213259</c:v>
                </c:pt>
                <c:pt idx="264">
                  <c:v>0.57883980693631143</c:v>
                </c:pt>
                <c:pt idx="265">
                  <c:v>0.58232010461428585</c:v>
                </c:pt>
                <c:pt idx="266">
                  <c:v>0.57187921158036248</c:v>
                </c:pt>
                <c:pt idx="267">
                  <c:v>0.57883980693631143</c:v>
                </c:pt>
                <c:pt idx="268">
                  <c:v>0.62756397442795375</c:v>
                </c:pt>
                <c:pt idx="269">
                  <c:v>0.59740139455217522</c:v>
                </c:pt>
                <c:pt idx="270">
                  <c:v>0.58696050151825174</c:v>
                </c:pt>
                <c:pt idx="271">
                  <c:v>0.57303931080635395</c:v>
                </c:pt>
                <c:pt idx="272">
                  <c:v>0.59276099764820922</c:v>
                </c:pt>
                <c:pt idx="273">
                  <c:v>0.58348020384027732</c:v>
                </c:pt>
                <c:pt idx="274">
                  <c:v>0.58232010461428585</c:v>
                </c:pt>
                <c:pt idx="275">
                  <c:v>0.54867722706053279</c:v>
                </c:pt>
                <c:pt idx="276">
                  <c:v>0.60436198990812406</c:v>
                </c:pt>
                <c:pt idx="277">
                  <c:v>0.58812060074424333</c:v>
                </c:pt>
                <c:pt idx="278">
                  <c:v>0.57419941003234543</c:v>
                </c:pt>
                <c:pt idx="279">
                  <c:v>0.59740139455217522</c:v>
                </c:pt>
                <c:pt idx="280">
                  <c:v>0.60552208913411554</c:v>
                </c:pt>
                <c:pt idx="281">
                  <c:v>0.63104427210592828</c:v>
                </c:pt>
                <c:pt idx="282">
                  <c:v>0.5846403030662688</c:v>
                </c:pt>
                <c:pt idx="283">
                  <c:v>0.58812060074424333</c:v>
                </c:pt>
                <c:pt idx="284">
                  <c:v>0.62176347829799639</c:v>
                </c:pt>
                <c:pt idx="285">
                  <c:v>0.62292357752398786</c:v>
                </c:pt>
                <c:pt idx="286">
                  <c:v>0.5846403030662688</c:v>
                </c:pt>
                <c:pt idx="287">
                  <c:v>0.6078422875860986</c:v>
                </c:pt>
                <c:pt idx="288">
                  <c:v>0.60436198990812406</c:v>
                </c:pt>
                <c:pt idx="289">
                  <c:v>0.59160089842221775</c:v>
                </c:pt>
                <c:pt idx="290">
                  <c:v>0.60900238681208996</c:v>
                </c:pt>
                <c:pt idx="291">
                  <c:v>0.62060337907200491</c:v>
                </c:pt>
                <c:pt idx="292">
                  <c:v>0.62176347829799639</c:v>
                </c:pt>
                <c:pt idx="293">
                  <c:v>0.62524377597597081</c:v>
                </c:pt>
                <c:pt idx="294">
                  <c:v>0.59624129532618364</c:v>
                </c:pt>
                <c:pt idx="295">
                  <c:v>0.60088169223014964</c:v>
                </c:pt>
                <c:pt idx="296">
                  <c:v>0.61480288294204744</c:v>
                </c:pt>
                <c:pt idx="297">
                  <c:v>0.61248268449006449</c:v>
                </c:pt>
                <c:pt idx="298">
                  <c:v>0.61596298216803891</c:v>
                </c:pt>
                <c:pt idx="299">
                  <c:v>0.62756397442795375</c:v>
                </c:pt>
                <c:pt idx="300">
                  <c:v>0.63220437133191976</c:v>
                </c:pt>
                <c:pt idx="301">
                  <c:v>0.62756397442795375</c:v>
                </c:pt>
                <c:pt idx="302">
                  <c:v>0.5799999061623029</c:v>
                </c:pt>
                <c:pt idx="303">
                  <c:v>0.46282988433716288</c:v>
                </c:pt>
                <c:pt idx="304">
                  <c:v>0.61712308139403038</c:v>
                </c:pt>
                <c:pt idx="305">
                  <c:v>0.64148516513985165</c:v>
                </c:pt>
                <c:pt idx="306">
                  <c:v>0.64032506591386018</c:v>
                </c:pt>
                <c:pt idx="307">
                  <c:v>0.61712308139403038</c:v>
                </c:pt>
                <c:pt idx="308">
                  <c:v>0.64032506591386018</c:v>
                </c:pt>
                <c:pt idx="309">
                  <c:v>0.62756397442795375</c:v>
                </c:pt>
                <c:pt idx="310">
                  <c:v>0.60436198990812406</c:v>
                </c:pt>
                <c:pt idx="311">
                  <c:v>0.65424625662575797</c:v>
                </c:pt>
                <c:pt idx="312">
                  <c:v>0.65540635585174944</c:v>
                </c:pt>
                <c:pt idx="313">
                  <c:v>0.65888665352972398</c:v>
                </c:pt>
                <c:pt idx="314">
                  <c:v>0.63800486746187712</c:v>
                </c:pt>
                <c:pt idx="315">
                  <c:v>0.64844576049580049</c:v>
                </c:pt>
                <c:pt idx="316">
                  <c:v>0.65772655430373239</c:v>
                </c:pt>
                <c:pt idx="317">
                  <c:v>0.67164774501563018</c:v>
                </c:pt>
                <c:pt idx="318">
                  <c:v>0.65656645507774092</c:v>
                </c:pt>
                <c:pt idx="319">
                  <c:v>0.64844576049580049</c:v>
                </c:pt>
                <c:pt idx="320">
                  <c:v>0.64844576049580049</c:v>
                </c:pt>
                <c:pt idx="321">
                  <c:v>0.68324873727554503</c:v>
                </c:pt>
                <c:pt idx="322">
                  <c:v>0.65656645507774092</c:v>
                </c:pt>
                <c:pt idx="323">
                  <c:v>0.6298841728799367</c:v>
                </c:pt>
                <c:pt idx="324">
                  <c:v>0.6844088365015365</c:v>
                </c:pt>
                <c:pt idx="325">
                  <c:v>0.6983300272134344</c:v>
                </c:pt>
                <c:pt idx="326">
                  <c:v>0.67048764578963871</c:v>
                </c:pt>
                <c:pt idx="327">
                  <c:v>0.71805171405528967</c:v>
                </c:pt>
                <c:pt idx="328">
                  <c:v>0.6936896303094684</c:v>
                </c:pt>
                <c:pt idx="329">
                  <c:v>0.70065022566541735</c:v>
                </c:pt>
                <c:pt idx="330">
                  <c:v>0.54751712783454132</c:v>
                </c:pt>
                <c:pt idx="331">
                  <c:v>0.57651960848432837</c:v>
                </c:pt>
                <c:pt idx="332">
                  <c:v>0.68788913417951103</c:v>
                </c:pt>
                <c:pt idx="333">
                  <c:v>0.65540635585174944</c:v>
                </c:pt>
                <c:pt idx="334">
                  <c:v>0.77025617922490652</c:v>
                </c:pt>
                <c:pt idx="335">
                  <c:v>0.70065022566541735</c:v>
                </c:pt>
                <c:pt idx="336">
                  <c:v>0.69949012643942587</c:v>
                </c:pt>
                <c:pt idx="337">
                  <c:v>0.73661330167115335</c:v>
                </c:pt>
                <c:pt idx="338">
                  <c:v>0.72733250786322157</c:v>
                </c:pt>
                <c:pt idx="339">
                  <c:v>0.70877092024735777</c:v>
                </c:pt>
                <c:pt idx="340">
                  <c:v>0.79113796529275326</c:v>
                </c:pt>
                <c:pt idx="341">
                  <c:v>0.76097538541697451</c:v>
                </c:pt>
                <c:pt idx="342">
                  <c:v>0.77489657612887242</c:v>
                </c:pt>
                <c:pt idx="343">
                  <c:v>0.81085965213460842</c:v>
                </c:pt>
                <c:pt idx="344">
                  <c:v>0.4164259152975035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01-4113-99D5-48680977FE23}"/>
            </c:ext>
          </c:extLst>
        </c:ser>
        <c:ser>
          <c:idx val="5"/>
          <c:order val="2"/>
          <c:tx>
            <c:strRef>
              <c:f>'Ajuste 2024'!$K$3</c:f>
              <c:strCache>
                <c:ptCount val="1"/>
                <c:pt idx="0">
                  <c:v>Conectividad hogar_2024_v2_censo_estandarizada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'Ajuste 2024'!$C$4:$C$348</c:f>
              <c:strCache>
                <c:ptCount val="345"/>
                <c:pt idx="0">
                  <c:v>Río Verde</c:v>
                </c:pt>
                <c:pt idx="1">
                  <c:v>Río Hurtado</c:v>
                </c:pt>
                <c:pt idx="2">
                  <c:v>San Juan de la Costa</c:v>
                </c:pt>
                <c:pt idx="3">
                  <c:v>Quilleco</c:v>
                </c:pt>
                <c:pt idx="4">
                  <c:v>Sagrada Familia</c:v>
                </c:pt>
                <c:pt idx="5">
                  <c:v>Camiña</c:v>
                </c:pt>
                <c:pt idx="6">
                  <c:v>Paihuano</c:v>
                </c:pt>
                <c:pt idx="7">
                  <c:v>Paredones</c:v>
                </c:pt>
                <c:pt idx="8">
                  <c:v>Tirúa</c:v>
                </c:pt>
                <c:pt idx="9">
                  <c:v>Melipeuco</c:v>
                </c:pt>
                <c:pt idx="10">
                  <c:v>Lonquimay</c:v>
                </c:pt>
                <c:pt idx="11">
                  <c:v>Alto Del Carmen</c:v>
                </c:pt>
                <c:pt idx="12">
                  <c:v>Lumaco</c:v>
                </c:pt>
                <c:pt idx="13">
                  <c:v>Freirina</c:v>
                </c:pt>
                <c:pt idx="14">
                  <c:v>Huara</c:v>
                </c:pt>
                <c:pt idx="15">
                  <c:v>Ñiquén</c:v>
                </c:pt>
                <c:pt idx="16">
                  <c:v>Pica</c:v>
                </c:pt>
                <c:pt idx="17">
                  <c:v>Alto Biobío</c:v>
                </c:pt>
                <c:pt idx="18">
                  <c:v>Petorca</c:v>
                </c:pt>
                <c:pt idx="19">
                  <c:v>Antuco</c:v>
                </c:pt>
                <c:pt idx="20">
                  <c:v>Putre</c:v>
                </c:pt>
                <c:pt idx="21">
                  <c:v>Tortel</c:v>
                </c:pt>
                <c:pt idx="22">
                  <c:v>Curarrehue</c:v>
                </c:pt>
                <c:pt idx="23">
                  <c:v>Puqueldón</c:v>
                </c:pt>
                <c:pt idx="24">
                  <c:v>San Nicolás</c:v>
                </c:pt>
                <c:pt idx="25">
                  <c:v>Chanco</c:v>
                </c:pt>
                <c:pt idx="26">
                  <c:v>Curepto</c:v>
                </c:pt>
                <c:pt idx="27">
                  <c:v>Palmilla</c:v>
                </c:pt>
                <c:pt idx="28">
                  <c:v>Saavedra</c:v>
                </c:pt>
                <c:pt idx="29">
                  <c:v>Pelarco</c:v>
                </c:pt>
                <c:pt idx="30">
                  <c:v>El Carmen</c:v>
                </c:pt>
                <c:pt idx="31">
                  <c:v>Camarones</c:v>
                </c:pt>
                <c:pt idx="32">
                  <c:v>Pumanque</c:v>
                </c:pt>
                <c:pt idx="33">
                  <c:v>Placilla</c:v>
                </c:pt>
                <c:pt idx="34">
                  <c:v>General Lagos</c:v>
                </c:pt>
                <c:pt idx="35">
                  <c:v>Coihueco</c:v>
                </c:pt>
                <c:pt idx="36">
                  <c:v>San Pedro</c:v>
                </c:pt>
                <c:pt idx="37">
                  <c:v>Portezuelo</c:v>
                </c:pt>
                <c:pt idx="38">
                  <c:v>Pencahue</c:v>
                </c:pt>
                <c:pt idx="39">
                  <c:v>Cholchol</c:v>
                </c:pt>
                <c:pt idx="40">
                  <c:v>Yerbas Buenas</c:v>
                </c:pt>
                <c:pt idx="41">
                  <c:v>Curaco de Vélez</c:v>
                </c:pt>
                <c:pt idx="42">
                  <c:v>María Elena</c:v>
                </c:pt>
                <c:pt idx="43">
                  <c:v>Marchihue</c:v>
                </c:pt>
                <c:pt idx="44">
                  <c:v>Lago Ranco</c:v>
                </c:pt>
                <c:pt idx="45">
                  <c:v>Río Claro</c:v>
                </c:pt>
                <c:pt idx="46">
                  <c:v>Hualaihue</c:v>
                </c:pt>
                <c:pt idx="47">
                  <c:v>Chañaral</c:v>
                </c:pt>
                <c:pt idx="48">
                  <c:v>Empedrado</c:v>
                </c:pt>
                <c:pt idx="49">
                  <c:v>Quinchao</c:v>
                </c:pt>
                <c:pt idx="50">
                  <c:v>Peralillo</c:v>
                </c:pt>
                <c:pt idx="51">
                  <c:v>Galvarino</c:v>
                </c:pt>
                <c:pt idx="52">
                  <c:v>Ninhue</c:v>
                </c:pt>
                <c:pt idx="53">
                  <c:v>Toltén</c:v>
                </c:pt>
                <c:pt idx="54">
                  <c:v>San Rafael</c:v>
                </c:pt>
                <c:pt idx="55">
                  <c:v>Monte Patria</c:v>
                </c:pt>
                <c:pt idx="56">
                  <c:v>San Ignacio</c:v>
                </c:pt>
                <c:pt idx="57">
                  <c:v>Treguaco</c:v>
                </c:pt>
                <c:pt idx="58">
                  <c:v>Corral</c:v>
                </c:pt>
                <c:pt idx="59">
                  <c:v>La Higuera</c:v>
                </c:pt>
                <c:pt idx="60">
                  <c:v>Chépica</c:v>
                </c:pt>
                <c:pt idx="61">
                  <c:v>Salamanca</c:v>
                </c:pt>
                <c:pt idx="62">
                  <c:v>Las Cabras</c:v>
                </c:pt>
                <c:pt idx="63">
                  <c:v>Carahue</c:v>
                </c:pt>
                <c:pt idx="64">
                  <c:v>Cochamó</c:v>
                </c:pt>
                <c:pt idx="65">
                  <c:v>Futrono</c:v>
                </c:pt>
                <c:pt idx="66">
                  <c:v>Hualañé</c:v>
                </c:pt>
                <c:pt idx="67">
                  <c:v>Los Muermos</c:v>
                </c:pt>
                <c:pt idx="68">
                  <c:v>Negrete</c:v>
                </c:pt>
                <c:pt idx="69">
                  <c:v>San Pedro de Atacama</c:v>
                </c:pt>
                <c:pt idx="70">
                  <c:v>Villa Alegre</c:v>
                </c:pt>
                <c:pt idx="71">
                  <c:v>Colbún</c:v>
                </c:pt>
                <c:pt idx="72">
                  <c:v>Teno</c:v>
                </c:pt>
                <c:pt idx="73">
                  <c:v>Maullín</c:v>
                </c:pt>
                <c:pt idx="74">
                  <c:v>Lolol</c:v>
                </c:pt>
                <c:pt idx="75">
                  <c:v>Queilén</c:v>
                </c:pt>
                <c:pt idx="76">
                  <c:v>Quemchi</c:v>
                </c:pt>
                <c:pt idx="77">
                  <c:v>Fresia</c:v>
                </c:pt>
                <c:pt idx="78">
                  <c:v>Colchane</c:v>
                </c:pt>
                <c:pt idx="79">
                  <c:v>Malloa</c:v>
                </c:pt>
                <c:pt idx="80">
                  <c:v>Teodoro Schmidt</c:v>
                </c:pt>
                <c:pt idx="81">
                  <c:v>Florida</c:v>
                </c:pt>
                <c:pt idx="82">
                  <c:v>Pichidegua</c:v>
                </c:pt>
                <c:pt idx="83">
                  <c:v>Quirihue</c:v>
                </c:pt>
                <c:pt idx="84">
                  <c:v>Punitaqui</c:v>
                </c:pt>
                <c:pt idx="85">
                  <c:v>Ollagüe</c:v>
                </c:pt>
                <c:pt idx="86">
                  <c:v>Ranquil</c:v>
                </c:pt>
                <c:pt idx="87">
                  <c:v>Puerto Octay</c:v>
                </c:pt>
                <c:pt idx="88">
                  <c:v>San José de Maipo</c:v>
                </c:pt>
                <c:pt idx="89">
                  <c:v>La Estrella</c:v>
                </c:pt>
                <c:pt idx="90">
                  <c:v>Pemuco</c:v>
                </c:pt>
                <c:pt idx="91">
                  <c:v>Maule</c:v>
                </c:pt>
                <c:pt idx="92">
                  <c:v>Chonchi</c:v>
                </c:pt>
                <c:pt idx="93">
                  <c:v>Litueche</c:v>
                </c:pt>
                <c:pt idx="94">
                  <c:v>Laguna Blanca</c:v>
                </c:pt>
                <c:pt idx="95">
                  <c:v>Guaitecas</c:v>
                </c:pt>
                <c:pt idx="96">
                  <c:v>Primavera</c:v>
                </c:pt>
                <c:pt idx="97">
                  <c:v>Freire</c:v>
                </c:pt>
                <c:pt idx="98">
                  <c:v>Dalcahue</c:v>
                </c:pt>
                <c:pt idx="99">
                  <c:v>Canela</c:v>
                </c:pt>
                <c:pt idx="100">
                  <c:v>La Pintana</c:v>
                </c:pt>
                <c:pt idx="101">
                  <c:v>San Javier</c:v>
                </c:pt>
                <c:pt idx="102">
                  <c:v>Tierra Amarilla</c:v>
                </c:pt>
                <c:pt idx="103">
                  <c:v>Chimbarongo</c:v>
                </c:pt>
                <c:pt idx="104">
                  <c:v>Peumo</c:v>
                </c:pt>
                <c:pt idx="105">
                  <c:v>Combarbalá</c:v>
                </c:pt>
                <c:pt idx="106">
                  <c:v>Codegua</c:v>
                </c:pt>
                <c:pt idx="107">
                  <c:v>Los Lagos</c:v>
                </c:pt>
                <c:pt idx="108">
                  <c:v>Vicuña</c:v>
                </c:pt>
                <c:pt idx="109">
                  <c:v>Paine</c:v>
                </c:pt>
                <c:pt idx="110">
                  <c:v>Renaico</c:v>
                </c:pt>
                <c:pt idx="111">
                  <c:v>Vilcún</c:v>
                </c:pt>
                <c:pt idx="112">
                  <c:v>Puyehue</c:v>
                </c:pt>
                <c:pt idx="113">
                  <c:v>Romeral</c:v>
                </c:pt>
                <c:pt idx="114">
                  <c:v>Pirque</c:v>
                </c:pt>
                <c:pt idx="115">
                  <c:v>Perquenco</c:v>
                </c:pt>
                <c:pt idx="116">
                  <c:v>Pozo Almonte</c:v>
                </c:pt>
                <c:pt idx="117">
                  <c:v>Quilaco</c:v>
                </c:pt>
                <c:pt idx="118">
                  <c:v>Nancagua</c:v>
                </c:pt>
                <c:pt idx="119">
                  <c:v>Longaví</c:v>
                </c:pt>
                <c:pt idx="120">
                  <c:v>San Clemente</c:v>
                </c:pt>
                <c:pt idx="121">
                  <c:v>Quellón</c:v>
                </c:pt>
                <c:pt idx="122">
                  <c:v>Padre Las Casas</c:v>
                </c:pt>
                <c:pt idx="123">
                  <c:v>Curacaví</c:v>
                </c:pt>
                <c:pt idx="124">
                  <c:v>Ercilla</c:v>
                </c:pt>
                <c:pt idx="125">
                  <c:v>Panguipulli</c:v>
                </c:pt>
                <c:pt idx="126">
                  <c:v>Gorbea</c:v>
                </c:pt>
                <c:pt idx="127">
                  <c:v>Chillán Viejo</c:v>
                </c:pt>
                <c:pt idx="128">
                  <c:v>Cabildo</c:v>
                </c:pt>
                <c:pt idx="129">
                  <c:v>Requinoa</c:v>
                </c:pt>
                <c:pt idx="130">
                  <c:v>Cobquecura</c:v>
                </c:pt>
                <c:pt idx="131">
                  <c:v>San Pablo</c:v>
                </c:pt>
                <c:pt idx="132">
                  <c:v>Calbuco</c:v>
                </c:pt>
                <c:pt idx="133">
                  <c:v>Catemu</c:v>
                </c:pt>
                <c:pt idx="134">
                  <c:v>Molina</c:v>
                </c:pt>
                <c:pt idx="135">
                  <c:v>Santa María</c:v>
                </c:pt>
                <c:pt idx="136">
                  <c:v>Santa Bárbara</c:v>
                </c:pt>
                <c:pt idx="137">
                  <c:v>San Fabián</c:v>
                </c:pt>
                <c:pt idx="138">
                  <c:v>Huasco</c:v>
                </c:pt>
                <c:pt idx="139">
                  <c:v>Río Negro</c:v>
                </c:pt>
                <c:pt idx="140">
                  <c:v>Nueva Imperial</c:v>
                </c:pt>
                <c:pt idx="141">
                  <c:v>Andacollo</c:v>
                </c:pt>
                <c:pt idx="142">
                  <c:v>Cunco</c:v>
                </c:pt>
                <c:pt idx="143">
                  <c:v>Vichuquén</c:v>
                </c:pt>
                <c:pt idx="144">
                  <c:v>Rauco</c:v>
                </c:pt>
                <c:pt idx="145">
                  <c:v>Olivar</c:v>
                </c:pt>
                <c:pt idx="146">
                  <c:v>San Vicente</c:v>
                </c:pt>
                <c:pt idx="147">
                  <c:v>Yumbel</c:v>
                </c:pt>
                <c:pt idx="148">
                  <c:v>Retiro</c:v>
                </c:pt>
                <c:pt idx="149">
                  <c:v>Paillaco</c:v>
                </c:pt>
                <c:pt idx="150">
                  <c:v>Bulnes</c:v>
                </c:pt>
                <c:pt idx="151">
                  <c:v>Melipilla</c:v>
                </c:pt>
                <c:pt idx="152">
                  <c:v>Purén</c:v>
                </c:pt>
                <c:pt idx="153">
                  <c:v>Calera de Tango</c:v>
                </c:pt>
                <c:pt idx="154">
                  <c:v>Quinta de Tilcoco</c:v>
                </c:pt>
                <c:pt idx="155">
                  <c:v>Mafil</c:v>
                </c:pt>
                <c:pt idx="156">
                  <c:v>Mariquina</c:v>
                </c:pt>
                <c:pt idx="157">
                  <c:v>Los Sauces</c:v>
                </c:pt>
                <c:pt idx="158">
                  <c:v>San Carlos</c:v>
                </c:pt>
                <c:pt idx="159">
                  <c:v>Cañete</c:v>
                </c:pt>
                <c:pt idx="160">
                  <c:v>Illapel</c:v>
                </c:pt>
                <c:pt idx="161">
                  <c:v>Putaendo</c:v>
                </c:pt>
                <c:pt idx="162">
                  <c:v>Yungay</c:v>
                </c:pt>
                <c:pt idx="163">
                  <c:v>Cabo de Hornos</c:v>
                </c:pt>
                <c:pt idx="164">
                  <c:v>Lanco</c:v>
                </c:pt>
                <c:pt idx="165">
                  <c:v>Santa Juana</c:v>
                </c:pt>
                <c:pt idx="166">
                  <c:v>Quillón</c:v>
                </c:pt>
                <c:pt idx="167">
                  <c:v>Chile Chico</c:v>
                </c:pt>
                <c:pt idx="168">
                  <c:v>Chaitén</c:v>
                </c:pt>
                <c:pt idx="169">
                  <c:v>Lago Verde</c:v>
                </c:pt>
                <c:pt idx="170">
                  <c:v>Isla de Maipo</c:v>
                </c:pt>
                <c:pt idx="171">
                  <c:v>Río Bueno</c:v>
                </c:pt>
                <c:pt idx="172">
                  <c:v>Pinto</c:v>
                </c:pt>
                <c:pt idx="173">
                  <c:v>Hijuelas</c:v>
                </c:pt>
                <c:pt idx="174">
                  <c:v>Río Ibáñez</c:v>
                </c:pt>
                <c:pt idx="175">
                  <c:v>San Rosendo</c:v>
                </c:pt>
                <c:pt idx="176">
                  <c:v>Constitución</c:v>
                </c:pt>
                <c:pt idx="177">
                  <c:v>Llaillay</c:v>
                </c:pt>
                <c:pt idx="178">
                  <c:v>Purranque</c:v>
                </c:pt>
                <c:pt idx="179">
                  <c:v>Alto Hospicio</c:v>
                </c:pt>
                <c:pt idx="180">
                  <c:v>Traiguén</c:v>
                </c:pt>
                <c:pt idx="181">
                  <c:v>Santa Cruz</c:v>
                </c:pt>
                <c:pt idx="182">
                  <c:v>Coltauco</c:v>
                </c:pt>
                <c:pt idx="183">
                  <c:v>Coelemu</c:v>
                </c:pt>
                <c:pt idx="184">
                  <c:v>Ancud</c:v>
                </c:pt>
                <c:pt idx="185">
                  <c:v>Collipulli</c:v>
                </c:pt>
                <c:pt idx="186">
                  <c:v>Lampa</c:v>
                </c:pt>
                <c:pt idx="187">
                  <c:v>Pelluhue</c:v>
                </c:pt>
                <c:pt idx="188">
                  <c:v>Cabrero</c:v>
                </c:pt>
                <c:pt idx="189">
                  <c:v>Ovalle</c:v>
                </c:pt>
                <c:pt idx="190">
                  <c:v>Laja</c:v>
                </c:pt>
                <c:pt idx="191">
                  <c:v>Mostazal</c:v>
                </c:pt>
                <c:pt idx="192">
                  <c:v>Mulchén</c:v>
                </c:pt>
                <c:pt idx="193">
                  <c:v>Til Til</c:v>
                </c:pt>
                <c:pt idx="194">
                  <c:v>Navidad</c:v>
                </c:pt>
                <c:pt idx="195">
                  <c:v>Diego de Almagro</c:v>
                </c:pt>
                <c:pt idx="196">
                  <c:v>Juan Fernández</c:v>
                </c:pt>
                <c:pt idx="197">
                  <c:v>Casablanca</c:v>
                </c:pt>
                <c:pt idx="198">
                  <c:v>Licantén</c:v>
                </c:pt>
                <c:pt idx="199">
                  <c:v>Lo Espejo</c:v>
                </c:pt>
                <c:pt idx="200">
                  <c:v>San Gregorio</c:v>
                </c:pt>
                <c:pt idx="201">
                  <c:v>Panquehue</c:v>
                </c:pt>
                <c:pt idx="202">
                  <c:v>Contulmo</c:v>
                </c:pt>
                <c:pt idx="203">
                  <c:v>Loncoche</c:v>
                </c:pt>
                <c:pt idx="204">
                  <c:v>El Monte</c:v>
                </c:pt>
                <c:pt idx="205">
                  <c:v>Coinco</c:v>
                </c:pt>
                <c:pt idx="206">
                  <c:v>La Ligua</c:v>
                </c:pt>
                <c:pt idx="207">
                  <c:v>Taltal</c:v>
                </c:pt>
                <c:pt idx="208">
                  <c:v>Curacautín</c:v>
                </c:pt>
                <c:pt idx="209">
                  <c:v>Doñihue</c:v>
                </c:pt>
                <c:pt idx="210">
                  <c:v>Mejillones</c:v>
                </c:pt>
                <c:pt idx="211">
                  <c:v>Buin</c:v>
                </c:pt>
                <c:pt idx="212">
                  <c:v>Lautaro</c:v>
                </c:pt>
                <c:pt idx="213">
                  <c:v>Pitrufquén</c:v>
                </c:pt>
                <c:pt idx="214">
                  <c:v>San Esteban</c:v>
                </c:pt>
                <c:pt idx="215">
                  <c:v>Tucapel</c:v>
                </c:pt>
                <c:pt idx="216">
                  <c:v>María Pinto</c:v>
                </c:pt>
                <c:pt idx="217">
                  <c:v>San Ramón</c:v>
                </c:pt>
                <c:pt idx="218">
                  <c:v>Frutillar</c:v>
                </c:pt>
                <c:pt idx="219">
                  <c:v>Hualpén</c:v>
                </c:pt>
                <c:pt idx="220">
                  <c:v>Linares</c:v>
                </c:pt>
                <c:pt idx="221">
                  <c:v>Nogales</c:v>
                </c:pt>
                <c:pt idx="222">
                  <c:v>Palena</c:v>
                </c:pt>
                <c:pt idx="223">
                  <c:v>Calle Larga</c:v>
                </c:pt>
                <c:pt idx="224">
                  <c:v>Castro</c:v>
                </c:pt>
                <c:pt idx="225">
                  <c:v>Olmué</c:v>
                </c:pt>
                <c:pt idx="226">
                  <c:v>Caldera</c:v>
                </c:pt>
                <c:pt idx="227">
                  <c:v>Talagante</c:v>
                </c:pt>
                <c:pt idx="228">
                  <c:v>Llanquihue</c:v>
                </c:pt>
                <c:pt idx="229">
                  <c:v>Timaukel</c:v>
                </c:pt>
                <c:pt idx="230">
                  <c:v>Cauquenes</c:v>
                </c:pt>
                <c:pt idx="231">
                  <c:v>Los Angeles</c:v>
                </c:pt>
                <c:pt idx="232">
                  <c:v>Nacimiento</c:v>
                </c:pt>
                <c:pt idx="233">
                  <c:v>Colina</c:v>
                </c:pt>
                <c:pt idx="234">
                  <c:v>Parral</c:v>
                </c:pt>
                <c:pt idx="235">
                  <c:v>Pucón</c:v>
                </c:pt>
                <c:pt idx="236">
                  <c:v>La Unión</c:v>
                </c:pt>
                <c:pt idx="237">
                  <c:v>Cochrane</c:v>
                </c:pt>
                <c:pt idx="238">
                  <c:v>San Bernardo</c:v>
                </c:pt>
                <c:pt idx="239">
                  <c:v>Cerro Navia</c:v>
                </c:pt>
                <c:pt idx="240">
                  <c:v>Arauco</c:v>
                </c:pt>
                <c:pt idx="241">
                  <c:v>Victoria</c:v>
                </c:pt>
                <c:pt idx="242">
                  <c:v>Papudo</c:v>
                </c:pt>
                <c:pt idx="243">
                  <c:v>Renca</c:v>
                </c:pt>
                <c:pt idx="244">
                  <c:v>Los Alamos</c:v>
                </c:pt>
                <c:pt idx="245">
                  <c:v>La Granja</c:v>
                </c:pt>
                <c:pt idx="246">
                  <c:v>Vallenar</c:v>
                </c:pt>
                <c:pt idx="247">
                  <c:v>Los Vilos</c:v>
                </c:pt>
                <c:pt idx="248">
                  <c:v>San Fernando</c:v>
                </c:pt>
                <c:pt idx="249">
                  <c:v>Rengo</c:v>
                </c:pt>
                <c:pt idx="250">
                  <c:v>Rinconada</c:v>
                </c:pt>
                <c:pt idx="251">
                  <c:v>Villarrica</c:v>
                </c:pt>
                <c:pt idx="252">
                  <c:v>Futaleufú</c:v>
                </c:pt>
                <c:pt idx="253">
                  <c:v>Hualqui</c:v>
                </c:pt>
                <c:pt idx="254">
                  <c:v>Arica</c:v>
                </c:pt>
                <c:pt idx="255">
                  <c:v>Aisén</c:v>
                </c:pt>
                <c:pt idx="256">
                  <c:v>San Felipe</c:v>
                </c:pt>
                <c:pt idx="257">
                  <c:v>Peñalolén</c:v>
                </c:pt>
                <c:pt idx="258">
                  <c:v>Lebu</c:v>
                </c:pt>
                <c:pt idx="259">
                  <c:v>Tocopilla</c:v>
                </c:pt>
                <c:pt idx="260">
                  <c:v>Recoleta</c:v>
                </c:pt>
                <c:pt idx="261">
                  <c:v>Quintero</c:v>
                </c:pt>
                <c:pt idx="262">
                  <c:v>Quilicura</c:v>
                </c:pt>
                <c:pt idx="263">
                  <c:v>Puerto Montt</c:v>
                </c:pt>
                <c:pt idx="264">
                  <c:v>Peñaflor</c:v>
                </c:pt>
                <c:pt idx="265">
                  <c:v>El Bosque</c:v>
                </c:pt>
                <c:pt idx="266">
                  <c:v>Lo Prado</c:v>
                </c:pt>
                <c:pt idx="267">
                  <c:v>Pedro Aguirre Cerda</c:v>
                </c:pt>
                <c:pt idx="268">
                  <c:v>Limache</c:v>
                </c:pt>
                <c:pt idx="269">
                  <c:v>San Antonio</c:v>
                </c:pt>
                <c:pt idx="270">
                  <c:v>Coyhaique</c:v>
                </c:pt>
                <c:pt idx="271">
                  <c:v>Lo Barnechea</c:v>
                </c:pt>
                <c:pt idx="272">
                  <c:v>Graneros</c:v>
                </c:pt>
                <c:pt idx="273">
                  <c:v>Cisnes</c:v>
                </c:pt>
                <c:pt idx="274">
                  <c:v>Conchalí</c:v>
                </c:pt>
                <c:pt idx="275">
                  <c:v>O'Higgins</c:v>
                </c:pt>
                <c:pt idx="276">
                  <c:v>Copiapó</c:v>
                </c:pt>
                <c:pt idx="277">
                  <c:v>Curanilahue</c:v>
                </c:pt>
                <c:pt idx="278">
                  <c:v>Huechuraba</c:v>
                </c:pt>
                <c:pt idx="279">
                  <c:v>San Joaquín</c:v>
                </c:pt>
                <c:pt idx="280">
                  <c:v>Calera</c:v>
                </c:pt>
                <c:pt idx="281">
                  <c:v>Puerto Varas</c:v>
                </c:pt>
                <c:pt idx="282">
                  <c:v>Puente Alto</c:v>
                </c:pt>
                <c:pt idx="283">
                  <c:v>Pudahuel</c:v>
                </c:pt>
                <c:pt idx="284">
                  <c:v>Pichilemu</c:v>
                </c:pt>
                <c:pt idx="285">
                  <c:v>Padre Hurtado</c:v>
                </c:pt>
                <c:pt idx="286">
                  <c:v>Porvenir</c:v>
                </c:pt>
                <c:pt idx="287">
                  <c:v>Cerrillos</c:v>
                </c:pt>
                <c:pt idx="288">
                  <c:v>Angol</c:v>
                </c:pt>
                <c:pt idx="289">
                  <c:v>Iquique</c:v>
                </c:pt>
                <c:pt idx="290">
                  <c:v>Quinta Normal</c:v>
                </c:pt>
                <c:pt idx="291">
                  <c:v>Quillota</c:v>
                </c:pt>
                <c:pt idx="292">
                  <c:v>Osorno</c:v>
                </c:pt>
                <c:pt idx="293">
                  <c:v>Coquimbo</c:v>
                </c:pt>
                <c:pt idx="294">
                  <c:v>Calama</c:v>
                </c:pt>
                <c:pt idx="295">
                  <c:v>Cartagena</c:v>
                </c:pt>
                <c:pt idx="296">
                  <c:v>Curicó</c:v>
                </c:pt>
                <c:pt idx="297">
                  <c:v>La Cruz</c:v>
                </c:pt>
                <c:pt idx="298">
                  <c:v>Antofagasta</c:v>
                </c:pt>
                <c:pt idx="299">
                  <c:v>Tomé</c:v>
                </c:pt>
                <c:pt idx="300">
                  <c:v>Penco</c:v>
                </c:pt>
                <c:pt idx="301">
                  <c:v>Machalí</c:v>
                </c:pt>
                <c:pt idx="302">
                  <c:v>Independencia</c:v>
                </c:pt>
                <c:pt idx="303">
                  <c:v>Isla de Pascua</c:v>
                </c:pt>
                <c:pt idx="304">
                  <c:v>Maipú</c:v>
                </c:pt>
                <c:pt idx="305">
                  <c:v>Rancagua</c:v>
                </c:pt>
                <c:pt idx="306">
                  <c:v>Valdivia</c:v>
                </c:pt>
                <c:pt idx="307">
                  <c:v>Lota</c:v>
                </c:pt>
                <c:pt idx="308">
                  <c:v>La Serena</c:v>
                </c:pt>
                <c:pt idx="309">
                  <c:v>Valparaíso</c:v>
                </c:pt>
                <c:pt idx="310">
                  <c:v>Estación Central</c:v>
                </c:pt>
                <c:pt idx="311">
                  <c:v>Talca</c:v>
                </c:pt>
                <c:pt idx="312">
                  <c:v>Villa Alemana</c:v>
                </c:pt>
                <c:pt idx="313">
                  <c:v>Coronel</c:v>
                </c:pt>
                <c:pt idx="314">
                  <c:v>Chillán</c:v>
                </c:pt>
                <c:pt idx="315">
                  <c:v>La Reina</c:v>
                </c:pt>
                <c:pt idx="316">
                  <c:v>Temuco</c:v>
                </c:pt>
                <c:pt idx="317">
                  <c:v>Natales</c:v>
                </c:pt>
                <c:pt idx="318">
                  <c:v>Chiguayante</c:v>
                </c:pt>
                <c:pt idx="319">
                  <c:v>La Florida</c:v>
                </c:pt>
                <c:pt idx="320">
                  <c:v>Punta Arenas</c:v>
                </c:pt>
                <c:pt idx="321">
                  <c:v>San Pedro de la Paz</c:v>
                </c:pt>
                <c:pt idx="322">
                  <c:v>Los Andes</c:v>
                </c:pt>
                <c:pt idx="323">
                  <c:v>Zapallar</c:v>
                </c:pt>
                <c:pt idx="324">
                  <c:v>Quilpué</c:v>
                </c:pt>
                <c:pt idx="325">
                  <c:v>La Cisterna</c:v>
                </c:pt>
                <c:pt idx="326">
                  <c:v>Macul</c:v>
                </c:pt>
                <c:pt idx="327">
                  <c:v>Santo Domingo</c:v>
                </c:pt>
                <c:pt idx="328">
                  <c:v>Puchuncaví</c:v>
                </c:pt>
                <c:pt idx="329">
                  <c:v>Concepción</c:v>
                </c:pt>
                <c:pt idx="330">
                  <c:v>Alhué</c:v>
                </c:pt>
                <c:pt idx="331">
                  <c:v>Sierra Gorda</c:v>
                </c:pt>
                <c:pt idx="332">
                  <c:v>Viña del Mar</c:v>
                </c:pt>
                <c:pt idx="333">
                  <c:v>Santiago</c:v>
                </c:pt>
                <c:pt idx="334">
                  <c:v>San Miguel</c:v>
                </c:pt>
                <c:pt idx="335">
                  <c:v>Talcahuano</c:v>
                </c:pt>
                <c:pt idx="336">
                  <c:v>Vitacura</c:v>
                </c:pt>
                <c:pt idx="337">
                  <c:v>El Tabo</c:v>
                </c:pt>
                <c:pt idx="338">
                  <c:v>El Quisco</c:v>
                </c:pt>
                <c:pt idx="339">
                  <c:v>Las Condes</c:v>
                </c:pt>
                <c:pt idx="340">
                  <c:v>Concón</c:v>
                </c:pt>
                <c:pt idx="341">
                  <c:v>Ñuñoa</c:v>
                </c:pt>
                <c:pt idx="342">
                  <c:v>Providencia</c:v>
                </c:pt>
                <c:pt idx="343">
                  <c:v>Algarrobo</c:v>
                </c:pt>
                <c:pt idx="344">
                  <c:v>Torres del Paine</c:v>
                </c:pt>
              </c:strCache>
            </c:strRef>
          </c:cat>
          <c:val>
            <c:numRef>
              <c:f>'Ajuste 2024'!$K$4:$K$348</c:f>
              <c:numCache>
                <c:formatCode>0.000</c:formatCode>
                <c:ptCount val="345"/>
                <c:pt idx="0">
                  <c:v>0.34958150251772402</c:v>
                </c:pt>
                <c:pt idx="1">
                  <c:v>0.34722915524326647</c:v>
                </c:pt>
                <c:pt idx="2">
                  <c:v>0.34457550422840771</c:v>
                </c:pt>
                <c:pt idx="3">
                  <c:v>0.35787688873103374</c:v>
                </c:pt>
                <c:pt idx="4">
                  <c:v>0.35193383603235301</c:v>
                </c:pt>
                <c:pt idx="5">
                  <c:v>0.36721389514978553</c:v>
                </c:pt>
                <c:pt idx="6">
                  <c:v>0.35545582733384129</c:v>
                </c:pt>
                <c:pt idx="7">
                  <c:v>0.35599285300289474</c:v>
                </c:pt>
                <c:pt idx="8">
                  <c:v>0.35830804094954738</c:v>
                </c:pt>
                <c:pt idx="9">
                  <c:v>0.36070560727521206</c:v>
                </c:pt>
                <c:pt idx="10">
                  <c:v>0.35959763576592307</c:v>
                </c:pt>
                <c:pt idx="11">
                  <c:v>0.35856942269599368</c:v>
                </c:pt>
                <c:pt idx="12">
                  <c:v>0.36226942232867121</c:v>
                </c:pt>
                <c:pt idx="13">
                  <c:v>0.36258503931044739</c:v>
                </c:pt>
                <c:pt idx="14">
                  <c:v>0.36273004480593507</c:v>
                </c:pt>
                <c:pt idx="15">
                  <c:v>0.36247071270381193</c:v>
                </c:pt>
                <c:pt idx="16">
                  <c:v>0.36371386158972319</c:v>
                </c:pt>
                <c:pt idx="17">
                  <c:v>0.36869194248482617</c:v>
                </c:pt>
                <c:pt idx="18">
                  <c:v>0.36757461448897105</c:v>
                </c:pt>
                <c:pt idx="19">
                  <c:v>0.35870225802304101</c:v>
                </c:pt>
                <c:pt idx="20">
                  <c:v>0.36543752164617938</c:v>
                </c:pt>
                <c:pt idx="21">
                  <c:v>0.37095853777401755</c:v>
                </c:pt>
                <c:pt idx="22">
                  <c:v>0.37586340338818441</c:v>
                </c:pt>
                <c:pt idx="23">
                  <c:v>0.37540700339421945</c:v>
                </c:pt>
                <c:pt idx="24">
                  <c:v>0.37248929150069515</c:v>
                </c:pt>
                <c:pt idx="25">
                  <c:v>0.37419133924813414</c:v>
                </c:pt>
                <c:pt idx="26">
                  <c:v>0.37392184020380165</c:v>
                </c:pt>
                <c:pt idx="27">
                  <c:v>0.37573594944210431</c:v>
                </c:pt>
                <c:pt idx="28">
                  <c:v>0.37492250302265911</c:v>
                </c:pt>
                <c:pt idx="29">
                  <c:v>0.37455201791470383</c:v>
                </c:pt>
                <c:pt idx="30">
                  <c:v>0.37554832950510253</c:v>
                </c:pt>
                <c:pt idx="31">
                  <c:v>0.3764805600706973</c:v>
                </c:pt>
                <c:pt idx="32">
                  <c:v>0.38169990357699912</c:v>
                </c:pt>
                <c:pt idx="33">
                  <c:v>0.38708327859115998</c:v>
                </c:pt>
                <c:pt idx="34">
                  <c:v>0.39403194156649329</c:v>
                </c:pt>
                <c:pt idx="35">
                  <c:v>0.38369353387677402</c:v>
                </c:pt>
                <c:pt idx="36">
                  <c:v>0.38498748822988571</c:v>
                </c:pt>
                <c:pt idx="37">
                  <c:v>0.38240853894219073</c:v>
                </c:pt>
                <c:pt idx="38">
                  <c:v>0.38760879722912345</c:v>
                </c:pt>
                <c:pt idx="39">
                  <c:v>0.37764070706838659</c:v>
                </c:pt>
                <c:pt idx="40">
                  <c:v>0.38344666015352347</c:v>
                </c:pt>
                <c:pt idx="41">
                  <c:v>0.38627991862634237</c:v>
                </c:pt>
                <c:pt idx="42">
                  <c:v>0.38860735699019422</c:v>
                </c:pt>
                <c:pt idx="43">
                  <c:v>0.3833023510073717</c:v>
                </c:pt>
                <c:pt idx="44">
                  <c:v>0.38507369003897296</c:v>
                </c:pt>
                <c:pt idx="45">
                  <c:v>0.38909089585659395</c:v>
                </c:pt>
                <c:pt idx="46">
                  <c:v>0.39740923646139348</c:v>
                </c:pt>
                <c:pt idx="47">
                  <c:v>0.39726645042379111</c:v>
                </c:pt>
                <c:pt idx="48">
                  <c:v>0.34281878548491151</c:v>
                </c:pt>
                <c:pt idx="49">
                  <c:v>0.39795399338429338</c:v>
                </c:pt>
                <c:pt idx="50">
                  <c:v>0.39107340841043237</c:v>
                </c:pt>
                <c:pt idx="51">
                  <c:v>0.39736956106439381</c:v>
                </c:pt>
                <c:pt idx="52">
                  <c:v>0.39068465500425853</c:v>
                </c:pt>
                <c:pt idx="53">
                  <c:v>0.39329270814236428</c:v>
                </c:pt>
                <c:pt idx="54">
                  <c:v>0.39941156066379457</c:v>
                </c:pt>
                <c:pt idx="55">
                  <c:v>0.39054809686229291</c:v>
                </c:pt>
                <c:pt idx="56">
                  <c:v>0.39731512318583667</c:v>
                </c:pt>
                <c:pt idx="57">
                  <c:v>0.40658623740414906</c:v>
                </c:pt>
                <c:pt idx="58">
                  <c:v>0.40837631582815309</c:v>
                </c:pt>
                <c:pt idx="59">
                  <c:v>0.39951604863175083</c:v>
                </c:pt>
                <c:pt idx="60">
                  <c:v>0.40713430844246346</c:v>
                </c:pt>
                <c:pt idx="61">
                  <c:v>0.4011359120260356</c:v>
                </c:pt>
                <c:pt idx="62">
                  <c:v>0.40634261995636728</c:v>
                </c:pt>
                <c:pt idx="63">
                  <c:v>0.40727573771843706</c:v>
                </c:pt>
                <c:pt idx="64">
                  <c:v>0.39738103463489227</c:v>
                </c:pt>
                <c:pt idx="65">
                  <c:v>0.40597252983867227</c:v>
                </c:pt>
                <c:pt idx="66">
                  <c:v>0.39747396824879266</c:v>
                </c:pt>
                <c:pt idx="67">
                  <c:v>0.40145771171864886</c:v>
                </c:pt>
                <c:pt idx="68">
                  <c:v>0.39685563470042101</c:v>
                </c:pt>
                <c:pt idx="69">
                  <c:v>0.38281491744453711</c:v>
                </c:pt>
                <c:pt idx="70">
                  <c:v>0.41129118175666923</c:v>
                </c:pt>
                <c:pt idx="71">
                  <c:v>0.41403077271438304</c:v>
                </c:pt>
                <c:pt idx="72">
                  <c:v>0.41785496044209236</c:v>
                </c:pt>
                <c:pt idx="73">
                  <c:v>0.4058037459474344</c:v>
                </c:pt>
                <c:pt idx="74">
                  <c:v>0.40950943709177712</c:v>
                </c:pt>
                <c:pt idx="75">
                  <c:v>0.42382077821406905</c:v>
                </c:pt>
                <c:pt idx="76">
                  <c:v>0.39883776466307347</c:v>
                </c:pt>
                <c:pt idx="77">
                  <c:v>0.40270363826900463</c:v>
                </c:pt>
                <c:pt idx="78">
                  <c:v>0.39344303413435744</c:v>
                </c:pt>
                <c:pt idx="79">
                  <c:v>0.41248883778831291</c:v>
                </c:pt>
                <c:pt idx="80">
                  <c:v>0.41227507710362565</c:v>
                </c:pt>
                <c:pt idx="81">
                  <c:v>0.4121710159820724</c:v>
                </c:pt>
                <c:pt idx="82">
                  <c:v>0.41770887662865858</c:v>
                </c:pt>
                <c:pt idx="83">
                  <c:v>0.42502060743753201</c:v>
                </c:pt>
                <c:pt idx="84">
                  <c:v>0.40078725546883781</c:v>
                </c:pt>
                <c:pt idx="85">
                  <c:v>0.39360239047785445</c:v>
                </c:pt>
                <c:pt idx="86">
                  <c:v>0.41349588007301646</c:v>
                </c:pt>
                <c:pt idx="87">
                  <c:v>0.40812287218888377</c:v>
                </c:pt>
                <c:pt idx="88">
                  <c:v>0.41401022661543396</c:v>
                </c:pt>
                <c:pt idx="89">
                  <c:v>0.40547772845935875</c:v>
                </c:pt>
                <c:pt idx="90">
                  <c:v>0.41952974489338629</c:v>
                </c:pt>
                <c:pt idx="91">
                  <c:v>0.42422662750051993</c:v>
                </c:pt>
                <c:pt idx="92">
                  <c:v>0.42069905450456602</c:v>
                </c:pt>
                <c:pt idx="93">
                  <c:v>0.4104087839890288</c:v>
                </c:pt>
                <c:pt idx="94">
                  <c:v>0.40694033870772267</c:v>
                </c:pt>
                <c:pt idx="95">
                  <c:v>0.42375437907746971</c:v>
                </c:pt>
                <c:pt idx="96">
                  <c:v>0.39139223014689439</c:v>
                </c:pt>
                <c:pt idx="97">
                  <c:v>0.41870434820646413</c:v>
                </c:pt>
                <c:pt idx="98">
                  <c:v>0.43303216857452126</c:v>
                </c:pt>
                <c:pt idx="99">
                  <c:v>0.41383288686928305</c:v>
                </c:pt>
                <c:pt idx="100">
                  <c:v>0.43962960617779534</c:v>
                </c:pt>
                <c:pt idx="101">
                  <c:v>0.42668819059578789</c:v>
                </c:pt>
                <c:pt idx="102">
                  <c:v>0.43780718010275005</c:v>
                </c:pt>
                <c:pt idx="103">
                  <c:v>0.43676574143558644</c:v>
                </c:pt>
                <c:pt idx="104">
                  <c:v>0.44592622482319616</c:v>
                </c:pt>
                <c:pt idx="105">
                  <c:v>0.42330620459674617</c:v>
                </c:pt>
                <c:pt idx="106">
                  <c:v>0.44189643709518989</c:v>
                </c:pt>
                <c:pt idx="107">
                  <c:v>0.43965452471620436</c:v>
                </c:pt>
                <c:pt idx="108">
                  <c:v>0.43606999712696826</c:v>
                </c:pt>
                <c:pt idx="109">
                  <c:v>0.44023789057429252</c:v>
                </c:pt>
                <c:pt idx="110">
                  <c:v>0.42832092725360116</c:v>
                </c:pt>
                <c:pt idx="111">
                  <c:v>0.43951913466914955</c:v>
                </c:pt>
                <c:pt idx="112">
                  <c:v>0.44609158346674843</c:v>
                </c:pt>
                <c:pt idx="113">
                  <c:v>0.44365290471209634</c:v>
                </c:pt>
                <c:pt idx="114">
                  <c:v>0.44359336379237763</c:v>
                </c:pt>
                <c:pt idx="115">
                  <c:v>0.44202836514084082</c:v>
                </c:pt>
                <c:pt idx="116">
                  <c:v>0.44878093279468773</c:v>
                </c:pt>
                <c:pt idx="117">
                  <c:v>0.44091189117430418</c:v>
                </c:pt>
                <c:pt idx="118">
                  <c:v>0.45133667822809098</c:v>
                </c:pt>
                <c:pt idx="119">
                  <c:v>0.3912161769102287</c:v>
                </c:pt>
                <c:pt idx="120">
                  <c:v>0.45232660894403109</c:v>
                </c:pt>
                <c:pt idx="121">
                  <c:v>0.45897101956594449</c:v>
                </c:pt>
                <c:pt idx="122">
                  <c:v>0.4510905997167019</c:v>
                </c:pt>
                <c:pt idx="123">
                  <c:v>0.44514792068544956</c:v>
                </c:pt>
                <c:pt idx="124">
                  <c:v>0.45120196416735975</c:v>
                </c:pt>
                <c:pt idx="125">
                  <c:v>0.45180871227839614</c:v>
                </c:pt>
                <c:pt idx="126">
                  <c:v>0.45795761855100853</c:v>
                </c:pt>
                <c:pt idx="127">
                  <c:v>0.50018396386820818</c:v>
                </c:pt>
                <c:pt idx="128">
                  <c:v>0.45391059896465547</c:v>
                </c:pt>
                <c:pt idx="129">
                  <c:v>0.45223628652277625</c:v>
                </c:pt>
                <c:pt idx="130">
                  <c:v>0.44696557603736625</c:v>
                </c:pt>
                <c:pt idx="131">
                  <c:v>0.45256730765474379</c:v>
                </c:pt>
                <c:pt idx="132">
                  <c:v>0.45647911533645991</c:v>
                </c:pt>
                <c:pt idx="133">
                  <c:v>0.46021754214926658</c:v>
                </c:pt>
                <c:pt idx="134">
                  <c:v>0.46421203956506957</c:v>
                </c:pt>
                <c:pt idx="135">
                  <c:v>0.45127535425556459</c:v>
                </c:pt>
                <c:pt idx="136">
                  <c:v>0.45933758601779745</c:v>
                </c:pt>
                <c:pt idx="137">
                  <c:v>0.45579607739093331</c:v>
                </c:pt>
                <c:pt idx="138">
                  <c:v>0.38915697385468601</c:v>
                </c:pt>
                <c:pt idx="139">
                  <c:v>0.46379034102742078</c:v>
                </c:pt>
                <c:pt idx="140">
                  <c:v>0.4613386512794691</c:v>
                </c:pt>
                <c:pt idx="141">
                  <c:v>0.45152961083964055</c:v>
                </c:pt>
                <c:pt idx="142">
                  <c:v>0.45741731423051929</c:v>
                </c:pt>
                <c:pt idx="143">
                  <c:v>0.43950634360320529</c:v>
                </c:pt>
                <c:pt idx="144">
                  <c:v>0.47998472197706826</c:v>
                </c:pt>
                <c:pt idx="145">
                  <c:v>0.46447542018832655</c:v>
                </c:pt>
                <c:pt idx="146">
                  <c:v>0.47611100471776491</c:v>
                </c:pt>
                <c:pt idx="147">
                  <c:v>0.47452757662382883</c:v>
                </c:pt>
                <c:pt idx="148">
                  <c:v>0.3723706826942158</c:v>
                </c:pt>
                <c:pt idx="149">
                  <c:v>0.48167474064329308</c:v>
                </c:pt>
                <c:pt idx="150">
                  <c:v>0.47874151706811158</c:v>
                </c:pt>
                <c:pt idx="151">
                  <c:v>0.4831790605525248</c:v>
                </c:pt>
                <c:pt idx="152">
                  <c:v>0.47747771324846933</c:v>
                </c:pt>
                <c:pt idx="153">
                  <c:v>0.47820649721235925</c:v>
                </c:pt>
                <c:pt idx="154">
                  <c:v>0.466143063925404</c:v>
                </c:pt>
                <c:pt idx="155">
                  <c:v>0.47848950543454927</c:v>
                </c:pt>
                <c:pt idx="156">
                  <c:v>0.48831520743116263</c:v>
                </c:pt>
                <c:pt idx="157">
                  <c:v>0.48013195968316258</c:v>
                </c:pt>
                <c:pt idx="158">
                  <c:v>0.48553172470341949</c:v>
                </c:pt>
                <c:pt idx="159">
                  <c:v>0.48927412426303324</c:v>
                </c:pt>
                <c:pt idx="160">
                  <c:v>0.47621578602567877</c:v>
                </c:pt>
                <c:pt idx="161">
                  <c:v>0.48417805054497703</c:v>
                </c:pt>
                <c:pt idx="162">
                  <c:v>0.49478466001713561</c:v>
                </c:pt>
                <c:pt idx="163">
                  <c:v>0.47839811666461307</c:v>
                </c:pt>
                <c:pt idx="164">
                  <c:v>0.49061653556575424</c:v>
                </c:pt>
                <c:pt idx="165">
                  <c:v>0.4857406248092479</c:v>
                </c:pt>
                <c:pt idx="166">
                  <c:v>0.48776057012945234</c:v>
                </c:pt>
                <c:pt idx="167">
                  <c:v>0.49542693543787614</c:v>
                </c:pt>
                <c:pt idx="168">
                  <c:v>0.48290873392969974</c:v>
                </c:pt>
                <c:pt idx="169">
                  <c:v>0.51556686239745175</c:v>
                </c:pt>
                <c:pt idx="170">
                  <c:v>0.46564056018278549</c:v>
                </c:pt>
                <c:pt idx="171">
                  <c:v>0.50120643317603697</c:v>
                </c:pt>
                <c:pt idx="172">
                  <c:v>0.47309737848525008</c:v>
                </c:pt>
                <c:pt idx="173">
                  <c:v>0.4861034293894968</c:v>
                </c:pt>
                <c:pt idx="174">
                  <c:v>0.49054455625414728</c:v>
                </c:pt>
                <c:pt idx="175">
                  <c:v>0.50732732360948196</c:v>
                </c:pt>
                <c:pt idx="176">
                  <c:v>0.49887409144819511</c:v>
                </c:pt>
                <c:pt idx="177">
                  <c:v>0.49299891913466165</c:v>
                </c:pt>
                <c:pt idx="178">
                  <c:v>0.50220803058596242</c:v>
                </c:pt>
                <c:pt idx="179">
                  <c:v>0.49887572539254421</c:v>
                </c:pt>
                <c:pt idx="180">
                  <c:v>0.50281175905624076</c:v>
                </c:pt>
                <c:pt idx="181">
                  <c:v>0.50894057062636289</c:v>
                </c:pt>
                <c:pt idx="182">
                  <c:v>0.49039173635332772</c:v>
                </c:pt>
                <c:pt idx="183">
                  <c:v>0.50253913880970913</c:v>
                </c:pt>
                <c:pt idx="184">
                  <c:v>0.48276168417027521</c:v>
                </c:pt>
                <c:pt idx="185">
                  <c:v>0.50211559304307851</c:v>
                </c:pt>
                <c:pt idx="186">
                  <c:v>0.50695470489995487</c:v>
                </c:pt>
                <c:pt idx="187">
                  <c:v>0.49008399323668655</c:v>
                </c:pt>
                <c:pt idx="188">
                  <c:v>0.51045347140672637</c:v>
                </c:pt>
                <c:pt idx="189">
                  <c:v>0.50955432424433367</c:v>
                </c:pt>
                <c:pt idx="190">
                  <c:v>0.51587459612135567</c:v>
                </c:pt>
                <c:pt idx="191">
                  <c:v>0.51418661155467893</c:v>
                </c:pt>
                <c:pt idx="192">
                  <c:v>0.51649186015196391</c:v>
                </c:pt>
                <c:pt idx="193">
                  <c:v>0.49729018135636527</c:v>
                </c:pt>
                <c:pt idx="194">
                  <c:v>0.4708399380699963</c:v>
                </c:pt>
                <c:pt idx="195">
                  <c:v>0.48449163590889677</c:v>
                </c:pt>
                <c:pt idx="196">
                  <c:v>0.49828916644576432</c:v>
                </c:pt>
                <c:pt idx="197">
                  <c:v>0.51161072338762592</c:v>
                </c:pt>
                <c:pt idx="198">
                  <c:v>0.49741600378471279</c:v>
                </c:pt>
                <c:pt idx="199">
                  <c:v>0.51603791221663076</c:v>
                </c:pt>
                <c:pt idx="200">
                  <c:v>0.45494620714873912</c:v>
                </c:pt>
                <c:pt idx="201">
                  <c:v>0.48949804253432949</c:v>
                </c:pt>
                <c:pt idx="202">
                  <c:v>0.51715515521955957</c:v>
                </c:pt>
                <c:pt idx="203">
                  <c:v>0.51420930732714076</c:v>
                </c:pt>
                <c:pt idx="204">
                  <c:v>0.52618862061905991</c:v>
                </c:pt>
                <c:pt idx="205">
                  <c:v>0.51275721106063166</c:v>
                </c:pt>
                <c:pt idx="206">
                  <c:v>0.50381522063331852</c:v>
                </c:pt>
                <c:pt idx="207">
                  <c:v>0.52376382720312908</c:v>
                </c:pt>
                <c:pt idx="208">
                  <c:v>0.50451406166667967</c:v>
                </c:pt>
                <c:pt idx="209">
                  <c:v>0.51367714939376385</c:v>
                </c:pt>
                <c:pt idx="210">
                  <c:v>0.51822223429693248</c:v>
                </c:pt>
                <c:pt idx="211">
                  <c:v>0.53464668254780068</c:v>
                </c:pt>
                <c:pt idx="212">
                  <c:v>0.52725745186714379</c:v>
                </c:pt>
                <c:pt idx="213">
                  <c:v>0.52855008927016134</c:v>
                </c:pt>
                <c:pt idx="214">
                  <c:v>0.52824387933401107</c:v>
                </c:pt>
                <c:pt idx="215">
                  <c:v>0.53103775884589366</c:v>
                </c:pt>
                <c:pt idx="216">
                  <c:v>0.35822287402248248</c:v>
                </c:pt>
                <c:pt idx="217">
                  <c:v>0.53689441158139084</c:v>
                </c:pt>
                <c:pt idx="218">
                  <c:v>0.52719266770190276</c:v>
                </c:pt>
                <c:pt idx="219">
                  <c:v>0.55815084643834434</c:v>
                </c:pt>
                <c:pt idx="220">
                  <c:v>0.53538449965140311</c:v>
                </c:pt>
                <c:pt idx="221">
                  <c:v>0.53744265544818715</c:v>
                </c:pt>
                <c:pt idx="222">
                  <c:v>0.52533973117349364</c:v>
                </c:pt>
                <c:pt idx="223">
                  <c:v>0.52313302642732773</c:v>
                </c:pt>
                <c:pt idx="224">
                  <c:v>0.54310596016776902</c:v>
                </c:pt>
                <c:pt idx="225">
                  <c:v>0.53567558857249808</c:v>
                </c:pt>
                <c:pt idx="226">
                  <c:v>0.53225309522021036</c:v>
                </c:pt>
                <c:pt idx="227">
                  <c:v>0.5484955588578051</c:v>
                </c:pt>
                <c:pt idx="228">
                  <c:v>0.54199030474812582</c:v>
                </c:pt>
                <c:pt idx="229">
                  <c:v>0.50326966672431162</c:v>
                </c:pt>
                <c:pt idx="230">
                  <c:v>0.5464341793292703</c:v>
                </c:pt>
                <c:pt idx="231">
                  <c:v>0.55209682830872919</c:v>
                </c:pt>
                <c:pt idx="232">
                  <c:v>0.55982220884432843</c:v>
                </c:pt>
                <c:pt idx="233">
                  <c:v>0.55402451234142125</c:v>
                </c:pt>
                <c:pt idx="234">
                  <c:v>0.52703494864227896</c:v>
                </c:pt>
                <c:pt idx="235">
                  <c:v>0.55196981678912638</c:v>
                </c:pt>
                <c:pt idx="236">
                  <c:v>0.55717895266987272</c:v>
                </c:pt>
                <c:pt idx="237">
                  <c:v>0.5555818309411209</c:v>
                </c:pt>
                <c:pt idx="238">
                  <c:v>0.56721402669644339</c:v>
                </c:pt>
                <c:pt idx="239">
                  <c:v>0.55940858461083809</c:v>
                </c:pt>
                <c:pt idx="240">
                  <c:v>0.55839641025218556</c:v>
                </c:pt>
                <c:pt idx="241">
                  <c:v>0.5655684026718828</c:v>
                </c:pt>
                <c:pt idx="242">
                  <c:v>0.53568946765219061</c:v>
                </c:pt>
                <c:pt idx="243">
                  <c:v>0.57017745861942426</c:v>
                </c:pt>
                <c:pt idx="244">
                  <c:v>0.56613971787291484</c:v>
                </c:pt>
                <c:pt idx="245">
                  <c:v>0.57294585538954967</c:v>
                </c:pt>
                <c:pt idx="246">
                  <c:v>0.56489226952781002</c:v>
                </c:pt>
                <c:pt idx="247">
                  <c:v>0.55555705010249556</c:v>
                </c:pt>
                <c:pt idx="248">
                  <c:v>0.57961519731183297</c:v>
                </c:pt>
                <c:pt idx="249">
                  <c:v>0.56705828200167407</c:v>
                </c:pt>
                <c:pt idx="250">
                  <c:v>0.55843513917074672</c:v>
                </c:pt>
                <c:pt idx="251">
                  <c:v>0.56683924779577377</c:v>
                </c:pt>
                <c:pt idx="252">
                  <c:v>0.55972820393696165</c:v>
                </c:pt>
                <c:pt idx="253">
                  <c:v>0.57252028165588176</c:v>
                </c:pt>
                <c:pt idx="254">
                  <c:v>0.58371326543979274</c:v>
                </c:pt>
                <c:pt idx="255">
                  <c:v>0.58070314793906408</c:v>
                </c:pt>
                <c:pt idx="256">
                  <c:v>0.57829060595781234</c:v>
                </c:pt>
                <c:pt idx="257">
                  <c:v>0.58299366719494616</c:v>
                </c:pt>
                <c:pt idx="258">
                  <c:v>0.5757675969100704</c:v>
                </c:pt>
                <c:pt idx="259">
                  <c:v>0.60051252394038646</c:v>
                </c:pt>
                <c:pt idx="260">
                  <c:v>0.5881025974792663</c:v>
                </c:pt>
                <c:pt idx="261">
                  <c:v>0.57740643832646743</c:v>
                </c:pt>
                <c:pt idx="262">
                  <c:v>0.58643800157146198</c:v>
                </c:pt>
                <c:pt idx="263">
                  <c:v>0.5871903080285259</c:v>
                </c:pt>
                <c:pt idx="264">
                  <c:v>0.58958669437724098</c:v>
                </c:pt>
                <c:pt idx="265">
                  <c:v>0.58915546074444991</c:v>
                </c:pt>
                <c:pt idx="266">
                  <c:v>0.58432377818768955</c:v>
                </c:pt>
                <c:pt idx="267">
                  <c:v>0.58570460847680117</c:v>
                </c:pt>
                <c:pt idx="268">
                  <c:v>0.58553262663342853</c:v>
                </c:pt>
                <c:pt idx="269">
                  <c:v>0.58378898764046505</c:v>
                </c:pt>
                <c:pt idx="270">
                  <c:v>0.58694454869906254</c:v>
                </c:pt>
                <c:pt idx="271">
                  <c:v>0.59164979195987888</c:v>
                </c:pt>
                <c:pt idx="272">
                  <c:v>0.5882925023429888</c:v>
                </c:pt>
                <c:pt idx="273">
                  <c:v>0.60045543450958672</c:v>
                </c:pt>
                <c:pt idx="274">
                  <c:v>0.59711483453204184</c:v>
                </c:pt>
                <c:pt idx="275">
                  <c:v>0.54327773348223818</c:v>
                </c:pt>
                <c:pt idx="276">
                  <c:v>0.59712693837526265</c:v>
                </c:pt>
                <c:pt idx="277">
                  <c:v>0.59295495714905233</c:v>
                </c:pt>
                <c:pt idx="278">
                  <c:v>0.59223319800967644</c:v>
                </c:pt>
                <c:pt idx="279">
                  <c:v>0.60093759714592632</c:v>
                </c:pt>
                <c:pt idx="280">
                  <c:v>0.60410112319871234</c:v>
                </c:pt>
                <c:pt idx="281">
                  <c:v>0.59993761533873891</c:v>
                </c:pt>
                <c:pt idx="282">
                  <c:v>0.6075319174037509</c:v>
                </c:pt>
                <c:pt idx="283">
                  <c:v>0.60494429862066945</c:v>
                </c:pt>
                <c:pt idx="284">
                  <c:v>0.58630514283564839</c:v>
                </c:pt>
                <c:pt idx="285">
                  <c:v>0.60003127737696882</c:v>
                </c:pt>
                <c:pt idx="286">
                  <c:v>0.59464115623405667</c:v>
                </c:pt>
                <c:pt idx="287">
                  <c:v>0.60536622966942111</c:v>
                </c:pt>
                <c:pt idx="288">
                  <c:v>0.60379877733399312</c:v>
                </c:pt>
                <c:pt idx="289">
                  <c:v>0.61242048291444529</c:v>
                </c:pt>
                <c:pt idx="290">
                  <c:v>0.61472090476928609</c:v>
                </c:pt>
                <c:pt idx="291">
                  <c:v>0.61146801704683706</c:v>
                </c:pt>
                <c:pt idx="292">
                  <c:v>0.61765529719278922</c:v>
                </c:pt>
                <c:pt idx="293">
                  <c:v>0.61348082589780994</c:v>
                </c:pt>
                <c:pt idx="294">
                  <c:v>0.62235311109479641</c:v>
                </c:pt>
                <c:pt idx="295">
                  <c:v>0.60400414652722345</c:v>
                </c:pt>
                <c:pt idx="296">
                  <c:v>0.61226512527342047</c:v>
                </c:pt>
                <c:pt idx="297">
                  <c:v>0.61857005182093983</c:v>
                </c:pt>
                <c:pt idx="298">
                  <c:v>0.62405229640470405</c:v>
                </c:pt>
                <c:pt idx="299">
                  <c:v>0.61894930930726433</c:v>
                </c:pt>
                <c:pt idx="300">
                  <c:v>0.61903065645784983</c:v>
                </c:pt>
                <c:pt idx="301">
                  <c:v>0.62043424989288487</c:v>
                </c:pt>
                <c:pt idx="302">
                  <c:v>0.63272643178451871</c:v>
                </c:pt>
                <c:pt idx="303">
                  <c:v>0.55144236983516104</c:v>
                </c:pt>
                <c:pt idx="304">
                  <c:v>0.64161490450820857</c:v>
                </c:pt>
                <c:pt idx="305">
                  <c:v>0.63794424983256248</c:v>
                </c:pt>
                <c:pt idx="306">
                  <c:v>0.63848131896548388</c:v>
                </c:pt>
                <c:pt idx="307">
                  <c:v>0.63448825069711112</c:v>
                </c:pt>
                <c:pt idx="308">
                  <c:v>0.63460462209521173</c:v>
                </c:pt>
                <c:pt idx="309">
                  <c:v>0.64179296895595395</c:v>
                </c:pt>
                <c:pt idx="310">
                  <c:v>0.64052427970026482</c:v>
                </c:pt>
                <c:pt idx="311">
                  <c:v>0.64523451903192963</c:v>
                </c:pt>
                <c:pt idx="312">
                  <c:v>0.64755947736997865</c:v>
                </c:pt>
                <c:pt idx="313">
                  <c:v>0.64828726032490236</c:v>
                </c:pt>
                <c:pt idx="314">
                  <c:v>0.63649463076913748</c:v>
                </c:pt>
                <c:pt idx="315">
                  <c:v>0.65937127324772626</c:v>
                </c:pt>
                <c:pt idx="316">
                  <c:v>0.6527952974075959</c:v>
                </c:pt>
                <c:pt idx="317">
                  <c:v>0.65365447140222743</c:v>
                </c:pt>
                <c:pt idx="318">
                  <c:v>0.65655500511293385</c:v>
                </c:pt>
                <c:pt idx="319">
                  <c:v>0.65260818716616631</c:v>
                </c:pt>
                <c:pt idx="320">
                  <c:v>0.65549699134438577</c:v>
                </c:pt>
                <c:pt idx="321">
                  <c:v>0.66176140376841808</c:v>
                </c:pt>
                <c:pt idx="322">
                  <c:v>0.66001084233734442</c:v>
                </c:pt>
                <c:pt idx="323">
                  <c:v>0.62094542204983272</c:v>
                </c:pt>
                <c:pt idx="324">
                  <c:v>0.68012828172878004</c:v>
                </c:pt>
                <c:pt idx="325">
                  <c:v>0.66820385220387923</c:v>
                </c:pt>
                <c:pt idx="326">
                  <c:v>0.68286054340401137</c:v>
                </c:pt>
                <c:pt idx="327">
                  <c:v>0.67346017924651425</c:v>
                </c:pt>
                <c:pt idx="328">
                  <c:v>0.64695177267643444</c:v>
                </c:pt>
                <c:pt idx="329">
                  <c:v>0.68933624598088994</c:v>
                </c:pt>
                <c:pt idx="330">
                  <c:v>0.533768521203008</c:v>
                </c:pt>
                <c:pt idx="331">
                  <c:v>0.60980737738321666</c:v>
                </c:pt>
                <c:pt idx="332">
                  <c:v>0.69801446420881053</c:v>
                </c:pt>
                <c:pt idx="333">
                  <c:v>0.70023413800124357</c:v>
                </c:pt>
                <c:pt idx="334">
                  <c:v>0.71871238378155389</c:v>
                </c:pt>
                <c:pt idx="335">
                  <c:v>0.70164484690233808</c:v>
                </c:pt>
                <c:pt idx="336">
                  <c:v>0.71787961708093251</c:v>
                </c:pt>
                <c:pt idx="337">
                  <c:v>0.68082188643428376</c:v>
                </c:pt>
                <c:pt idx="338">
                  <c:v>0.69415844750961964</c:v>
                </c:pt>
                <c:pt idx="339">
                  <c:v>0.73613334816416742</c:v>
                </c:pt>
                <c:pt idx="340">
                  <c:v>0.75495417887647431</c:v>
                </c:pt>
                <c:pt idx="341">
                  <c:v>0.76795917341092412</c:v>
                </c:pt>
                <c:pt idx="342">
                  <c:v>0.79889195896415055</c:v>
                </c:pt>
                <c:pt idx="343">
                  <c:v>0.77347691970911314</c:v>
                </c:pt>
                <c:pt idx="344">
                  <c:v>0.73065675710633615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01-4113-99D5-48680977F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2543264"/>
        <c:axId val="542542904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'Ajuste 2024'!$I$3</c15:sqref>
                        </c15:formulaRef>
                      </c:ext>
                    </c:extLst>
                    <c:strCache>
                      <c:ptCount val="1"/>
                      <c:pt idx="0">
                        <c:v>Conectividad hogar_2025_censo_estandarizada</c:v>
                      </c:pt>
                    </c:strCache>
                  </c:strRef>
                </c:tx>
                <c:spPr>
                  <a:ln w="15875" cap="rnd">
                    <a:solidFill>
                      <a:srgbClr val="EE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'Ajuste 2024'!$C$4:$C$348</c15:sqref>
                        </c15:formulaRef>
                      </c:ext>
                    </c:extLst>
                    <c:strCache>
                      <c:ptCount val="345"/>
                      <c:pt idx="0">
                        <c:v>Río Verde</c:v>
                      </c:pt>
                      <c:pt idx="1">
                        <c:v>Río Hurtado</c:v>
                      </c:pt>
                      <c:pt idx="2">
                        <c:v>San Juan de la Costa</c:v>
                      </c:pt>
                      <c:pt idx="3">
                        <c:v>Quilleco</c:v>
                      </c:pt>
                      <c:pt idx="4">
                        <c:v>Sagrada Familia</c:v>
                      </c:pt>
                      <c:pt idx="5">
                        <c:v>Camiña</c:v>
                      </c:pt>
                      <c:pt idx="6">
                        <c:v>Paihuano</c:v>
                      </c:pt>
                      <c:pt idx="7">
                        <c:v>Paredones</c:v>
                      </c:pt>
                      <c:pt idx="8">
                        <c:v>Tirúa</c:v>
                      </c:pt>
                      <c:pt idx="9">
                        <c:v>Melipeuco</c:v>
                      </c:pt>
                      <c:pt idx="10">
                        <c:v>Lonquimay</c:v>
                      </c:pt>
                      <c:pt idx="11">
                        <c:v>Alto Del Carmen</c:v>
                      </c:pt>
                      <c:pt idx="12">
                        <c:v>Lumaco</c:v>
                      </c:pt>
                      <c:pt idx="13">
                        <c:v>Freirina</c:v>
                      </c:pt>
                      <c:pt idx="14">
                        <c:v>Huara</c:v>
                      </c:pt>
                      <c:pt idx="15">
                        <c:v>Ñiquén</c:v>
                      </c:pt>
                      <c:pt idx="16">
                        <c:v>Pica</c:v>
                      </c:pt>
                      <c:pt idx="17">
                        <c:v>Alto Biobío</c:v>
                      </c:pt>
                      <c:pt idx="18">
                        <c:v>Petorca</c:v>
                      </c:pt>
                      <c:pt idx="19">
                        <c:v>Antuco</c:v>
                      </c:pt>
                      <c:pt idx="20">
                        <c:v>Putre</c:v>
                      </c:pt>
                      <c:pt idx="21">
                        <c:v>Tortel</c:v>
                      </c:pt>
                      <c:pt idx="22">
                        <c:v>Curarrehue</c:v>
                      </c:pt>
                      <c:pt idx="23">
                        <c:v>Puqueldón</c:v>
                      </c:pt>
                      <c:pt idx="24">
                        <c:v>San Nicolás</c:v>
                      </c:pt>
                      <c:pt idx="25">
                        <c:v>Chanco</c:v>
                      </c:pt>
                      <c:pt idx="26">
                        <c:v>Curepto</c:v>
                      </c:pt>
                      <c:pt idx="27">
                        <c:v>Palmilla</c:v>
                      </c:pt>
                      <c:pt idx="28">
                        <c:v>Saavedra</c:v>
                      </c:pt>
                      <c:pt idx="29">
                        <c:v>Pelarco</c:v>
                      </c:pt>
                      <c:pt idx="30">
                        <c:v>El Carmen</c:v>
                      </c:pt>
                      <c:pt idx="31">
                        <c:v>Camarones</c:v>
                      </c:pt>
                      <c:pt idx="32">
                        <c:v>Pumanque</c:v>
                      </c:pt>
                      <c:pt idx="33">
                        <c:v>Placilla</c:v>
                      </c:pt>
                      <c:pt idx="34">
                        <c:v>General Lagos</c:v>
                      </c:pt>
                      <c:pt idx="35">
                        <c:v>Coihueco</c:v>
                      </c:pt>
                      <c:pt idx="36">
                        <c:v>San Pedro</c:v>
                      </c:pt>
                      <c:pt idx="37">
                        <c:v>Portezuelo</c:v>
                      </c:pt>
                      <c:pt idx="38">
                        <c:v>Pencahue</c:v>
                      </c:pt>
                      <c:pt idx="39">
                        <c:v>Cholchol</c:v>
                      </c:pt>
                      <c:pt idx="40">
                        <c:v>Yerbas Buenas</c:v>
                      </c:pt>
                      <c:pt idx="41">
                        <c:v>Curaco de Vélez</c:v>
                      </c:pt>
                      <c:pt idx="42">
                        <c:v>María Elena</c:v>
                      </c:pt>
                      <c:pt idx="43">
                        <c:v>Marchihue</c:v>
                      </c:pt>
                      <c:pt idx="44">
                        <c:v>Lago Ranco</c:v>
                      </c:pt>
                      <c:pt idx="45">
                        <c:v>Río Claro</c:v>
                      </c:pt>
                      <c:pt idx="46">
                        <c:v>Hualaihue</c:v>
                      </c:pt>
                      <c:pt idx="47">
                        <c:v>Chañaral</c:v>
                      </c:pt>
                      <c:pt idx="48">
                        <c:v>Empedrado</c:v>
                      </c:pt>
                      <c:pt idx="49">
                        <c:v>Quinchao</c:v>
                      </c:pt>
                      <c:pt idx="50">
                        <c:v>Peralillo</c:v>
                      </c:pt>
                      <c:pt idx="51">
                        <c:v>Galvarino</c:v>
                      </c:pt>
                      <c:pt idx="52">
                        <c:v>Ninhue</c:v>
                      </c:pt>
                      <c:pt idx="53">
                        <c:v>Toltén</c:v>
                      </c:pt>
                      <c:pt idx="54">
                        <c:v>San Rafael</c:v>
                      </c:pt>
                      <c:pt idx="55">
                        <c:v>Monte Patria</c:v>
                      </c:pt>
                      <c:pt idx="56">
                        <c:v>San Ignacio</c:v>
                      </c:pt>
                      <c:pt idx="57">
                        <c:v>Treguaco</c:v>
                      </c:pt>
                      <c:pt idx="58">
                        <c:v>Corral</c:v>
                      </c:pt>
                      <c:pt idx="59">
                        <c:v>La Higuera</c:v>
                      </c:pt>
                      <c:pt idx="60">
                        <c:v>Chépica</c:v>
                      </c:pt>
                      <c:pt idx="61">
                        <c:v>Salamanca</c:v>
                      </c:pt>
                      <c:pt idx="62">
                        <c:v>Las Cabras</c:v>
                      </c:pt>
                      <c:pt idx="63">
                        <c:v>Carahue</c:v>
                      </c:pt>
                      <c:pt idx="64">
                        <c:v>Cochamó</c:v>
                      </c:pt>
                      <c:pt idx="65">
                        <c:v>Futrono</c:v>
                      </c:pt>
                      <c:pt idx="66">
                        <c:v>Hualañé</c:v>
                      </c:pt>
                      <c:pt idx="67">
                        <c:v>Los Muermos</c:v>
                      </c:pt>
                      <c:pt idx="68">
                        <c:v>Negrete</c:v>
                      </c:pt>
                      <c:pt idx="69">
                        <c:v>San Pedro de Atacama</c:v>
                      </c:pt>
                      <c:pt idx="70">
                        <c:v>Villa Alegre</c:v>
                      </c:pt>
                      <c:pt idx="71">
                        <c:v>Colbún</c:v>
                      </c:pt>
                      <c:pt idx="72">
                        <c:v>Teno</c:v>
                      </c:pt>
                      <c:pt idx="73">
                        <c:v>Maullín</c:v>
                      </c:pt>
                      <c:pt idx="74">
                        <c:v>Lolol</c:v>
                      </c:pt>
                      <c:pt idx="75">
                        <c:v>Queilén</c:v>
                      </c:pt>
                      <c:pt idx="76">
                        <c:v>Quemchi</c:v>
                      </c:pt>
                      <c:pt idx="77">
                        <c:v>Fresia</c:v>
                      </c:pt>
                      <c:pt idx="78">
                        <c:v>Colchane</c:v>
                      </c:pt>
                      <c:pt idx="79">
                        <c:v>Malloa</c:v>
                      </c:pt>
                      <c:pt idx="80">
                        <c:v>Teodoro Schmidt</c:v>
                      </c:pt>
                      <c:pt idx="81">
                        <c:v>Florida</c:v>
                      </c:pt>
                      <c:pt idx="82">
                        <c:v>Pichidegua</c:v>
                      </c:pt>
                      <c:pt idx="83">
                        <c:v>Quirihue</c:v>
                      </c:pt>
                      <c:pt idx="84">
                        <c:v>Punitaqui</c:v>
                      </c:pt>
                      <c:pt idx="85">
                        <c:v>Ollagüe</c:v>
                      </c:pt>
                      <c:pt idx="86">
                        <c:v>Ranquil</c:v>
                      </c:pt>
                      <c:pt idx="87">
                        <c:v>Puerto Octay</c:v>
                      </c:pt>
                      <c:pt idx="88">
                        <c:v>San José de Maipo</c:v>
                      </c:pt>
                      <c:pt idx="89">
                        <c:v>La Estrella</c:v>
                      </c:pt>
                      <c:pt idx="90">
                        <c:v>Pemuco</c:v>
                      </c:pt>
                      <c:pt idx="91">
                        <c:v>Maule</c:v>
                      </c:pt>
                      <c:pt idx="92">
                        <c:v>Chonchi</c:v>
                      </c:pt>
                      <c:pt idx="93">
                        <c:v>Litueche</c:v>
                      </c:pt>
                      <c:pt idx="94">
                        <c:v>Laguna Blanca</c:v>
                      </c:pt>
                      <c:pt idx="95">
                        <c:v>Guaitecas</c:v>
                      </c:pt>
                      <c:pt idx="96">
                        <c:v>Primavera</c:v>
                      </c:pt>
                      <c:pt idx="97">
                        <c:v>Freire</c:v>
                      </c:pt>
                      <c:pt idx="98">
                        <c:v>Dalcahue</c:v>
                      </c:pt>
                      <c:pt idx="99">
                        <c:v>Canela</c:v>
                      </c:pt>
                      <c:pt idx="100">
                        <c:v>La Pintana</c:v>
                      </c:pt>
                      <c:pt idx="101">
                        <c:v>San Javier</c:v>
                      </c:pt>
                      <c:pt idx="102">
                        <c:v>Tierra Amarilla</c:v>
                      </c:pt>
                      <c:pt idx="103">
                        <c:v>Chimbarongo</c:v>
                      </c:pt>
                      <c:pt idx="104">
                        <c:v>Peumo</c:v>
                      </c:pt>
                      <c:pt idx="105">
                        <c:v>Combarbalá</c:v>
                      </c:pt>
                      <c:pt idx="106">
                        <c:v>Codegua</c:v>
                      </c:pt>
                      <c:pt idx="107">
                        <c:v>Los Lagos</c:v>
                      </c:pt>
                      <c:pt idx="108">
                        <c:v>Vicuña</c:v>
                      </c:pt>
                      <c:pt idx="109">
                        <c:v>Paine</c:v>
                      </c:pt>
                      <c:pt idx="110">
                        <c:v>Renaico</c:v>
                      </c:pt>
                      <c:pt idx="111">
                        <c:v>Vilcún</c:v>
                      </c:pt>
                      <c:pt idx="112">
                        <c:v>Puyehue</c:v>
                      </c:pt>
                      <c:pt idx="113">
                        <c:v>Romeral</c:v>
                      </c:pt>
                      <c:pt idx="114">
                        <c:v>Pirque</c:v>
                      </c:pt>
                      <c:pt idx="115">
                        <c:v>Perquenco</c:v>
                      </c:pt>
                      <c:pt idx="116">
                        <c:v>Pozo Almonte</c:v>
                      </c:pt>
                      <c:pt idx="117">
                        <c:v>Quilaco</c:v>
                      </c:pt>
                      <c:pt idx="118">
                        <c:v>Nancagua</c:v>
                      </c:pt>
                      <c:pt idx="119">
                        <c:v>Longaví</c:v>
                      </c:pt>
                      <c:pt idx="120">
                        <c:v>San Clemente</c:v>
                      </c:pt>
                      <c:pt idx="121">
                        <c:v>Quellón</c:v>
                      </c:pt>
                      <c:pt idx="122">
                        <c:v>Padre Las Casas</c:v>
                      </c:pt>
                      <c:pt idx="123">
                        <c:v>Curacaví</c:v>
                      </c:pt>
                      <c:pt idx="124">
                        <c:v>Ercilla</c:v>
                      </c:pt>
                      <c:pt idx="125">
                        <c:v>Panguipulli</c:v>
                      </c:pt>
                      <c:pt idx="126">
                        <c:v>Gorbea</c:v>
                      </c:pt>
                      <c:pt idx="127">
                        <c:v>Chillán Viejo</c:v>
                      </c:pt>
                      <c:pt idx="128">
                        <c:v>Cabildo</c:v>
                      </c:pt>
                      <c:pt idx="129">
                        <c:v>Requinoa</c:v>
                      </c:pt>
                      <c:pt idx="130">
                        <c:v>Cobquecura</c:v>
                      </c:pt>
                      <c:pt idx="131">
                        <c:v>San Pablo</c:v>
                      </c:pt>
                      <c:pt idx="132">
                        <c:v>Calbuco</c:v>
                      </c:pt>
                      <c:pt idx="133">
                        <c:v>Catemu</c:v>
                      </c:pt>
                      <c:pt idx="134">
                        <c:v>Molina</c:v>
                      </c:pt>
                      <c:pt idx="135">
                        <c:v>Santa María</c:v>
                      </c:pt>
                      <c:pt idx="136">
                        <c:v>Santa Bárbara</c:v>
                      </c:pt>
                      <c:pt idx="137">
                        <c:v>San Fabián</c:v>
                      </c:pt>
                      <c:pt idx="138">
                        <c:v>Huasco</c:v>
                      </c:pt>
                      <c:pt idx="139">
                        <c:v>Río Negro</c:v>
                      </c:pt>
                      <c:pt idx="140">
                        <c:v>Nueva Imperial</c:v>
                      </c:pt>
                      <c:pt idx="141">
                        <c:v>Andacollo</c:v>
                      </c:pt>
                      <c:pt idx="142">
                        <c:v>Cunco</c:v>
                      </c:pt>
                      <c:pt idx="143">
                        <c:v>Vichuquén</c:v>
                      </c:pt>
                      <c:pt idx="144">
                        <c:v>Rauco</c:v>
                      </c:pt>
                      <c:pt idx="145">
                        <c:v>Olivar</c:v>
                      </c:pt>
                      <c:pt idx="146">
                        <c:v>San Vicente</c:v>
                      </c:pt>
                      <c:pt idx="147">
                        <c:v>Yumbel</c:v>
                      </c:pt>
                      <c:pt idx="148">
                        <c:v>Retiro</c:v>
                      </c:pt>
                      <c:pt idx="149">
                        <c:v>Paillaco</c:v>
                      </c:pt>
                      <c:pt idx="150">
                        <c:v>Bulnes</c:v>
                      </c:pt>
                      <c:pt idx="151">
                        <c:v>Melipilla</c:v>
                      </c:pt>
                      <c:pt idx="152">
                        <c:v>Purén</c:v>
                      </c:pt>
                      <c:pt idx="153">
                        <c:v>Calera de Tango</c:v>
                      </c:pt>
                      <c:pt idx="154">
                        <c:v>Quinta de Tilcoco</c:v>
                      </c:pt>
                      <c:pt idx="155">
                        <c:v>Mafil</c:v>
                      </c:pt>
                      <c:pt idx="156">
                        <c:v>Mariquina</c:v>
                      </c:pt>
                      <c:pt idx="157">
                        <c:v>Los Sauces</c:v>
                      </c:pt>
                      <c:pt idx="158">
                        <c:v>San Carlos</c:v>
                      </c:pt>
                      <c:pt idx="159">
                        <c:v>Cañete</c:v>
                      </c:pt>
                      <c:pt idx="160">
                        <c:v>Illapel</c:v>
                      </c:pt>
                      <c:pt idx="161">
                        <c:v>Putaendo</c:v>
                      </c:pt>
                      <c:pt idx="162">
                        <c:v>Yungay</c:v>
                      </c:pt>
                      <c:pt idx="163">
                        <c:v>Cabo de Hornos</c:v>
                      </c:pt>
                      <c:pt idx="164">
                        <c:v>Lanco</c:v>
                      </c:pt>
                      <c:pt idx="165">
                        <c:v>Santa Juana</c:v>
                      </c:pt>
                      <c:pt idx="166">
                        <c:v>Quillón</c:v>
                      </c:pt>
                      <c:pt idx="167">
                        <c:v>Chile Chico</c:v>
                      </c:pt>
                      <c:pt idx="168">
                        <c:v>Chaitén</c:v>
                      </c:pt>
                      <c:pt idx="169">
                        <c:v>Lago Verde</c:v>
                      </c:pt>
                      <c:pt idx="170">
                        <c:v>Isla de Maipo</c:v>
                      </c:pt>
                      <c:pt idx="171">
                        <c:v>Río Bueno</c:v>
                      </c:pt>
                      <c:pt idx="172">
                        <c:v>Pinto</c:v>
                      </c:pt>
                      <c:pt idx="173">
                        <c:v>Hijuelas</c:v>
                      </c:pt>
                      <c:pt idx="174">
                        <c:v>Río Ibáñez</c:v>
                      </c:pt>
                      <c:pt idx="175">
                        <c:v>San Rosendo</c:v>
                      </c:pt>
                      <c:pt idx="176">
                        <c:v>Constitución</c:v>
                      </c:pt>
                      <c:pt idx="177">
                        <c:v>Llaillay</c:v>
                      </c:pt>
                      <c:pt idx="178">
                        <c:v>Purranque</c:v>
                      </c:pt>
                      <c:pt idx="179">
                        <c:v>Alto Hospicio</c:v>
                      </c:pt>
                      <c:pt idx="180">
                        <c:v>Traiguén</c:v>
                      </c:pt>
                      <c:pt idx="181">
                        <c:v>Santa Cruz</c:v>
                      </c:pt>
                      <c:pt idx="182">
                        <c:v>Coltauco</c:v>
                      </c:pt>
                      <c:pt idx="183">
                        <c:v>Coelemu</c:v>
                      </c:pt>
                      <c:pt idx="184">
                        <c:v>Ancud</c:v>
                      </c:pt>
                      <c:pt idx="185">
                        <c:v>Collipulli</c:v>
                      </c:pt>
                      <c:pt idx="186">
                        <c:v>Lampa</c:v>
                      </c:pt>
                      <c:pt idx="187">
                        <c:v>Pelluhue</c:v>
                      </c:pt>
                      <c:pt idx="188">
                        <c:v>Cabrero</c:v>
                      </c:pt>
                      <c:pt idx="189">
                        <c:v>Ovalle</c:v>
                      </c:pt>
                      <c:pt idx="190">
                        <c:v>Laja</c:v>
                      </c:pt>
                      <c:pt idx="191">
                        <c:v>Mostazal</c:v>
                      </c:pt>
                      <c:pt idx="192">
                        <c:v>Mulchén</c:v>
                      </c:pt>
                      <c:pt idx="193">
                        <c:v>Til Til</c:v>
                      </c:pt>
                      <c:pt idx="194">
                        <c:v>Navidad</c:v>
                      </c:pt>
                      <c:pt idx="195">
                        <c:v>Diego de Almagro</c:v>
                      </c:pt>
                      <c:pt idx="196">
                        <c:v>Juan Fernández</c:v>
                      </c:pt>
                      <c:pt idx="197">
                        <c:v>Casablanca</c:v>
                      </c:pt>
                      <c:pt idx="198">
                        <c:v>Licantén</c:v>
                      </c:pt>
                      <c:pt idx="199">
                        <c:v>Lo Espejo</c:v>
                      </c:pt>
                      <c:pt idx="200">
                        <c:v>San Gregorio</c:v>
                      </c:pt>
                      <c:pt idx="201">
                        <c:v>Panquehue</c:v>
                      </c:pt>
                      <c:pt idx="202">
                        <c:v>Contulmo</c:v>
                      </c:pt>
                      <c:pt idx="203">
                        <c:v>Loncoche</c:v>
                      </c:pt>
                      <c:pt idx="204">
                        <c:v>El Monte</c:v>
                      </c:pt>
                      <c:pt idx="205">
                        <c:v>Coinco</c:v>
                      </c:pt>
                      <c:pt idx="206">
                        <c:v>La Ligua</c:v>
                      </c:pt>
                      <c:pt idx="207">
                        <c:v>Taltal</c:v>
                      </c:pt>
                      <c:pt idx="208">
                        <c:v>Curacautín</c:v>
                      </c:pt>
                      <c:pt idx="209">
                        <c:v>Doñihue</c:v>
                      </c:pt>
                      <c:pt idx="210">
                        <c:v>Mejillones</c:v>
                      </c:pt>
                      <c:pt idx="211">
                        <c:v>Buin</c:v>
                      </c:pt>
                      <c:pt idx="212">
                        <c:v>Lautaro</c:v>
                      </c:pt>
                      <c:pt idx="213">
                        <c:v>Pitrufquén</c:v>
                      </c:pt>
                      <c:pt idx="214">
                        <c:v>San Esteban</c:v>
                      </c:pt>
                      <c:pt idx="215">
                        <c:v>Tucapel</c:v>
                      </c:pt>
                      <c:pt idx="216">
                        <c:v>María Pinto</c:v>
                      </c:pt>
                      <c:pt idx="217">
                        <c:v>San Ramón</c:v>
                      </c:pt>
                      <c:pt idx="218">
                        <c:v>Frutillar</c:v>
                      </c:pt>
                      <c:pt idx="219">
                        <c:v>Hualpén</c:v>
                      </c:pt>
                      <c:pt idx="220">
                        <c:v>Linares</c:v>
                      </c:pt>
                      <c:pt idx="221">
                        <c:v>Nogales</c:v>
                      </c:pt>
                      <c:pt idx="222">
                        <c:v>Palena</c:v>
                      </c:pt>
                      <c:pt idx="223">
                        <c:v>Calle Larga</c:v>
                      </c:pt>
                      <c:pt idx="224">
                        <c:v>Castro</c:v>
                      </c:pt>
                      <c:pt idx="225">
                        <c:v>Olmué</c:v>
                      </c:pt>
                      <c:pt idx="226">
                        <c:v>Caldera</c:v>
                      </c:pt>
                      <c:pt idx="227">
                        <c:v>Talagante</c:v>
                      </c:pt>
                      <c:pt idx="228">
                        <c:v>Llanquihue</c:v>
                      </c:pt>
                      <c:pt idx="229">
                        <c:v>Timaukel</c:v>
                      </c:pt>
                      <c:pt idx="230">
                        <c:v>Cauquenes</c:v>
                      </c:pt>
                      <c:pt idx="231">
                        <c:v>Los Angeles</c:v>
                      </c:pt>
                      <c:pt idx="232">
                        <c:v>Nacimiento</c:v>
                      </c:pt>
                      <c:pt idx="233">
                        <c:v>Colina</c:v>
                      </c:pt>
                      <c:pt idx="234">
                        <c:v>Parral</c:v>
                      </c:pt>
                      <c:pt idx="235">
                        <c:v>Pucón</c:v>
                      </c:pt>
                      <c:pt idx="236">
                        <c:v>La Unión</c:v>
                      </c:pt>
                      <c:pt idx="237">
                        <c:v>Cochrane</c:v>
                      </c:pt>
                      <c:pt idx="238">
                        <c:v>San Bernardo</c:v>
                      </c:pt>
                      <c:pt idx="239">
                        <c:v>Cerro Navia</c:v>
                      </c:pt>
                      <c:pt idx="240">
                        <c:v>Arauco</c:v>
                      </c:pt>
                      <c:pt idx="241">
                        <c:v>Victoria</c:v>
                      </c:pt>
                      <c:pt idx="242">
                        <c:v>Papudo</c:v>
                      </c:pt>
                      <c:pt idx="243">
                        <c:v>Renca</c:v>
                      </c:pt>
                      <c:pt idx="244">
                        <c:v>Los Alamos</c:v>
                      </c:pt>
                      <c:pt idx="245">
                        <c:v>La Granja</c:v>
                      </c:pt>
                      <c:pt idx="246">
                        <c:v>Vallenar</c:v>
                      </c:pt>
                      <c:pt idx="247">
                        <c:v>Los Vilos</c:v>
                      </c:pt>
                      <c:pt idx="248">
                        <c:v>San Fernando</c:v>
                      </c:pt>
                      <c:pt idx="249">
                        <c:v>Rengo</c:v>
                      </c:pt>
                      <c:pt idx="250">
                        <c:v>Rinconada</c:v>
                      </c:pt>
                      <c:pt idx="251">
                        <c:v>Villarrica</c:v>
                      </c:pt>
                      <c:pt idx="252">
                        <c:v>Futaleufú</c:v>
                      </c:pt>
                      <c:pt idx="253">
                        <c:v>Hualqui</c:v>
                      </c:pt>
                      <c:pt idx="254">
                        <c:v>Arica</c:v>
                      </c:pt>
                      <c:pt idx="255">
                        <c:v>Aisén</c:v>
                      </c:pt>
                      <c:pt idx="256">
                        <c:v>San Felipe</c:v>
                      </c:pt>
                      <c:pt idx="257">
                        <c:v>Peñalolén</c:v>
                      </c:pt>
                      <c:pt idx="258">
                        <c:v>Lebu</c:v>
                      </c:pt>
                      <c:pt idx="259">
                        <c:v>Tocopilla</c:v>
                      </c:pt>
                      <c:pt idx="260">
                        <c:v>Recoleta</c:v>
                      </c:pt>
                      <c:pt idx="261">
                        <c:v>Quintero</c:v>
                      </c:pt>
                      <c:pt idx="262">
                        <c:v>Quilicura</c:v>
                      </c:pt>
                      <c:pt idx="263">
                        <c:v>Puerto Montt</c:v>
                      </c:pt>
                      <c:pt idx="264">
                        <c:v>Peñaflor</c:v>
                      </c:pt>
                      <c:pt idx="265">
                        <c:v>El Bosque</c:v>
                      </c:pt>
                      <c:pt idx="266">
                        <c:v>Lo Prado</c:v>
                      </c:pt>
                      <c:pt idx="267">
                        <c:v>Pedro Aguirre Cerda</c:v>
                      </c:pt>
                      <c:pt idx="268">
                        <c:v>Limache</c:v>
                      </c:pt>
                      <c:pt idx="269">
                        <c:v>San Antonio</c:v>
                      </c:pt>
                      <c:pt idx="270">
                        <c:v>Coyhaique</c:v>
                      </c:pt>
                      <c:pt idx="271">
                        <c:v>Lo Barnechea</c:v>
                      </c:pt>
                      <c:pt idx="272">
                        <c:v>Graneros</c:v>
                      </c:pt>
                      <c:pt idx="273">
                        <c:v>Cisnes</c:v>
                      </c:pt>
                      <c:pt idx="274">
                        <c:v>Conchalí</c:v>
                      </c:pt>
                      <c:pt idx="275">
                        <c:v>O'Higgins</c:v>
                      </c:pt>
                      <c:pt idx="276">
                        <c:v>Copiapó</c:v>
                      </c:pt>
                      <c:pt idx="277">
                        <c:v>Curanilahue</c:v>
                      </c:pt>
                      <c:pt idx="278">
                        <c:v>Huechuraba</c:v>
                      </c:pt>
                      <c:pt idx="279">
                        <c:v>San Joaquín</c:v>
                      </c:pt>
                      <c:pt idx="280">
                        <c:v>Calera</c:v>
                      </c:pt>
                      <c:pt idx="281">
                        <c:v>Puerto Varas</c:v>
                      </c:pt>
                      <c:pt idx="282">
                        <c:v>Puente Alto</c:v>
                      </c:pt>
                      <c:pt idx="283">
                        <c:v>Pudahuel</c:v>
                      </c:pt>
                      <c:pt idx="284">
                        <c:v>Pichilemu</c:v>
                      </c:pt>
                      <c:pt idx="285">
                        <c:v>Padre Hurtado</c:v>
                      </c:pt>
                      <c:pt idx="286">
                        <c:v>Porvenir</c:v>
                      </c:pt>
                      <c:pt idx="287">
                        <c:v>Cerrillos</c:v>
                      </c:pt>
                      <c:pt idx="288">
                        <c:v>Angol</c:v>
                      </c:pt>
                      <c:pt idx="289">
                        <c:v>Iquique</c:v>
                      </c:pt>
                      <c:pt idx="290">
                        <c:v>Quinta Normal</c:v>
                      </c:pt>
                      <c:pt idx="291">
                        <c:v>Quillota</c:v>
                      </c:pt>
                      <c:pt idx="292">
                        <c:v>Osorno</c:v>
                      </c:pt>
                      <c:pt idx="293">
                        <c:v>Coquimbo</c:v>
                      </c:pt>
                      <c:pt idx="294">
                        <c:v>Calama</c:v>
                      </c:pt>
                      <c:pt idx="295">
                        <c:v>Cartagena</c:v>
                      </c:pt>
                      <c:pt idx="296">
                        <c:v>Curicó</c:v>
                      </c:pt>
                      <c:pt idx="297">
                        <c:v>La Cruz</c:v>
                      </c:pt>
                      <c:pt idx="298">
                        <c:v>Antofagasta</c:v>
                      </c:pt>
                      <c:pt idx="299">
                        <c:v>Tomé</c:v>
                      </c:pt>
                      <c:pt idx="300">
                        <c:v>Penco</c:v>
                      </c:pt>
                      <c:pt idx="301">
                        <c:v>Machalí</c:v>
                      </c:pt>
                      <c:pt idx="302">
                        <c:v>Independencia</c:v>
                      </c:pt>
                      <c:pt idx="303">
                        <c:v>Isla de Pascua</c:v>
                      </c:pt>
                      <c:pt idx="304">
                        <c:v>Maipú</c:v>
                      </c:pt>
                      <c:pt idx="305">
                        <c:v>Rancagua</c:v>
                      </c:pt>
                      <c:pt idx="306">
                        <c:v>Valdivia</c:v>
                      </c:pt>
                      <c:pt idx="307">
                        <c:v>Lota</c:v>
                      </c:pt>
                      <c:pt idx="308">
                        <c:v>La Serena</c:v>
                      </c:pt>
                      <c:pt idx="309">
                        <c:v>Valparaíso</c:v>
                      </c:pt>
                      <c:pt idx="310">
                        <c:v>Estación Central</c:v>
                      </c:pt>
                      <c:pt idx="311">
                        <c:v>Talca</c:v>
                      </c:pt>
                      <c:pt idx="312">
                        <c:v>Villa Alemana</c:v>
                      </c:pt>
                      <c:pt idx="313">
                        <c:v>Coronel</c:v>
                      </c:pt>
                      <c:pt idx="314">
                        <c:v>Chillán</c:v>
                      </c:pt>
                      <c:pt idx="315">
                        <c:v>La Reina</c:v>
                      </c:pt>
                      <c:pt idx="316">
                        <c:v>Temuco</c:v>
                      </c:pt>
                      <c:pt idx="317">
                        <c:v>Natales</c:v>
                      </c:pt>
                      <c:pt idx="318">
                        <c:v>Chiguayante</c:v>
                      </c:pt>
                      <c:pt idx="319">
                        <c:v>La Florida</c:v>
                      </c:pt>
                      <c:pt idx="320">
                        <c:v>Punta Arenas</c:v>
                      </c:pt>
                      <c:pt idx="321">
                        <c:v>San Pedro de la Paz</c:v>
                      </c:pt>
                      <c:pt idx="322">
                        <c:v>Los Andes</c:v>
                      </c:pt>
                      <c:pt idx="323">
                        <c:v>Zapallar</c:v>
                      </c:pt>
                      <c:pt idx="324">
                        <c:v>Quilpué</c:v>
                      </c:pt>
                      <c:pt idx="325">
                        <c:v>La Cisterna</c:v>
                      </c:pt>
                      <c:pt idx="326">
                        <c:v>Macul</c:v>
                      </c:pt>
                      <c:pt idx="327">
                        <c:v>Santo Domingo</c:v>
                      </c:pt>
                      <c:pt idx="328">
                        <c:v>Puchuncaví</c:v>
                      </c:pt>
                      <c:pt idx="329">
                        <c:v>Concepción</c:v>
                      </c:pt>
                      <c:pt idx="330">
                        <c:v>Alhué</c:v>
                      </c:pt>
                      <c:pt idx="331">
                        <c:v>Sierra Gorda</c:v>
                      </c:pt>
                      <c:pt idx="332">
                        <c:v>Viña del Mar</c:v>
                      </c:pt>
                      <c:pt idx="333">
                        <c:v>Santiago</c:v>
                      </c:pt>
                      <c:pt idx="334">
                        <c:v>San Miguel</c:v>
                      </c:pt>
                      <c:pt idx="335">
                        <c:v>Talcahuano</c:v>
                      </c:pt>
                      <c:pt idx="336">
                        <c:v>Vitacura</c:v>
                      </c:pt>
                      <c:pt idx="337">
                        <c:v>El Tabo</c:v>
                      </c:pt>
                      <c:pt idx="338">
                        <c:v>El Quisco</c:v>
                      </c:pt>
                      <c:pt idx="339">
                        <c:v>Las Condes</c:v>
                      </c:pt>
                      <c:pt idx="340">
                        <c:v>Concón</c:v>
                      </c:pt>
                      <c:pt idx="341">
                        <c:v>Ñuñoa</c:v>
                      </c:pt>
                      <c:pt idx="342">
                        <c:v>Providencia</c:v>
                      </c:pt>
                      <c:pt idx="343">
                        <c:v>Algarrobo</c:v>
                      </c:pt>
                      <c:pt idx="344">
                        <c:v>Torres del Paine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'Ajuste 2024'!$I$4:$I$348</c15:sqref>
                        </c15:formulaRef>
                      </c:ext>
                    </c:extLst>
                    <c:numCache>
                      <c:formatCode>0.000</c:formatCode>
                      <c:ptCount val="345"/>
                      <c:pt idx="0">
                        <c:v>0.34217336514382035</c:v>
                      </c:pt>
                      <c:pt idx="1">
                        <c:v>0.34348368343095387</c:v>
                      </c:pt>
                      <c:pt idx="2">
                        <c:v>0.34505823427149707</c:v>
                      </c:pt>
                      <c:pt idx="3">
                        <c:v>0.34556317398397973</c:v>
                      </c:pt>
                      <c:pt idx="4">
                        <c:v>0.34580969235250841</c:v>
                      </c:pt>
                      <c:pt idx="5">
                        <c:v>0.34750962837810651</c:v>
                      </c:pt>
                      <c:pt idx="6">
                        <c:v>0.35313023605085248</c:v>
                      </c:pt>
                      <c:pt idx="7">
                        <c:v>0.35331552977538372</c:v>
                      </c:pt>
                      <c:pt idx="8">
                        <c:v>0.35529144165012261</c:v>
                      </c:pt>
                      <c:pt idx="9">
                        <c:v>0.3566377372342211</c:v>
                      </c:pt>
                      <c:pt idx="10">
                        <c:v>0.35681241397067998</c:v>
                      </c:pt>
                      <c:pt idx="11">
                        <c:v>0.35682411526444502</c:v>
                      </c:pt>
                      <c:pt idx="12">
                        <c:v>0.35690854196743788</c:v>
                      </c:pt>
                      <c:pt idx="13">
                        <c:v>0.35968246238452339</c:v>
                      </c:pt>
                      <c:pt idx="14">
                        <c:v>0.35983738722104985</c:v>
                      </c:pt>
                      <c:pt idx="15">
                        <c:v>0.3603387022286807</c:v>
                      </c:pt>
                      <c:pt idx="16">
                        <c:v>0.36099104981227298</c:v>
                      </c:pt>
                      <c:pt idx="17">
                        <c:v>0.36205047010220887</c:v>
                      </c:pt>
                      <c:pt idx="18">
                        <c:v>0.36236522133938909</c:v>
                      </c:pt>
                      <c:pt idx="19">
                        <c:v>0.36247316154278275</c:v>
                      </c:pt>
                      <c:pt idx="20">
                        <c:v>0.36338242259521858</c:v>
                      </c:pt>
                      <c:pt idx="21">
                        <c:v>0.36472416401420604</c:v>
                      </c:pt>
                      <c:pt idx="22">
                        <c:v>0.36578965290629606</c:v>
                      </c:pt>
                      <c:pt idx="23">
                        <c:v>0.36618733503665485</c:v>
                      </c:pt>
                      <c:pt idx="24">
                        <c:v>0.36824758383453404</c:v>
                      </c:pt>
                      <c:pt idx="25">
                        <c:v>0.36829446995296422</c:v>
                      </c:pt>
                      <c:pt idx="26">
                        <c:v>0.36909943284593566</c:v>
                      </c:pt>
                      <c:pt idx="27">
                        <c:v>0.36947654697892279</c:v>
                      </c:pt>
                      <c:pt idx="28">
                        <c:v>0.36992812531440084</c:v>
                      </c:pt>
                      <c:pt idx="29">
                        <c:v>0.37104480264544071</c:v>
                      </c:pt>
                      <c:pt idx="30">
                        <c:v>0.37138589801991706</c:v>
                      </c:pt>
                      <c:pt idx="31">
                        <c:v>0.37157246087041051</c:v>
                      </c:pt>
                      <c:pt idx="32">
                        <c:v>0.37163232844565425</c:v>
                      </c:pt>
                      <c:pt idx="33">
                        <c:v>0.37378551528999815</c:v>
                      </c:pt>
                      <c:pt idx="34">
                        <c:v>0.37670486182459384</c:v>
                      </c:pt>
                      <c:pt idx="35">
                        <c:v>0.37753317226704736</c:v>
                      </c:pt>
                      <c:pt idx="36">
                        <c:v>0.37929782275270946</c:v>
                      </c:pt>
                      <c:pt idx="37">
                        <c:v>0.38040395395001703</c:v>
                      </c:pt>
                      <c:pt idx="38">
                        <c:v>0.38202589878770976</c:v>
                      </c:pt>
                      <c:pt idx="39">
                        <c:v>0.38208851480065537</c:v>
                      </c:pt>
                      <c:pt idx="40">
                        <c:v>0.38305017460500568</c:v>
                      </c:pt>
                      <c:pt idx="41">
                        <c:v>0.38385651541122606</c:v>
                      </c:pt>
                      <c:pt idx="42">
                        <c:v>0.38452003999753837</c:v>
                      </c:pt>
                      <c:pt idx="43">
                        <c:v>0.38540677050336836</c:v>
                      </c:pt>
                      <c:pt idx="44">
                        <c:v>0.38660413152764972</c:v>
                      </c:pt>
                      <c:pt idx="45">
                        <c:v>0.38708313103914821</c:v>
                      </c:pt>
                      <c:pt idx="46">
                        <c:v>0.38838701439852952</c:v>
                      </c:pt>
                      <c:pt idx="47">
                        <c:v>0.38909272278172002</c:v>
                      </c:pt>
                      <c:pt idx="48">
                        <c:v>0.39019034393155472</c:v>
                      </c:pt>
                      <c:pt idx="49">
                        <c:v>0.39046286091988697</c:v>
                      </c:pt>
                      <c:pt idx="50">
                        <c:v>0.39097473026474472</c:v>
                      </c:pt>
                      <c:pt idx="51">
                        <c:v>0.3918341563675411</c:v>
                      </c:pt>
                      <c:pt idx="52">
                        <c:v>0.39233986618405259</c:v>
                      </c:pt>
                      <c:pt idx="53">
                        <c:v>0.3931443824690613</c:v>
                      </c:pt>
                      <c:pt idx="54">
                        <c:v>0.39346959448194668</c:v>
                      </c:pt>
                      <c:pt idx="55">
                        <c:v>0.39415684426035252</c:v>
                      </c:pt>
                      <c:pt idx="56">
                        <c:v>0.39626110461820263</c:v>
                      </c:pt>
                      <c:pt idx="57">
                        <c:v>0.39888520587945048</c:v>
                      </c:pt>
                      <c:pt idx="58">
                        <c:v>0.39933247653344822</c:v>
                      </c:pt>
                      <c:pt idx="59">
                        <c:v>0.39935486521805214</c:v>
                      </c:pt>
                      <c:pt idx="60">
                        <c:v>0.39936489585149998</c:v>
                      </c:pt>
                      <c:pt idx="61">
                        <c:v>0.39971207486513627</c:v>
                      </c:pt>
                      <c:pt idx="62">
                        <c:v>0.40160686336342488</c:v>
                      </c:pt>
                      <c:pt idx="63">
                        <c:v>0.40202865376084618</c:v>
                      </c:pt>
                      <c:pt idx="64">
                        <c:v>0.40251602653419977</c:v>
                      </c:pt>
                      <c:pt idx="65">
                        <c:v>0.40293488917876069</c:v>
                      </c:pt>
                      <c:pt idx="66">
                        <c:v>0.40371488184994042</c:v>
                      </c:pt>
                      <c:pt idx="67">
                        <c:v>0.40371620281927206</c:v>
                      </c:pt>
                      <c:pt idx="68">
                        <c:v>0.40406232291037336</c:v>
                      </c:pt>
                      <c:pt idx="69">
                        <c:v>0.40463488222317223</c:v>
                      </c:pt>
                      <c:pt idx="70">
                        <c:v>0.40471577079279003</c:v>
                      </c:pt>
                      <c:pt idx="71">
                        <c:v>0.40569274755294371</c:v>
                      </c:pt>
                      <c:pt idx="72">
                        <c:v>0.40586307777855624</c:v>
                      </c:pt>
                      <c:pt idx="73">
                        <c:v>0.40631021250489707</c:v>
                      </c:pt>
                      <c:pt idx="74">
                        <c:v>0.40734315589324671</c:v>
                      </c:pt>
                      <c:pt idx="75">
                        <c:v>0.40814784050066899</c:v>
                      </c:pt>
                      <c:pt idx="76">
                        <c:v>0.40879752766059929</c:v>
                      </c:pt>
                      <c:pt idx="77">
                        <c:v>0.40987250491803306</c:v>
                      </c:pt>
                      <c:pt idx="78">
                        <c:v>0.41165372571718883</c:v>
                      </c:pt>
                      <c:pt idx="79">
                        <c:v>0.41188379669988306</c:v>
                      </c:pt>
                      <c:pt idx="80">
                        <c:v>0.41352752290261641</c:v>
                      </c:pt>
                      <c:pt idx="81">
                        <c:v>0.41391631759960223</c:v>
                      </c:pt>
                      <c:pt idx="82">
                        <c:v>0.41543307492317616</c:v>
                      </c:pt>
                      <c:pt idx="83">
                        <c:v>0.41560507278996439</c:v>
                      </c:pt>
                      <c:pt idx="84">
                        <c:v>0.41579744220706383</c:v>
                      </c:pt>
                      <c:pt idx="85">
                        <c:v>0.41661760790710722</c:v>
                      </c:pt>
                      <c:pt idx="86">
                        <c:v>0.41679825247527896</c:v>
                      </c:pt>
                      <c:pt idx="87">
                        <c:v>0.41682606829697144</c:v>
                      </c:pt>
                      <c:pt idx="88">
                        <c:v>0.41687130524517346</c:v>
                      </c:pt>
                      <c:pt idx="89">
                        <c:v>0.41771739500896865</c:v>
                      </c:pt>
                      <c:pt idx="90">
                        <c:v>0.41794042028684425</c:v>
                      </c:pt>
                      <c:pt idx="91">
                        <c:v>0.4186838416300091</c:v>
                      </c:pt>
                      <c:pt idx="92">
                        <c:v>0.41931656359948799</c:v>
                      </c:pt>
                      <c:pt idx="93">
                        <c:v>0.42242304589383278</c:v>
                      </c:pt>
                      <c:pt idx="94">
                        <c:v>0.42402631660220425</c:v>
                      </c:pt>
                      <c:pt idx="95">
                        <c:v>0.42430205570029866</c:v>
                      </c:pt>
                      <c:pt idx="96">
                        <c:v>0.42533314134904104</c:v>
                      </c:pt>
                      <c:pt idx="97">
                        <c:v>0.42551009254722805</c:v>
                      </c:pt>
                      <c:pt idx="98">
                        <c:v>0.42597554721372899</c:v>
                      </c:pt>
                      <c:pt idx="99">
                        <c:v>0.42627342638555832</c:v>
                      </c:pt>
                      <c:pt idx="100">
                        <c:v>0.42696441555861347</c:v>
                      </c:pt>
                      <c:pt idx="101">
                        <c:v>0.42813127136872137</c:v>
                      </c:pt>
                      <c:pt idx="102">
                        <c:v>0.42829907537629186</c:v>
                      </c:pt>
                      <c:pt idx="103">
                        <c:v>0.4285317950150877</c:v>
                      </c:pt>
                      <c:pt idx="104">
                        <c:v>0.42947170963808518</c:v>
                      </c:pt>
                      <c:pt idx="105">
                        <c:v>0.43216212723127384</c:v>
                      </c:pt>
                      <c:pt idx="106">
                        <c:v>0.43377150307315676</c:v>
                      </c:pt>
                      <c:pt idx="107">
                        <c:v>0.43503688641274618</c:v>
                      </c:pt>
                      <c:pt idx="108">
                        <c:v>0.43529590277191776</c:v>
                      </c:pt>
                      <c:pt idx="109">
                        <c:v>0.43663107324063</c:v>
                      </c:pt>
                      <c:pt idx="110">
                        <c:v>0.43739487614805156</c:v>
                      </c:pt>
                      <c:pt idx="111">
                        <c:v>0.43832054715662722</c:v>
                      </c:pt>
                      <c:pt idx="112">
                        <c:v>0.4403124715399675</c:v>
                      </c:pt>
                      <c:pt idx="113">
                        <c:v>0.44044296733093452</c:v>
                      </c:pt>
                      <c:pt idx="114">
                        <c:v>0.44141567926528291</c:v>
                      </c:pt>
                      <c:pt idx="115">
                        <c:v>0.44167844980268223</c:v>
                      </c:pt>
                      <c:pt idx="116">
                        <c:v>0.44186749728987312</c:v>
                      </c:pt>
                      <c:pt idx="117">
                        <c:v>0.44186989046709707</c:v>
                      </c:pt>
                      <c:pt idx="118">
                        <c:v>0.4438192040645037</c:v>
                      </c:pt>
                      <c:pt idx="119">
                        <c:v>0.44393154167458626</c:v>
                      </c:pt>
                      <c:pt idx="120">
                        <c:v>0.44433972714808767</c:v>
                      </c:pt>
                      <c:pt idx="121">
                        <c:v>0.44567659790252068</c:v>
                      </c:pt>
                      <c:pt idx="122">
                        <c:v>0.44748739522253833</c:v>
                      </c:pt>
                      <c:pt idx="123">
                        <c:v>0.44828351253140786</c:v>
                      </c:pt>
                      <c:pt idx="124">
                        <c:v>0.44900491151945915</c:v>
                      </c:pt>
                      <c:pt idx="125">
                        <c:v>0.4505316252498438</c:v>
                      </c:pt>
                      <c:pt idx="126">
                        <c:v>0.45147103940213229</c:v>
                      </c:pt>
                      <c:pt idx="127">
                        <c:v>0.4518557527699511</c:v>
                      </c:pt>
                      <c:pt idx="128">
                        <c:v>0.45246630588067144</c:v>
                      </c:pt>
                      <c:pt idx="129">
                        <c:v>0.45379711105716813</c:v>
                      </c:pt>
                      <c:pt idx="130">
                        <c:v>0.45380103305417463</c:v>
                      </c:pt>
                      <c:pt idx="131">
                        <c:v>0.45386140753049248</c:v>
                      </c:pt>
                      <c:pt idx="132">
                        <c:v>0.45414442164983415</c:v>
                      </c:pt>
                      <c:pt idx="133">
                        <c:v>0.45558696314995123</c:v>
                      </c:pt>
                      <c:pt idx="134">
                        <c:v>0.45567005513591646</c:v>
                      </c:pt>
                      <c:pt idx="135">
                        <c:v>0.45581441041643433</c:v>
                      </c:pt>
                      <c:pt idx="136">
                        <c:v>0.4560446689629491</c:v>
                      </c:pt>
                      <c:pt idx="137">
                        <c:v>0.45665569905947562</c:v>
                      </c:pt>
                      <c:pt idx="138">
                        <c:v>0.45704108382781183</c:v>
                      </c:pt>
                      <c:pt idx="139">
                        <c:v>0.45724646052630602</c:v>
                      </c:pt>
                      <c:pt idx="140">
                        <c:v>0.45873696889884624</c:v>
                      </c:pt>
                      <c:pt idx="141">
                        <c:v>0.46057104426857559</c:v>
                      </c:pt>
                      <c:pt idx="142">
                        <c:v>0.46111348917512618</c:v>
                      </c:pt>
                      <c:pt idx="143">
                        <c:v>0.46254436581983388</c:v>
                      </c:pt>
                      <c:pt idx="144">
                        <c:v>0.46490778233646385</c:v>
                      </c:pt>
                      <c:pt idx="145">
                        <c:v>0.4660490510541439</c:v>
                      </c:pt>
                      <c:pt idx="146">
                        <c:v>0.46777093194241093</c:v>
                      </c:pt>
                      <c:pt idx="147">
                        <c:v>0.47050263846589468</c:v>
                      </c:pt>
                      <c:pt idx="148">
                        <c:v>0.47075710032837126</c:v>
                      </c:pt>
                      <c:pt idx="149">
                        <c:v>0.47161450406682115</c:v>
                      </c:pt>
                      <c:pt idx="150">
                        <c:v>0.47430017841612432</c:v>
                      </c:pt>
                      <c:pt idx="151">
                        <c:v>0.47446414435431344</c:v>
                      </c:pt>
                      <c:pt idx="152">
                        <c:v>0.47562458197436835</c:v>
                      </c:pt>
                      <c:pt idx="153">
                        <c:v>0.476740040988193</c:v>
                      </c:pt>
                      <c:pt idx="154">
                        <c:v>0.47688865051982271</c:v>
                      </c:pt>
                      <c:pt idx="155">
                        <c:v>0.47721326064546565</c:v>
                      </c:pt>
                      <c:pt idx="156">
                        <c:v>0.47725306385188548</c:v>
                      </c:pt>
                      <c:pt idx="157">
                        <c:v>0.47921027252460641</c:v>
                      </c:pt>
                      <c:pt idx="158">
                        <c:v>0.48067354711549942</c:v>
                      </c:pt>
                      <c:pt idx="159">
                        <c:v>0.48116799113119385</c:v>
                      </c:pt>
                      <c:pt idx="160">
                        <c:v>0.48170247311340797</c:v>
                      </c:pt>
                      <c:pt idx="161">
                        <c:v>0.4821897339274025</c:v>
                      </c:pt>
                      <c:pt idx="162">
                        <c:v>0.48556903497453979</c:v>
                      </c:pt>
                      <c:pt idx="163">
                        <c:v>0.48637807740111583</c:v>
                      </c:pt>
                      <c:pt idx="164">
                        <c:v>0.48664813147012692</c:v>
                      </c:pt>
                      <c:pt idx="165">
                        <c:v>0.48666911344980524</c:v>
                      </c:pt>
                      <c:pt idx="166">
                        <c:v>0.48727758619917821</c:v>
                      </c:pt>
                      <c:pt idx="167">
                        <c:v>0.48924666855433996</c:v>
                      </c:pt>
                      <c:pt idx="168">
                        <c:v>0.48929730886989176</c:v>
                      </c:pt>
                      <c:pt idx="169">
                        <c:v>0.48951722259786185</c:v>
                      </c:pt>
                      <c:pt idx="170">
                        <c:v>0.48976668898343884</c:v>
                      </c:pt>
                      <c:pt idx="171">
                        <c:v>0.49076746977727298</c:v>
                      </c:pt>
                      <c:pt idx="172">
                        <c:v>0.49126459708540199</c:v>
                      </c:pt>
                      <c:pt idx="173">
                        <c:v>0.49186183563900615</c:v>
                      </c:pt>
                      <c:pt idx="174">
                        <c:v>0.49217993968253998</c:v>
                      </c:pt>
                      <c:pt idx="175">
                        <c:v>0.493808132124613</c:v>
                      </c:pt>
                      <c:pt idx="176">
                        <c:v>0.49431220127995568</c:v>
                      </c:pt>
                      <c:pt idx="177">
                        <c:v>0.49603147241232581</c:v>
                      </c:pt>
                      <c:pt idx="178">
                        <c:v>0.49694152235918276</c:v>
                      </c:pt>
                      <c:pt idx="179">
                        <c:v>0.49743098666029273</c:v>
                      </c:pt>
                      <c:pt idx="180">
                        <c:v>0.49781615383343558</c:v>
                      </c:pt>
                      <c:pt idx="181">
                        <c:v>0.49784388991000739</c:v>
                      </c:pt>
                      <c:pt idx="182">
                        <c:v>0.49786296235263905</c:v>
                      </c:pt>
                      <c:pt idx="183">
                        <c:v>0.4984579375447778</c:v>
                      </c:pt>
                      <c:pt idx="184">
                        <c:v>0.49995360502777447</c:v>
                      </c:pt>
                      <c:pt idx="185">
                        <c:v>0.50141220449632007</c:v>
                      </c:pt>
                      <c:pt idx="186">
                        <c:v>0.50274075872657065</c:v>
                      </c:pt>
                      <c:pt idx="187">
                        <c:v>0.50377068374872336</c:v>
                      </c:pt>
                      <c:pt idx="188">
                        <c:v>0.50449931269232684</c:v>
                      </c:pt>
                      <c:pt idx="189">
                        <c:v>0.50470466228220556</c:v>
                      </c:pt>
                      <c:pt idx="190">
                        <c:v>0.50793773564396316</c:v>
                      </c:pt>
                      <c:pt idx="191">
                        <c:v>0.50837830409337958</c:v>
                      </c:pt>
                      <c:pt idx="192">
                        <c:v>0.50852457118706573</c:v>
                      </c:pt>
                      <c:pt idx="193">
                        <c:v>0.50894978470785068</c:v>
                      </c:pt>
                      <c:pt idx="194">
                        <c:v>0.50909029136055273</c:v>
                      </c:pt>
                      <c:pt idx="195">
                        <c:v>0.50941257157642594</c:v>
                      </c:pt>
                      <c:pt idx="196">
                        <c:v>0.50993157539600509</c:v>
                      </c:pt>
                      <c:pt idx="197">
                        <c:v>0.51091159260859986</c:v>
                      </c:pt>
                      <c:pt idx="198">
                        <c:v>0.51092945282396729</c:v>
                      </c:pt>
                      <c:pt idx="199">
                        <c:v>0.51144073161712489</c:v>
                      </c:pt>
                      <c:pt idx="200">
                        <c:v>0.51169147150944971</c:v>
                      </c:pt>
                      <c:pt idx="201">
                        <c:v>0.51200388686733278</c:v>
                      </c:pt>
                      <c:pt idx="202">
                        <c:v>0.5121998998291537</c:v>
                      </c:pt>
                      <c:pt idx="203">
                        <c:v>0.51237230189545835</c:v>
                      </c:pt>
                      <c:pt idx="204">
                        <c:v>0.5125230497143487</c:v>
                      </c:pt>
                      <c:pt idx="205">
                        <c:v>0.51305185847784052</c:v>
                      </c:pt>
                      <c:pt idx="206">
                        <c:v>0.51366691659900077</c:v>
                      </c:pt>
                      <c:pt idx="207">
                        <c:v>0.51406087631880093</c:v>
                      </c:pt>
                      <c:pt idx="208">
                        <c:v>0.51484203478589485</c:v>
                      </c:pt>
                      <c:pt idx="209">
                        <c:v>0.51531338479338851</c:v>
                      </c:pt>
                      <c:pt idx="210">
                        <c:v>0.51670640392330713</c:v>
                      </c:pt>
                      <c:pt idx="211">
                        <c:v>0.52113196331644274</c:v>
                      </c:pt>
                      <c:pt idx="212">
                        <c:v>0.52124365940541095</c:v>
                      </c:pt>
                      <c:pt idx="213">
                        <c:v>0.52382990100668525</c:v>
                      </c:pt>
                      <c:pt idx="214">
                        <c:v>0.52419612082540434</c:v>
                      </c:pt>
                      <c:pt idx="215">
                        <c:v>0.5252457552574189</c:v>
                      </c:pt>
                      <c:pt idx="216">
                        <c:v>0.52555855097940785</c:v>
                      </c:pt>
                      <c:pt idx="217">
                        <c:v>0.52887157145990382</c:v>
                      </c:pt>
                      <c:pt idx="218">
                        <c:v>0.52907659429404053</c:v>
                      </c:pt>
                      <c:pt idx="219">
                        <c:v>0.5302982575121552</c:v>
                      </c:pt>
                      <c:pt idx="220">
                        <c:v>0.53086888552095812</c:v>
                      </c:pt>
                      <c:pt idx="221">
                        <c:v>0.53116708478925523</c:v>
                      </c:pt>
                      <c:pt idx="222">
                        <c:v>0.53192450426650684</c:v>
                      </c:pt>
                      <c:pt idx="223">
                        <c:v>0.53197227943856518</c:v>
                      </c:pt>
                      <c:pt idx="224">
                        <c:v>0.53221129049064375</c:v>
                      </c:pt>
                      <c:pt idx="225">
                        <c:v>0.53551820189756449</c:v>
                      </c:pt>
                      <c:pt idx="226">
                        <c:v>0.5361244767609622</c:v>
                      </c:pt>
                      <c:pt idx="227">
                        <c:v>0.53773793953460913</c:v>
                      </c:pt>
                      <c:pt idx="228">
                        <c:v>0.5387998542303023</c:v>
                      </c:pt>
                      <c:pt idx="229">
                        <c:v>0.54214619592502511</c:v>
                      </c:pt>
                      <c:pt idx="230">
                        <c:v>0.54269626435947482</c:v>
                      </c:pt>
                      <c:pt idx="231">
                        <c:v>0.54272002610346326</c:v>
                      </c:pt>
                      <c:pt idx="232">
                        <c:v>0.54770980846356321</c:v>
                      </c:pt>
                      <c:pt idx="233">
                        <c:v>0.54874893073051778</c:v>
                      </c:pt>
                      <c:pt idx="234">
                        <c:v>0.54920027340294053</c:v>
                      </c:pt>
                      <c:pt idx="235">
                        <c:v>0.54980856134794465</c:v>
                      </c:pt>
                      <c:pt idx="236">
                        <c:v>0.54998523226296403</c:v>
                      </c:pt>
                      <c:pt idx="237">
                        <c:v>0.55263337282701197</c:v>
                      </c:pt>
                      <c:pt idx="238">
                        <c:v>0.5534497606555222</c:v>
                      </c:pt>
                      <c:pt idx="239">
                        <c:v>0.55437434656866869</c:v>
                      </c:pt>
                      <c:pt idx="240">
                        <c:v>0.55533045916927581</c:v>
                      </c:pt>
                      <c:pt idx="241">
                        <c:v>0.55729349293659958</c:v>
                      </c:pt>
                      <c:pt idx="242">
                        <c:v>0.55890017487119781</c:v>
                      </c:pt>
                      <c:pt idx="243">
                        <c:v>0.56091777743029403</c:v>
                      </c:pt>
                      <c:pt idx="244">
                        <c:v>0.56440892573664214</c:v>
                      </c:pt>
                      <c:pt idx="245">
                        <c:v>0.56460069417045489</c:v>
                      </c:pt>
                      <c:pt idx="246">
                        <c:v>0.5654011870330542</c:v>
                      </c:pt>
                      <c:pt idx="247">
                        <c:v>0.56565155628071906</c:v>
                      </c:pt>
                      <c:pt idx="248">
                        <c:v>0.56588876294550527</c:v>
                      </c:pt>
                      <c:pt idx="249">
                        <c:v>0.56651000071968827</c:v>
                      </c:pt>
                      <c:pt idx="250">
                        <c:v>0.56681105096292006</c:v>
                      </c:pt>
                      <c:pt idx="251">
                        <c:v>0.56686830229453911</c:v>
                      </c:pt>
                      <c:pt idx="252">
                        <c:v>0.56735748876537728</c:v>
                      </c:pt>
                      <c:pt idx="253">
                        <c:v>0.56857464069595265</c:v>
                      </c:pt>
                      <c:pt idx="254">
                        <c:v>0.56983099095584289</c:v>
                      </c:pt>
                      <c:pt idx="255">
                        <c:v>0.5699243096725165</c:v>
                      </c:pt>
                      <c:pt idx="256">
                        <c:v>0.57070472720566534</c:v>
                      </c:pt>
                      <c:pt idx="257">
                        <c:v>0.5709109419052647</c:v>
                      </c:pt>
                      <c:pt idx="258">
                        <c:v>0.57118649428407475</c:v>
                      </c:pt>
                      <c:pt idx="259">
                        <c:v>0.57148159886268945</c:v>
                      </c:pt>
                      <c:pt idx="260">
                        <c:v>0.57539126908386096</c:v>
                      </c:pt>
                      <c:pt idx="261">
                        <c:v>0.57557326863139679</c:v>
                      </c:pt>
                      <c:pt idx="262">
                        <c:v>0.57578707372954552</c:v>
                      </c:pt>
                      <c:pt idx="263">
                        <c:v>0.57722284543484681</c:v>
                      </c:pt>
                      <c:pt idx="264">
                        <c:v>0.57752998649144527</c:v>
                      </c:pt>
                      <c:pt idx="265">
                        <c:v>0.57822887624035246</c:v>
                      </c:pt>
                      <c:pt idx="266">
                        <c:v>0.57826530485146421</c:v>
                      </c:pt>
                      <c:pt idx="267">
                        <c:v>0.5785671834151348</c:v>
                      </c:pt>
                      <c:pt idx="268">
                        <c:v>0.57859419922360622</c:v>
                      </c:pt>
                      <c:pt idx="269">
                        <c:v>0.5790110740148029</c:v>
                      </c:pt>
                      <c:pt idx="270">
                        <c:v>0.58151123545508776</c:v>
                      </c:pt>
                      <c:pt idx="271">
                        <c:v>0.58298777258336365</c:v>
                      </c:pt>
                      <c:pt idx="272">
                        <c:v>0.58393426457689601</c:v>
                      </c:pt>
                      <c:pt idx="273">
                        <c:v>0.58547829360823656</c:v>
                      </c:pt>
                      <c:pt idx="274">
                        <c:v>0.58592090810495168</c:v>
                      </c:pt>
                      <c:pt idx="275">
                        <c:v>0.58695410692145378</c:v>
                      </c:pt>
                      <c:pt idx="276">
                        <c:v>0.5875212666286016</c:v>
                      </c:pt>
                      <c:pt idx="277">
                        <c:v>0.58816038841806006</c:v>
                      </c:pt>
                      <c:pt idx="278">
                        <c:v>0.5901873693679589</c:v>
                      </c:pt>
                      <c:pt idx="279">
                        <c:v>0.59111650666914239</c:v>
                      </c:pt>
                      <c:pt idx="280">
                        <c:v>0.59190484564216861</c:v>
                      </c:pt>
                      <c:pt idx="281">
                        <c:v>0.59241881655542961</c:v>
                      </c:pt>
                      <c:pt idx="282">
                        <c:v>0.59315013056388388</c:v>
                      </c:pt>
                      <c:pt idx="283">
                        <c:v>0.5938181838879838</c:v>
                      </c:pt>
                      <c:pt idx="284">
                        <c:v>0.59385752561713834</c:v>
                      </c:pt>
                      <c:pt idx="285">
                        <c:v>0.5946674718824464</c:v>
                      </c:pt>
                      <c:pt idx="286">
                        <c:v>0.5948507309840082</c:v>
                      </c:pt>
                      <c:pt idx="287">
                        <c:v>0.59657454573130353</c:v>
                      </c:pt>
                      <c:pt idx="288">
                        <c:v>0.59750779023844669</c:v>
                      </c:pt>
                      <c:pt idx="289">
                        <c:v>0.59861002323556978</c:v>
                      </c:pt>
                      <c:pt idx="290">
                        <c:v>0.60238943026332137</c:v>
                      </c:pt>
                      <c:pt idx="291">
                        <c:v>0.60389687002269454</c:v>
                      </c:pt>
                      <c:pt idx="292">
                        <c:v>0.60413992472618516</c:v>
                      </c:pt>
                      <c:pt idx="293">
                        <c:v>0.6057552094432952</c:v>
                      </c:pt>
                      <c:pt idx="294">
                        <c:v>0.60645086022646222</c:v>
                      </c:pt>
                      <c:pt idx="295">
                        <c:v>0.60818831182949373</c:v>
                      </c:pt>
                      <c:pt idx="296">
                        <c:v>0.6086524851899322</c:v>
                      </c:pt>
                      <c:pt idx="297">
                        <c:v>0.60901137044539122</c:v>
                      </c:pt>
                      <c:pt idx="298">
                        <c:v>0.61000908632260076</c:v>
                      </c:pt>
                      <c:pt idx="299">
                        <c:v>0.61043022918196388</c:v>
                      </c:pt>
                      <c:pt idx="300">
                        <c:v>0.61201492580331085</c:v>
                      </c:pt>
                      <c:pt idx="301">
                        <c:v>0.61427962065772657</c:v>
                      </c:pt>
                      <c:pt idx="302">
                        <c:v>0.61928744449340278</c:v>
                      </c:pt>
                      <c:pt idx="303">
                        <c:v>0.62130690844407532</c:v>
                      </c:pt>
                      <c:pt idx="304">
                        <c:v>0.62386182785412991</c:v>
                      </c:pt>
                      <c:pt idx="305">
                        <c:v>0.62498825967120331</c:v>
                      </c:pt>
                      <c:pt idx="306">
                        <c:v>0.62556613097281866</c:v>
                      </c:pt>
                      <c:pt idx="307">
                        <c:v>0.62730371202870383</c:v>
                      </c:pt>
                      <c:pt idx="308">
                        <c:v>0.6279786669406221</c:v>
                      </c:pt>
                      <c:pt idx="309">
                        <c:v>0.62931650249372106</c:v>
                      </c:pt>
                      <c:pt idx="310">
                        <c:v>0.62974449196317439</c:v>
                      </c:pt>
                      <c:pt idx="311">
                        <c:v>0.63538320174719243</c:v>
                      </c:pt>
                      <c:pt idx="312">
                        <c:v>0.6354552169408042</c:v>
                      </c:pt>
                      <c:pt idx="313">
                        <c:v>0.63643855164080287</c:v>
                      </c:pt>
                      <c:pt idx="314">
                        <c:v>0.64072113853770518</c:v>
                      </c:pt>
                      <c:pt idx="315">
                        <c:v>0.6437194329513245</c:v>
                      </c:pt>
                      <c:pt idx="316">
                        <c:v>0.64431950977781516</c:v>
                      </c:pt>
                      <c:pt idx="317">
                        <c:v>0.64449431305103921</c:v>
                      </c:pt>
                      <c:pt idx="318">
                        <c:v>0.64474018401396416</c:v>
                      </c:pt>
                      <c:pt idx="319">
                        <c:v>0.64491777383282556</c:v>
                      </c:pt>
                      <c:pt idx="320">
                        <c:v>0.64662695516119206</c:v>
                      </c:pt>
                      <c:pt idx="321">
                        <c:v>0.65037858052571373</c:v>
                      </c:pt>
                      <c:pt idx="322">
                        <c:v>0.65286052620593316</c:v>
                      </c:pt>
                      <c:pt idx="323">
                        <c:v>0.66620439810554244</c:v>
                      </c:pt>
                      <c:pt idx="324">
                        <c:v>0.66712842166949626</c:v>
                      </c:pt>
                      <c:pt idx="325">
                        <c:v>0.66799287855400014</c:v>
                      </c:pt>
                      <c:pt idx="326">
                        <c:v>0.67163127113696031</c:v>
                      </c:pt>
                      <c:pt idx="327">
                        <c:v>0.67458965160451245</c:v>
                      </c:pt>
                      <c:pt idx="328">
                        <c:v>0.67599888323915613</c:v>
                      </c:pt>
                      <c:pt idx="329">
                        <c:v>0.67789837466817304</c:v>
                      </c:pt>
                      <c:pt idx="330">
                        <c:v>0.68102888680356055</c:v>
                      </c:pt>
                      <c:pt idx="331">
                        <c:v>0.68356864211406188</c:v>
                      </c:pt>
                      <c:pt idx="332">
                        <c:v>0.6836950485708233</c:v>
                      </c:pt>
                      <c:pt idx="333">
                        <c:v>0.68407310429810353</c:v>
                      </c:pt>
                      <c:pt idx="334">
                        <c:v>0.70108564698082754</c:v>
                      </c:pt>
                      <c:pt idx="335">
                        <c:v>0.70183846616380285</c:v>
                      </c:pt>
                      <c:pt idx="336">
                        <c:v>0.70304426562088351</c:v>
                      </c:pt>
                      <c:pt idx="337">
                        <c:v>0.70929222958577653</c:v>
                      </c:pt>
                      <c:pt idx="338">
                        <c:v>0.71324748702798546</c:v>
                      </c:pt>
                      <c:pt idx="339">
                        <c:v>0.71938869954370976</c:v>
                      </c:pt>
                      <c:pt idx="340">
                        <c:v>0.74055560268233867</c:v>
                      </c:pt>
                      <c:pt idx="341">
                        <c:v>0.76160421282651725</c:v>
                      </c:pt>
                      <c:pt idx="342">
                        <c:v>0.77762332234261078</c:v>
                      </c:pt>
                      <c:pt idx="343">
                        <c:v>0.80183039264664679</c:v>
                      </c:pt>
                      <c:pt idx="344">
                        <c:v>0.9667320526244163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F01-4113-99D5-48680977FE23}"/>
                  </c:ext>
                </c:extLst>
              </c15:ser>
            </c15:filteredLineSeries>
          </c:ext>
        </c:extLst>
      </c:lineChart>
      <c:catAx>
        <c:axId val="54254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42542904"/>
        <c:crosses val="autoZero"/>
        <c:auto val="1"/>
        <c:lblAlgn val="ctr"/>
        <c:lblOffset val="100"/>
        <c:noMultiLvlLbl val="0"/>
      </c:catAx>
      <c:valAx>
        <c:axId val="542542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254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006310109131847E-2"/>
          <c:y val="0.92027743004019458"/>
          <c:w val="0.97222440090397477"/>
          <c:h val="7.560495984839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44</xdr:row>
      <xdr:rowOff>0</xdr:rowOff>
    </xdr:from>
    <xdr:to>
      <xdr:col>23</xdr:col>
      <xdr:colOff>154781</xdr:colOff>
      <xdr:row>72</xdr:row>
      <xdr:rowOff>83343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DBA1FF-A2E4-45AC-B3EF-53463E637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C3D5-7B34-465C-AD03-0491C19349E6}">
  <dimension ref="B1:AH349"/>
  <sheetViews>
    <sheetView showGridLines="0" tabSelected="1" zoomScaleNormal="100" workbookViewId="0">
      <selection activeCell="I1" sqref="I1"/>
    </sheetView>
  </sheetViews>
  <sheetFormatPr baseColWidth="10" defaultRowHeight="13.5" x14ac:dyDescent="0.25"/>
  <cols>
    <col min="1" max="2" width="4" style="1" customWidth="1"/>
    <col min="3" max="3" width="12.85546875" style="1" customWidth="1"/>
    <col min="4" max="4" width="8.7109375" style="1" customWidth="1"/>
    <col min="5" max="5" width="11.42578125" style="1" customWidth="1"/>
    <col min="6" max="6" width="8" style="1" customWidth="1"/>
    <col min="7" max="7" width="6.42578125" style="1" customWidth="1"/>
    <col min="8" max="8" width="9.140625" style="1" customWidth="1"/>
    <col min="9" max="9" width="8.5703125" style="1" customWidth="1"/>
    <col min="10" max="16" width="8.7109375" style="2" customWidth="1"/>
    <col min="17" max="21" width="9" style="1" customWidth="1"/>
    <col min="22" max="22" width="9.42578125" style="1" customWidth="1"/>
    <col min="23" max="23" width="8.7109375" style="2" customWidth="1"/>
    <col min="24" max="29" width="8.7109375" style="1" customWidth="1"/>
    <col min="30" max="34" width="9" style="1" customWidth="1"/>
    <col min="35" max="16384" width="11.42578125" style="1"/>
  </cols>
  <sheetData>
    <row r="1" spans="2:34" x14ac:dyDescent="0.25">
      <c r="I1" s="54"/>
    </row>
    <row r="2" spans="2:34" s="50" customFormat="1" x14ac:dyDescent="0.25">
      <c r="B2" s="42" t="s">
        <v>719</v>
      </c>
      <c r="C2" s="42"/>
      <c r="D2" s="42"/>
      <c r="E2" s="42"/>
      <c r="F2" s="42"/>
      <c r="G2" s="42"/>
      <c r="H2" s="42"/>
      <c r="I2" s="44" t="s">
        <v>791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6" t="s">
        <v>795</v>
      </c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</row>
    <row r="3" spans="2:34" s="50" customFormat="1" ht="15.75" customHeight="1" x14ac:dyDescent="0.25">
      <c r="B3" s="47" t="s">
        <v>701</v>
      </c>
      <c r="C3" s="42" t="s">
        <v>719</v>
      </c>
      <c r="D3" s="42"/>
      <c r="E3" s="42"/>
      <c r="F3" s="42"/>
      <c r="G3" s="42"/>
      <c r="H3" s="47" t="s">
        <v>767</v>
      </c>
      <c r="I3" s="48" t="s">
        <v>787</v>
      </c>
      <c r="J3" s="43" t="s">
        <v>773</v>
      </c>
      <c r="K3" s="43"/>
      <c r="L3" s="43"/>
      <c r="M3" s="43"/>
      <c r="N3" s="43"/>
      <c r="O3" s="43"/>
      <c r="P3" s="43"/>
      <c r="Q3" s="44" t="s">
        <v>788</v>
      </c>
      <c r="R3" s="44"/>
      <c r="S3" s="44"/>
      <c r="T3" s="44"/>
      <c r="U3" s="44"/>
      <c r="V3" s="49" t="s">
        <v>796</v>
      </c>
      <c r="W3" s="45" t="s">
        <v>774</v>
      </c>
      <c r="X3" s="45"/>
      <c r="Y3" s="45"/>
      <c r="Z3" s="45"/>
      <c r="AA3" s="45"/>
      <c r="AB3" s="45"/>
      <c r="AC3" s="45"/>
      <c r="AD3" s="46" t="s">
        <v>797</v>
      </c>
      <c r="AE3" s="46"/>
      <c r="AF3" s="46"/>
      <c r="AG3" s="46"/>
      <c r="AH3" s="46"/>
    </row>
    <row r="4" spans="2:34" s="53" customFormat="1" ht="15" customHeight="1" x14ac:dyDescent="0.25">
      <c r="B4" s="47" t="s">
        <v>701</v>
      </c>
      <c r="C4" s="47" t="s">
        <v>0</v>
      </c>
      <c r="D4" s="47" t="s">
        <v>741</v>
      </c>
      <c r="E4" s="47" t="s">
        <v>2</v>
      </c>
      <c r="F4" s="47" t="s">
        <v>742</v>
      </c>
      <c r="G4" s="47" t="s">
        <v>743</v>
      </c>
      <c r="H4" s="47" t="s">
        <v>728</v>
      </c>
      <c r="I4" s="48" t="s">
        <v>770</v>
      </c>
      <c r="J4" s="51" t="s">
        <v>745</v>
      </c>
      <c r="K4" s="51" t="s">
        <v>759</v>
      </c>
      <c r="L4" s="51" t="s">
        <v>760</v>
      </c>
      <c r="M4" s="51" t="s">
        <v>761</v>
      </c>
      <c r="N4" s="51" t="s">
        <v>762</v>
      </c>
      <c r="O4" s="51" t="s">
        <v>763</v>
      </c>
      <c r="P4" s="51" t="s">
        <v>764</v>
      </c>
      <c r="Q4" s="51" t="s">
        <v>789</v>
      </c>
      <c r="R4" s="51" t="s">
        <v>790</v>
      </c>
      <c r="S4" s="51" t="s">
        <v>792</v>
      </c>
      <c r="T4" s="51" t="s">
        <v>793</v>
      </c>
      <c r="U4" s="51" t="s">
        <v>794</v>
      </c>
      <c r="V4" s="49" t="s">
        <v>772</v>
      </c>
      <c r="W4" s="52" t="s">
        <v>775</v>
      </c>
      <c r="X4" s="52" t="s">
        <v>778</v>
      </c>
      <c r="Y4" s="52" t="s">
        <v>779</v>
      </c>
      <c r="Z4" s="52" t="s">
        <v>780</v>
      </c>
      <c r="AA4" s="52" t="s">
        <v>781</v>
      </c>
      <c r="AB4" s="52" t="s">
        <v>782</v>
      </c>
      <c r="AC4" s="52" t="s">
        <v>783</v>
      </c>
      <c r="AD4" s="52" t="s">
        <v>798</v>
      </c>
      <c r="AE4" s="52" t="s">
        <v>799</v>
      </c>
      <c r="AF4" s="52" t="s">
        <v>800</v>
      </c>
      <c r="AG4" s="52" t="s">
        <v>801</v>
      </c>
      <c r="AH4" s="52" t="s">
        <v>802</v>
      </c>
    </row>
    <row r="5" spans="2:34" x14ac:dyDescent="0.25">
      <c r="B5" s="17">
        <v>1</v>
      </c>
      <c r="C5" s="17" t="s">
        <v>3</v>
      </c>
      <c r="D5" s="17" t="s">
        <v>4</v>
      </c>
      <c r="E5" s="17" t="s">
        <v>703</v>
      </c>
      <c r="F5" s="17">
        <v>15101</v>
      </c>
      <c r="G5" s="17">
        <v>15</v>
      </c>
      <c r="H5" s="17">
        <v>0.57199999999999995</v>
      </c>
      <c r="I5" s="18">
        <v>241653</v>
      </c>
      <c r="J5" s="18">
        <v>55745</v>
      </c>
      <c r="K5" s="18">
        <v>0</v>
      </c>
      <c r="L5" s="18">
        <v>27094</v>
      </c>
      <c r="M5" s="18">
        <v>27744</v>
      </c>
      <c r="N5" s="18">
        <v>0</v>
      </c>
      <c r="O5" s="18">
        <v>907</v>
      </c>
      <c r="P5" s="18">
        <v>0</v>
      </c>
      <c r="Q5" s="25">
        <v>0.23068201098269006</v>
      </c>
      <c r="R5" s="17">
        <v>0.23100000000000001</v>
      </c>
      <c r="S5" s="25">
        <v>0.56983099095584289</v>
      </c>
      <c r="T5" s="25">
        <v>0.56999999999999995</v>
      </c>
      <c r="U5" s="26">
        <v>91</v>
      </c>
      <c r="V5" s="18">
        <v>255195</v>
      </c>
      <c r="W5" s="18">
        <v>55036</v>
      </c>
      <c r="X5" s="18">
        <v>53</v>
      </c>
      <c r="Y5" s="18">
        <v>26271</v>
      </c>
      <c r="Z5" s="18">
        <v>27754</v>
      </c>
      <c r="AA5" s="18">
        <v>1</v>
      </c>
      <c r="AB5" s="18">
        <v>957</v>
      </c>
      <c r="AC5" s="18">
        <v>0</v>
      </c>
      <c r="AD5" s="25">
        <v>0.21566253257313034</v>
      </c>
      <c r="AE5" s="25">
        <v>0.216</v>
      </c>
      <c r="AF5" s="25">
        <v>0.58696050151825174</v>
      </c>
      <c r="AG5" s="25">
        <v>0.58699999999999997</v>
      </c>
      <c r="AH5" s="26">
        <v>70</v>
      </c>
    </row>
    <row r="6" spans="2:34" x14ac:dyDescent="0.25">
      <c r="B6" s="3">
        <v>2</v>
      </c>
      <c r="C6" s="3" t="s">
        <v>5</v>
      </c>
      <c r="D6" s="3" t="s">
        <v>6</v>
      </c>
      <c r="E6" s="3" t="s">
        <v>703</v>
      </c>
      <c r="F6" s="3">
        <v>15102</v>
      </c>
      <c r="G6" s="3">
        <v>15</v>
      </c>
      <c r="H6" s="3"/>
      <c r="I6" s="4">
        <v>861</v>
      </c>
      <c r="J6" s="4">
        <v>33</v>
      </c>
      <c r="K6" s="18">
        <v>0</v>
      </c>
      <c r="L6" s="18">
        <v>0</v>
      </c>
      <c r="M6" s="18">
        <v>0</v>
      </c>
      <c r="N6" s="18">
        <v>0</v>
      </c>
      <c r="O6" s="18">
        <v>33</v>
      </c>
      <c r="P6" s="18">
        <v>0</v>
      </c>
      <c r="Q6" s="6">
        <v>3.8327526132404179E-2</v>
      </c>
      <c r="R6" s="3">
        <v>3.7999999999999999E-2</v>
      </c>
      <c r="S6" s="6">
        <v>0.37157246087041051</v>
      </c>
      <c r="T6" s="25">
        <v>0.372</v>
      </c>
      <c r="U6" s="7">
        <v>314</v>
      </c>
      <c r="V6" s="4">
        <v>1244</v>
      </c>
      <c r="W6" s="4">
        <v>30</v>
      </c>
      <c r="X6" s="18">
        <v>0</v>
      </c>
      <c r="Y6" s="18">
        <v>0</v>
      </c>
      <c r="Z6" s="18">
        <v>0</v>
      </c>
      <c r="AA6" s="18">
        <v>0</v>
      </c>
      <c r="AB6" s="18">
        <v>30</v>
      </c>
      <c r="AC6" s="18">
        <v>0</v>
      </c>
      <c r="AD6" s="6">
        <v>2.4115755627009645E-2</v>
      </c>
      <c r="AE6" s="6">
        <v>2.4E-2</v>
      </c>
      <c r="AF6" s="6">
        <v>0.36422145012788665</v>
      </c>
      <c r="AG6" s="6">
        <v>0.36499999999999999</v>
      </c>
      <c r="AH6" s="7">
        <v>324</v>
      </c>
    </row>
    <row r="7" spans="2:34" x14ac:dyDescent="0.25">
      <c r="B7" s="3">
        <v>3</v>
      </c>
      <c r="C7" s="3" t="s">
        <v>7</v>
      </c>
      <c r="D7" s="3" t="s">
        <v>8</v>
      </c>
      <c r="E7" s="3" t="s">
        <v>703</v>
      </c>
      <c r="F7" s="3">
        <v>15202</v>
      </c>
      <c r="G7" s="3">
        <v>15</v>
      </c>
      <c r="H7" s="3"/>
      <c r="I7" s="4">
        <v>508</v>
      </c>
      <c r="J7" s="4">
        <v>22</v>
      </c>
      <c r="K7" s="18">
        <v>0</v>
      </c>
      <c r="L7" s="18">
        <v>1</v>
      </c>
      <c r="M7" s="18">
        <v>0</v>
      </c>
      <c r="N7" s="18">
        <v>0</v>
      </c>
      <c r="O7" s="18">
        <v>21</v>
      </c>
      <c r="P7" s="18">
        <v>0</v>
      </c>
      <c r="Q7" s="6">
        <v>4.3307086614173228E-2</v>
      </c>
      <c r="R7" s="3">
        <v>4.2999999999999997E-2</v>
      </c>
      <c r="S7" s="6">
        <v>0.37670486182459384</v>
      </c>
      <c r="T7" s="25">
        <v>0.377</v>
      </c>
      <c r="U7" s="26">
        <v>311</v>
      </c>
      <c r="V7" s="4">
        <v>804</v>
      </c>
      <c r="W7" s="4">
        <v>26</v>
      </c>
      <c r="X7" s="18">
        <v>0</v>
      </c>
      <c r="Y7" s="18">
        <v>0</v>
      </c>
      <c r="Z7" s="18">
        <v>0</v>
      </c>
      <c r="AA7" s="18">
        <v>0</v>
      </c>
      <c r="AB7" s="18">
        <v>26</v>
      </c>
      <c r="AC7" s="18">
        <v>0</v>
      </c>
      <c r="AD7" s="6">
        <v>3.2338308457711441E-2</v>
      </c>
      <c r="AE7" s="6">
        <v>3.2000000000000001E-2</v>
      </c>
      <c r="AF7" s="6">
        <v>0.37350224393581855</v>
      </c>
      <c r="AG7" s="6">
        <v>0.374</v>
      </c>
      <c r="AH7" s="7">
        <v>317</v>
      </c>
    </row>
    <row r="8" spans="2:34" x14ac:dyDescent="0.25">
      <c r="B8" s="3">
        <v>4</v>
      </c>
      <c r="C8" s="3" t="s">
        <v>9</v>
      </c>
      <c r="D8" s="3" t="s">
        <v>10</v>
      </c>
      <c r="E8" s="3" t="s">
        <v>703</v>
      </c>
      <c r="F8" s="3">
        <v>15201</v>
      </c>
      <c r="G8" s="3">
        <v>15</v>
      </c>
      <c r="H8" s="3"/>
      <c r="I8" s="4">
        <v>1547</v>
      </c>
      <c r="J8" s="4">
        <v>47</v>
      </c>
      <c r="K8" s="18">
        <v>0</v>
      </c>
      <c r="L8" s="18">
        <v>0</v>
      </c>
      <c r="M8" s="18">
        <v>0</v>
      </c>
      <c r="N8" s="18">
        <v>0</v>
      </c>
      <c r="O8" s="18">
        <v>47</v>
      </c>
      <c r="P8" s="18">
        <v>0</v>
      </c>
      <c r="Q8" s="6">
        <v>3.0381383322559793E-2</v>
      </c>
      <c r="R8" s="3">
        <v>0.03</v>
      </c>
      <c r="S8" s="6">
        <v>0.36338242259521858</v>
      </c>
      <c r="T8" s="25">
        <v>0.36299999999999999</v>
      </c>
      <c r="U8" s="7">
        <v>325</v>
      </c>
      <c r="V8" s="4">
        <v>2559</v>
      </c>
      <c r="W8" s="4">
        <v>38</v>
      </c>
      <c r="X8" s="18">
        <v>12</v>
      </c>
      <c r="Y8" s="18">
        <v>0</v>
      </c>
      <c r="Z8" s="18">
        <v>0</v>
      </c>
      <c r="AA8" s="18">
        <v>0</v>
      </c>
      <c r="AB8" s="18">
        <v>26</v>
      </c>
      <c r="AC8" s="18">
        <v>0</v>
      </c>
      <c r="AD8" s="6">
        <v>1.4849550605705353E-2</v>
      </c>
      <c r="AE8" s="6">
        <v>1.4999999999999999E-2</v>
      </c>
      <c r="AF8" s="6">
        <v>0.35378055709396328</v>
      </c>
      <c r="AG8" s="6">
        <v>0.35399999999999998</v>
      </c>
      <c r="AH8" s="7">
        <v>338</v>
      </c>
    </row>
    <row r="9" spans="2:34" x14ac:dyDescent="0.25">
      <c r="B9" s="3">
        <v>5</v>
      </c>
      <c r="C9" s="3" t="s">
        <v>11</v>
      </c>
      <c r="D9" s="3" t="s">
        <v>12</v>
      </c>
      <c r="E9" s="3" t="s">
        <v>13</v>
      </c>
      <c r="F9" s="3">
        <v>1107</v>
      </c>
      <c r="G9" s="3">
        <v>1</v>
      </c>
      <c r="H9" s="3">
        <v>0.57599999999999996</v>
      </c>
      <c r="I9" s="4">
        <v>142086</v>
      </c>
      <c r="J9" s="4">
        <v>22796</v>
      </c>
      <c r="K9" s="18">
        <v>1</v>
      </c>
      <c r="L9" s="18">
        <v>14962</v>
      </c>
      <c r="M9" s="18">
        <v>7315</v>
      </c>
      <c r="N9" s="18">
        <v>0</v>
      </c>
      <c r="O9" s="18">
        <v>518</v>
      </c>
      <c r="P9" s="18">
        <v>0</v>
      </c>
      <c r="Q9" s="6">
        <v>0.16043804456455948</v>
      </c>
      <c r="R9" s="3">
        <v>0.16</v>
      </c>
      <c r="S9" s="6">
        <v>0.49743098666029273</v>
      </c>
      <c r="T9" s="25">
        <v>0.497</v>
      </c>
      <c r="U9" s="26">
        <v>166</v>
      </c>
      <c r="V9" s="4">
        <v>140282</v>
      </c>
      <c r="W9" s="4">
        <v>21139</v>
      </c>
      <c r="X9" s="18">
        <v>8</v>
      </c>
      <c r="Y9" s="18">
        <v>12896</v>
      </c>
      <c r="Z9" s="18">
        <v>7698</v>
      </c>
      <c r="AA9" s="18">
        <v>0</v>
      </c>
      <c r="AB9" s="18">
        <v>537</v>
      </c>
      <c r="AC9" s="18">
        <v>0</v>
      </c>
      <c r="AD9" s="6">
        <v>0.1506893257866298</v>
      </c>
      <c r="AE9" s="6">
        <v>0.151</v>
      </c>
      <c r="AF9" s="6">
        <v>0.5115540518288052</v>
      </c>
      <c r="AG9" s="6">
        <v>0.51100000000000001</v>
      </c>
      <c r="AH9" s="7">
        <v>149</v>
      </c>
    </row>
    <row r="10" spans="2:34" x14ac:dyDescent="0.25">
      <c r="B10" s="3">
        <v>6</v>
      </c>
      <c r="C10" s="3" t="s">
        <v>14</v>
      </c>
      <c r="D10" s="3" t="s">
        <v>15</v>
      </c>
      <c r="E10" s="3" t="s">
        <v>13</v>
      </c>
      <c r="F10" s="3">
        <v>1402</v>
      </c>
      <c r="G10" s="3">
        <v>1</v>
      </c>
      <c r="H10" s="3"/>
      <c r="I10" s="4">
        <v>1335</v>
      </c>
      <c r="J10" s="4">
        <v>20</v>
      </c>
      <c r="K10" s="18">
        <v>0</v>
      </c>
      <c r="L10" s="18">
        <v>0</v>
      </c>
      <c r="M10" s="18">
        <v>0</v>
      </c>
      <c r="N10" s="18">
        <v>0</v>
      </c>
      <c r="O10" s="18">
        <v>20</v>
      </c>
      <c r="P10" s="18">
        <v>0</v>
      </c>
      <c r="Q10" s="6">
        <v>1.4981273408239701E-2</v>
      </c>
      <c r="R10" s="3">
        <v>1.4999999999999999E-2</v>
      </c>
      <c r="S10" s="6">
        <v>0.34750962837810651</v>
      </c>
      <c r="T10" s="25">
        <v>0.34799999999999998</v>
      </c>
      <c r="U10" s="7">
        <v>340</v>
      </c>
      <c r="V10" s="4">
        <v>1379</v>
      </c>
      <c r="W10" s="4">
        <v>35</v>
      </c>
      <c r="X10" s="18">
        <v>0</v>
      </c>
      <c r="Y10" s="18">
        <v>0</v>
      </c>
      <c r="Z10" s="18">
        <v>0</v>
      </c>
      <c r="AA10" s="18">
        <v>0</v>
      </c>
      <c r="AB10" s="18">
        <v>35</v>
      </c>
      <c r="AC10" s="18">
        <v>0</v>
      </c>
      <c r="AD10" s="6">
        <v>2.5380710659898477E-2</v>
      </c>
      <c r="AE10" s="6">
        <v>2.5000000000000001E-2</v>
      </c>
      <c r="AF10" s="6">
        <v>0.36538154935387812</v>
      </c>
      <c r="AG10" s="6">
        <v>0.36599999999999999</v>
      </c>
      <c r="AH10" s="7">
        <v>321</v>
      </c>
    </row>
    <row r="11" spans="2:34" x14ac:dyDescent="0.25">
      <c r="B11" s="3">
        <v>7</v>
      </c>
      <c r="C11" s="3" t="s">
        <v>16</v>
      </c>
      <c r="D11" s="3" t="s">
        <v>17</v>
      </c>
      <c r="E11" s="3" t="s">
        <v>13</v>
      </c>
      <c r="F11" s="3">
        <v>1403</v>
      </c>
      <c r="G11" s="3">
        <v>1</v>
      </c>
      <c r="H11" s="3"/>
      <c r="I11" s="4">
        <v>790</v>
      </c>
      <c r="J11" s="4">
        <v>61</v>
      </c>
      <c r="K11" s="18">
        <v>0</v>
      </c>
      <c r="L11" s="18">
        <v>0</v>
      </c>
      <c r="M11" s="18">
        <v>0</v>
      </c>
      <c r="N11" s="18">
        <v>0</v>
      </c>
      <c r="O11" s="18">
        <v>61</v>
      </c>
      <c r="P11" s="18">
        <v>0</v>
      </c>
      <c r="Q11" s="6">
        <v>7.7215189873417717E-2</v>
      </c>
      <c r="R11" s="3">
        <v>7.6999999999999999E-2</v>
      </c>
      <c r="S11" s="6">
        <v>0.41165372571718883</v>
      </c>
      <c r="T11" s="25">
        <v>0.41199999999999998</v>
      </c>
      <c r="U11" s="26">
        <v>267</v>
      </c>
      <c r="V11" s="4">
        <v>1569</v>
      </c>
      <c r="W11" s="4">
        <v>40</v>
      </c>
      <c r="X11" s="18">
        <v>0</v>
      </c>
      <c r="Y11" s="18">
        <v>0</v>
      </c>
      <c r="Z11" s="18">
        <v>0</v>
      </c>
      <c r="AA11" s="18">
        <v>0</v>
      </c>
      <c r="AB11" s="18">
        <v>40</v>
      </c>
      <c r="AC11" s="18">
        <v>0</v>
      </c>
      <c r="AD11" s="6">
        <v>2.5493945188017845E-2</v>
      </c>
      <c r="AE11" s="6">
        <v>2.5000000000000001E-2</v>
      </c>
      <c r="AF11" s="6">
        <v>0.36538154935387812</v>
      </c>
      <c r="AG11" s="6">
        <v>0.36599999999999999</v>
      </c>
      <c r="AH11" s="7">
        <v>322</v>
      </c>
    </row>
    <row r="12" spans="2:34" x14ac:dyDescent="0.25">
      <c r="B12" s="3">
        <v>8</v>
      </c>
      <c r="C12" s="3" t="s">
        <v>18</v>
      </c>
      <c r="D12" s="3" t="s">
        <v>19</v>
      </c>
      <c r="E12" s="3" t="s">
        <v>13</v>
      </c>
      <c r="F12" s="3">
        <v>1404</v>
      </c>
      <c r="G12" s="3">
        <v>1</v>
      </c>
      <c r="H12" s="3"/>
      <c r="I12" s="4">
        <v>2858</v>
      </c>
      <c r="J12" s="4">
        <v>77</v>
      </c>
      <c r="K12" s="18">
        <v>0</v>
      </c>
      <c r="L12" s="18">
        <v>0</v>
      </c>
      <c r="M12" s="18">
        <v>0</v>
      </c>
      <c r="N12" s="18">
        <v>0</v>
      </c>
      <c r="O12" s="18">
        <v>77</v>
      </c>
      <c r="P12" s="18">
        <v>0</v>
      </c>
      <c r="Q12" s="6">
        <v>2.6941917424772567E-2</v>
      </c>
      <c r="R12" s="3">
        <v>2.7E-2</v>
      </c>
      <c r="S12" s="6">
        <v>0.35983738722104985</v>
      </c>
      <c r="T12" s="25">
        <v>0.36</v>
      </c>
      <c r="U12" s="7">
        <v>331</v>
      </c>
      <c r="V12" s="4">
        <v>3080</v>
      </c>
      <c r="W12" s="4">
        <v>63</v>
      </c>
      <c r="X12" s="18">
        <v>0</v>
      </c>
      <c r="Y12" s="18">
        <v>0</v>
      </c>
      <c r="Z12" s="18">
        <v>0</v>
      </c>
      <c r="AA12" s="18">
        <v>0</v>
      </c>
      <c r="AB12" s="18">
        <v>63</v>
      </c>
      <c r="AC12" s="18">
        <v>0</v>
      </c>
      <c r="AD12" s="6">
        <v>2.0454545454545454E-2</v>
      </c>
      <c r="AE12" s="6">
        <v>0.02</v>
      </c>
      <c r="AF12" s="6">
        <v>0.3595810532239207</v>
      </c>
      <c r="AG12" s="6">
        <v>0.36</v>
      </c>
      <c r="AH12" s="7">
        <v>330</v>
      </c>
    </row>
    <row r="13" spans="2:34" x14ac:dyDescent="0.25">
      <c r="B13" s="3">
        <v>9</v>
      </c>
      <c r="C13" s="3" t="s">
        <v>20</v>
      </c>
      <c r="D13" s="3" t="s">
        <v>21</v>
      </c>
      <c r="E13" s="3" t="s">
        <v>13</v>
      </c>
      <c r="F13" s="3">
        <v>1101</v>
      </c>
      <c r="G13" s="3">
        <v>1</v>
      </c>
      <c r="H13" s="3">
        <v>0.56299999999999994</v>
      </c>
      <c r="I13" s="4">
        <v>199587</v>
      </c>
      <c r="J13" s="4">
        <v>51614</v>
      </c>
      <c r="K13" s="18">
        <v>4</v>
      </c>
      <c r="L13" s="18">
        <v>28952</v>
      </c>
      <c r="M13" s="18">
        <v>21742</v>
      </c>
      <c r="N13" s="18">
        <v>0</v>
      </c>
      <c r="O13" s="18">
        <v>916</v>
      </c>
      <c r="P13" s="18">
        <v>0</v>
      </c>
      <c r="Q13" s="6">
        <v>0.25860401729571564</v>
      </c>
      <c r="R13" s="3">
        <v>0.25900000000000001</v>
      </c>
      <c r="S13" s="6">
        <v>0.59861002323556978</v>
      </c>
      <c r="T13" s="25">
        <v>0.59899999999999998</v>
      </c>
      <c r="U13" s="26">
        <v>56</v>
      </c>
      <c r="V13" s="4">
        <v>230595</v>
      </c>
      <c r="W13" s="4">
        <v>50789</v>
      </c>
      <c r="X13" s="18">
        <v>165</v>
      </c>
      <c r="Y13" s="18">
        <v>26616</v>
      </c>
      <c r="Z13" s="18">
        <v>23071</v>
      </c>
      <c r="AA13" s="18">
        <v>1</v>
      </c>
      <c r="AB13" s="18">
        <v>936</v>
      </c>
      <c r="AC13" s="18">
        <v>0</v>
      </c>
      <c r="AD13" s="6">
        <v>0.22025195689412172</v>
      </c>
      <c r="AE13" s="6">
        <v>0.22</v>
      </c>
      <c r="AF13" s="6">
        <v>0.59160089842221775</v>
      </c>
      <c r="AG13" s="6">
        <v>0.59199999999999997</v>
      </c>
      <c r="AH13" s="7">
        <v>63</v>
      </c>
    </row>
    <row r="14" spans="2:34" x14ac:dyDescent="0.25">
      <c r="B14" s="3">
        <v>10</v>
      </c>
      <c r="C14" s="3" t="s">
        <v>22</v>
      </c>
      <c r="D14" s="3" t="s">
        <v>23</v>
      </c>
      <c r="E14" s="3" t="s">
        <v>13</v>
      </c>
      <c r="F14" s="3">
        <v>1405</v>
      </c>
      <c r="G14" s="3">
        <v>1</v>
      </c>
      <c r="H14" s="3">
        <v>0.442</v>
      </c>
      <c r="I14" s="4">
        <v>6272</v>
      </c>
      <c r="J14" s="4">
        <v>176</v>
      </c>
      <c r="K14" s="18">
        <v>23</v>
      </c>
      <c r="L14" s="18">
        <v>0</v>
      </c>
      <c r="M14" s="18">
        <v>0</v>
      </c>
      <c r="N14" s="18">
        <v>0</v>
      </c>
      <c r="O14" s="18">
        <v>153</v>
      </c>
      <c r="P14" s="18">
        <v>0</v>
      </c>
      <c r="Q14" s="6">
        <v>2.8061224489795918E-2</v>
      </c>
      <c r="R14" s="3">
        <v>2.8000000000000001E-2</v>
      </c>
      <c r="S14" s="6">
        <v>0.36099104981227298</v>
      </c>
      <c r="T14" s="25">
        <v>0.36099999999999999</v>
      </c>
      <c r="U14" s="7">
        <v>329</v>
      </c>
      <c r="V14" s="4">
        <v>6231</v>
      </c>
      <c r="W14" s="4">
        <v>144</v>
      </c>
      <c r="X14" s="18">
        <v>35</v>
      </c>
      <c r="Y14" s="18">
        <v>0</v>
      </c>
      <c r="Z14" s="18">
        <v>0</v>
      </c>
      <c r="AA14" s="18">
        <v>0</v>
      </c>
      <c r="AB14" s="18">
        <v>109</v>
      </c>
      <c r="AC14" s="18">
        <v>0</v>
      </c>
      <c r="AD14" s="6">
        <v>2.3110255175734232E-2</v>
      </c>
      <c r="AE14" s="6">
        <v>2.3E-2</v>
      </c>
      <c r="AF14" s="6">
        <v>0.36306135090189517</v>
      </c>
      <c r="AG14" s="6">
        <v>0.36299999999999999</v>
      </c>
      <c r="AH14" s="7">
        <v>327</v>
      </c>
    </row>
    <row r="15" spans="2:34" x14ac:dyDescent="0.25">
      <c r="B15" s="3">
        <v>11</v>
      </c>
      <c r="C15" s="3" t="s">
        <v>24</v>
      </c>
      <c r="D15" s="3" t="s">
        <v>25</v>
      </c>
      <c r="E15" s="3" t="s">
        <v>13</v>
      </c>
      <c r="F15" s="3">
        <v>1401</v>
      </c>
      <c r="G15" s="3">
        <v>1</v>
      </c>
      <c r="H15" s="3">
        <v>0.48199999999999998</v>
      </c>
      <c r="I15" s="4">
        <v>16878</v>
      </c>
      <c r="J15" s="4">
        <v>1798</v>
      </c>
      <c r="K15" s="18">
        <v>2</v>
      </c>
      <c r="L15" s="18">
        <v>1372</v>
      </c>
      <c r="M15" s="18">
        <v>0</v>
      </c>
      <c r="N15" s="18">
        <v>0</v>
      </c>
      <c r="O15" s="18">
        <v>424</v>
      </c>
      <c r="P15" s="18">
        <v>0</v>
      </c>
      <c r="Q15" s="6">
        <v>0.10652920962199312</v>
      </c>
      <c r="R15" s="3">
        <v>0.107</v>
      </c>
      <c r="S15" s="6">
        <v>0.44186749728987312</v>
      </c>
      <c r="T15" s="25">
        <v>0.442</v>
      </c>
      <c r="U15" s="26">
        <v>229</v>
      </c>
      <c r="V15" s="4">
        <v>18452</v>
      </c>
      <c r="W15" s="4">
        <v>1724</v>
      </c>
      <c r="X15" s="18">
        <v>17</v>
      </c>
      <c r="Y15" s="18">
        <v>1395</v>
      </c>
      <c r="Z15" s="18">
        <v>0</v>
      </c>
      <c r="AA15" s="18">
        <v>0</v>
      </c>
      <c r="AB15" s="18">
        <v>312</v>
      </c>
      <c r="AC15" s="18">
        <v>0</v>
      </c>
      <c r="AD15" s="6">
        <v>9.3431606329937134E-2</v>
      </c>
      <c r="AE15" s="6">
        <v>9.2999999999999999E-2</v>
      </c>
      <c r="AF15" s="6">
        <v>0.44426829672129908</v>
      </c>
      <c r="AG15" s="6">
        <v>0.44500000000000001</v>
      </c>
      <c r="AH15" s="7">
        <v>226</v>
      </c>
    </row>
    <row r="16" spans="2:34" x14ac:dyDescent="0.25">
      <c r="B16" s="3">
        <v>12</v>
      </c>
      <c r="C16" s="3" t="s">
        <v>26</v>
      </c>
      <c r="D16" s="3" t="s">
        <v>27</v>
      </c>
      <c r="E16" s="3" t="s">
        <v>26</v>
      </c>
      <c r="F16" s="3">
        <v>2101</v>
      </c>
      <c r="G16" s="3">
        <v>2</v>
      </c>
      <c r="H16" s="3">
        <v>0.56100000000000005</v>
      </c>
      <c r="I16" s="4">
        <v>401096</v>
      </c>
      <c r="J16" s="4">
        <v>108161</v>
      </c>
      <c r="K16" s="18">
        <v>10</v>
      </c>
      <c r="L16" s="18">
        <v>49804</v>
      </c>
      <c r="M16" s="18">
        <v>55765</v>
      </c>
      <c r="N16" s="18">
        <v>0</v>
      </c>
      <c r="O16" s="18">
        <v>2582</v>
      </c>
      <c r="P16" s="18">
        <v>0</v>
      </c>
      <c r="Q16" s="6">
        <v>0.26966362167660612</v>
      </c>
      <c r="R16" s="3">
        <v>0.27</v>
      </c>
      <c r="S16" s="6">
        <v>0.61000908632260076</v>
      </c>
      <c r="T16" s="25">
        <v>0.61</v>
      </c>
      <c r="U16" s="7">
        <v>47</v>
      </c>
      <c r="V16" s="4">
        <v>441211</v>
      </c>
      <c r="W16" s="4">
        <v>106410</v>
      </c>
      <c r="X16" s="18">
        <v>128</v>
      </c>
      <c r="Y16" s="18">
        <v>46742</v>
      </c>
      <c r="Z16" s="18">
        <v>57076</v>
      </c>
      <c r="AA16" s="18">
        <v>2</v>
      </c>
      <c r="AB16" s="18">
        <v>2462</v>
      </c>
      <c r="AC16" s="18">
        <v>0</v>
      </c>
      <c r="AD16" s="6">
        <v>0.24117712387043841</v>
      </c>
      <c r="AE16" s="6">
        <v>0.24099999999999999</v>
      </c>
      <c r="AF16" s="6">
        <v>0.61596298216803891</v>
      </c>
      <c r="AG16" s="6">
        <v>0.61599999999999999</v>
      </c>
      <c r="AH16" s="7">
        <v>48</v>
      </c>
    </row>
    <row r="17" spans="2:34" x14ac:dyDescent="0.25">
      <c r="B17" s="3">
        <v>13</v>
      </c>
      <c r="C17" s="3" t="s">
        <v>28</v>
      </c>
      <c r="D17" s="3" t="s">
        <v>29</v>
      </c>
      <c r="E17" s="3" t="s">
        <v>26</v>
      </c>
      <c r="F17" s="3">
        <v>2201</v>
      </c>
      <c r="G17" s="3">
        <v>2</v>
      </c>
      <c r="H17" s="3">
        <v>0.53700000000000003</v>
      </c>
      <c r="I17" s="4">
        <v>166334</v>
      </c>
      <c r="J17" s="4">
        <v>44280</v>
      </c>
      <c r="K17" s="18">
        <v>0</v>
      </c>
      <c r="L17" s="18">
        <v>20279</v>
      </c>
      <c r="M17" s="18">
        <v>22575</v>
      </c>
      <c r="N17" s="18">
        <v>0</v>
      </c>
      <c r="O17" s="18">
        <v>1426</v>
      </c>
      <c r="P17" s="18">
        <v>0</v>
      </c>
      <c r="Q17" s="6">
        <v>0.26621135787030914</v>
      </c>
      <c r="R17" s="3">
        <v>0.26600000000000001</v>
      </c>
      <c r="S17" s="6">
        <v>0.60645086022646222</v>
      </c>
      <c r="T17" s="25">
        <v>0.60599999999999998</v>
      </c>
      <c r="U17" s="26">
        <v>51</v>
      </c>
      <c r="V17" s="4">
        <v>195423</v>
      </c>
      <c r="W17" s="4">
        <v>43865</v>
      </c>
      <c r="X17" s="18">
        <v>79</v>
      </c>
      <c r="Y17" s="18">
        <v>18886</v>
      </c>
      <c r="Z17" s="18">
        <v>23646</v>
      </c>
      <c r="AA17" s="18">
        <v>2</v>
      </c>
      <c r="AB17" s="18">
        <v>1252</v>
      </c>
      <c r="AC17" s="18">
        <v>0</v>
      </c>
      <c r="AD17" s="6">
        <v>0.22446180848723027</v>
      </c>
      <c r="AE17" s="6">
        <v>0.224</v>
      </c>
      <c r="AF17" s="6">
        <v>0.59624129532618364</v>
      </c>
      <c r="AG17" s="6">
        <v>0.59699999999999998</v>
      </c>
      <c r="AH17" s="7">
        <v>61</v>
      </c>
    </row>
    <row r="18" spans="2:34" x14ac:dyDescent="0.25">
      <c r="B18" s="3">
        <v>14</v>
      </c>
      <c r="C18" s="3" t="s">
        <v>30</v>
      </c>
      <c r="D18" s="3" t="s">
        <v>31</v>
      </c>
      <c r="E18" s="3" t="s">
        <v>26</v>
      </c>
      <c r="F18" s="3">
        <v>2302</v>
      </c>
      <c r="G18" s="3">
        <v>2</v>
      </c>
      <c r="H18" s="3">
        <v>0.39400000000000002</v>
      </c>
      <c r="I18" s="4">
        <v>4834</v>
      </c>
      <c r="J18" s="4">
        <v>246</v>
      </c>
      <c r="K18" s="18">
        <v>85</v>
      </c>
      <c r="L18" s="18">
        <v>3</v>
      </c>
      <c r="M18" s="18">
        <v>0</v>
      </c>
      <c r="N18" s="18">
        <v>0</v>
      </c>
      <c r="O18" s="18">
        <v>158</v>
      </c>
      <c r="P18" s="18">
        <v>0</v>
      </c>
      <c r="Q18" s="6">
        <v>5.0889532478278855E-2</v>
      </c>
      <c r="R18" s="3">
        <v>5.0999999999999997E-2</v>
      </c>
      <c r="S18" s="6">
        <v>0.38452003999753837</v>
      </c>
      <c r="T18" s="25">
        <v>0.38500000000000001</v>
      </c>
      <c r="U18" s="7">
        <v>303</v>
      </c>
      <c r="V18" s="4">
        <v>6592</v>
      </c>
      <c r="W18" s="4">
        <v>223</v>
      </c>
      <c r="X18" s="18">
        <v>130</v>
      </c>
      <c r="Y18" s="18">
        <v>2</v>
      </c>
      <c r="Z18" s="18">
        <v>0</v>
      </c>
      <c r="AA18" s="18">
        <v>0</v>
      </c>
      <c r="AB18" s="18">
        <v>91</v>
      </c>
      <c r="AC18" s="18">
        <v>0</v>
      </c>
      <c r="AD18" s="6">
        <v>3.382888349514563E-2</v>
      </c>
      <c r="AE18" s="6">
        <v>3.4000000000000002E-2</v>
      </c>
      <c r="AF18" s="6">
        <v>0.37582244238780149</v>
      </c>
      <c r="AG18" s="6">
        <v>0.376</v>
      </c>
      <c r="AH18" s="7">
        <v>309</v>
      </c>
    </row>
    <row r="19" spans="2:34" x14ac:dyDescent="0.25">
      <c r="B19" s="3">
        <v>15</v>
      </c>
      <c r="C19" s="3" t="s">
        <v>32</v>
      </c>
      <c r="D19" s="3" t="s">
        <v>33</v>
      </c>
      <c r="E19" s="3" t="s">
        <v>26</v>
      </c>
      <c r="F19" s="3">
        <v>2102</v>
      </c>
      <c r="G19" s="3">
        <v>2</v>
      </c>
      <c r="H19" s="3">
        <v>0.51800000000000002</v>
      </c>
      <c r="I19" s="4">
        <v>14084</v>
      </c>
      <c r="J19" s="4">
        <v>2523</v>
      </c>
      <c r="K19" s="18">
        <v>0</v>
      </c>
      <c r="L19" s="18">
        <v>2323</v>
      </c>
      <c r="M19" s="18">
        <v>0</v>
      </c>
      <c r="N19" s="18">
        <v>0</v>
      </c>
      <c r="O19" s="18">
        <v>200</v>
      </c>
      <c r="P19" s="18">
        <v>0</v>
      </c>
      <c r="Q19" s="6">
        <v>0.17913944902016474</v>
      </c>
      <c r="R19" s="3">
        <v>0.17899999999999999</v>
      </c>
      <c r="S19" s="6">
        <v>0.51670640392330713</v>
      </c>
      <c r="T19" s="25">
        <v>0.51700000000000002</v>
      </c>
      <c r="U19" s="26">
        <v>135</v>
      </c>
      <c r="V19" s="4">
        <v>15659</v>
      </c>
      <c r="W19" s="4">
        <v>2349</v>
      </c>
      <c r="X19" s="18">
        <v>3</v>
      </c>
      <c r="Y19" s="18">
        <v>2243</v>
      </c>
      <c r="Z19" s="18">
        <v>0</v>
      </c>
      <c r="AA19" s="18">
        <v>0</v>
      </c>
      <c r="AB19" s="18">
        <v>103</v>
      </c>
      <c r="AC19" s="18">
        <v>0</v>
      </c>
      <c r="AD19" s="6">
        <v>0.15000957915575708</v>
      </c>
      <c r="AE19" s="6">
        <v>0.15</v>
      </c>
      <c r="AF19" s="6">
        <v>0.51039395260281373</v>
      </c>
      <c r="AG19" s="6">
        <v>0.51</v>
      </c>
      <c r="AH19" s="7">
        <v>150</v>
      </c>
    </row>
    <row r="20" spans="2:34" x14ac:dyDescent="0.25">
      <c r="B20" s="3">
        <v>16</v>
      </c>
      <c r="C20" s="3" t="s">
        <v>34</v>
      </c>
      <c r="D20" s="3" t="s">
        <v>35</v>
      </c>
      <c r="E20" s="3" t="s">
        <v>26</v>
      </c>
      <c r="F20" s="3">
        <v>2202</v>
      </c>
      <c r="G20" s="3">
        <v>2</v>
      </c>
      <c r="H20" s="3"/>
      <c r="I20" s="4">
        <v>256</v>
      </c>
      <c r="J20" s="4">
        <v>21</v>
      </c>
      <c r="K20" s="18">
        <v>0</v>
      </c>
      <c r="L20" s="18">
        <v>0</v>
      </c>
      <c r="M20" s="18">
        <v>0</v>
      </c>
      <c r="N20" s="18">
        <v>0</v>
      </c>
      <c r="O20" s="18">
        <v>21</v>
      </c>
      <c r="P20" s="18">
        <v>0</v>
      </c>
      <c r="Q20" s="6">
        <v>8.203125E-2</v>
      </c>
      <c r="R20" s="3">
        <v>8.2000000000000003E-2</v>
      </c>
      <c r="S20" s="6">
        <v>0.41661760790710722</v>
      </c>
      <c r="T20" s="25">
        <v>0.41699999999999998</v>
      </c>
      <c r="U20" s="7">
        <v>260</v>
      </c>
      <c r="V20" s="4">
        <v>274</v>
      </c>
      <c r="W20" s="4">
        <v>13</v>
      </c>
      <c r="X20" s="18">
        <v>0</v>
      </c>
      <c r="Y20" s="18">
        <v>0</v>
      </c>
      <c r="Z20" s="18">
        <v>0</v>
      </c>
      <c r="AA20" s="18">
        <v>0</v>
      </c>
      <c r="AB20" s="18">
        <v>13</v>
      </c>
      <c r="AC20" s="18">
        <v>0</v>
      </c>
      <c r="AD20" s="6">
        <v>4.7445255474452552E-2</v>
      </c>
      <c r="AE20" s="6">
        <v>4.7E-2</v>
      </c>
      <c r="AF20" s="6">
        <v>0.39090373232569076</v>
      </c>
      <c r="AG20" s="6">
        <v>0.39200000000000002</v>
      </c>
      <c r="AH20" s="7">
        <v>291</v>
      </c>
    </row>
    <row r="21" spans="2:34" x14ac:dyDescent="0.25">
      <c r="B21" s="3">
        <v>17</v>
      </c>
      <c r="C21" s="3" t="s">
        <v>36</v>
      </c>
      <c r="D21" s="3" t="s">
        <v>37</v>
      </c>
      <c r="E21" s="3" t="s">
        <v>26</v>
      </c>
      <c r="F21" s="3">
        <v>2203</v>
      </c>
      <c r="G21" s="3">
        <v>2</v>
      </c>
      <c r="H21" s="3">
        <v>0.47899999999999998</v>
      </c>
      <c r="I21" s="4">
        <v>9843</v>
      </c>
      <c r="J21" s="4">
        <v>693</v>
      </c>
      <c r="K21" s="18">
        <v>0</v>
      </c>
      <c r="L21" s="18">
        <v>2</v>
      </c>
      <c r="M21" s="18">
        <v>0</v>
      </c>
      <c r="N21" s="18">
        <v>0</v>
      </c>
      <c r="O21" s="18">
        <v>691</v>
      </c>
      <c r="P21" s="18">
        <v>0</v>
      </c>
      <c r="Q21" s="6">
        <v>7.0405364218226157E-2</v>
      </c>
      <c r="R21" s="3">
        <v>7.0000000000000007E-2</v>
      </c>
      <c r="S21" s="6">
        <v>0.40463488222317223</v>
      </c>
      <c r="T21" s="25">
        <v>0.40500000000000003</v>
      </c>
      <c r="U21" s="26">
        <v>276</v>
      </c>
      <c r="V21" s="4">
        <v>10929</v>
      </c>
      <c r="W21" s="4">
        <v>401</v>
      </c>
      <c r="X21" s="18">
        <v>2</v>
      </c>
      <c r="Y21" s="18">
        <v>2</v>
      </c>
      <c r="Z21" s="18">
        <v>0</v>
      </c>
      <c r="AA21" s="18">
        <v>0</v>
      </c>
      <c r="AB21" s="18">
        <v>396</v>
      </c>
      <c r="AC21" s="18">
        <v>1</v>
      </c>
      <c r="AD21" s="6">
        <v>3.6691371580199472E-2</v>
      </c>
      <c r="AE21" s="6">
        <v>3.6999999999999998E-2</v>
      </c>
      <c r="AF21" s="6">
        <v>0.37930274006577591</v>
      </c>
      <c r="AG21" s="6">
        <v>0.379</v>
      </c>
      <c r="AH21" s="7">
        <v>308</v>
      </c>
    </row>
    <row r="22" spans="2:34" x14ac:dyDescent="0.25">
      <c r="B22" s="3">
        <v>18</v>
      </c>
      <c r="C22" s="3" t="s">
        <v>38</v>
      </c>
      <c r="D22" s="3" t="s">
        <v>39</v>
      </c>
      <c r="E22" s="3" t="s">
        <v>26</v>
      </c>
      <c r="F22" s="3">
        <v>2103</v>
      </c>
      <c r="G22" s="3">
        <v>2</v>
      </c>
      <c r="H22" s="3"/>
      <c r="I22" s="4">
        <v>1472</v>
      </c>
      <c r="J22" s="4">
        <v>502</v>
      </c>
      <c r="K22" s="18">
        <v>0</v>
      </c>
      <c r="L22" s="18">
        <v>161</v>
      </c>
      <c r="M22" s="18">
        <v>0</v>
      </c>
      <c r="N22" s="18">
        <v>0</v>
      </c>
      <c r="O22" s="18">
        <v>341</v>
      </c>
      <c r="P22" s="18">
        <v>0</v>
      </c>
      <c r="Q22" s="6">
        <v>0.34103260869565216</v>
      </c>
      <c r="R22" s="3">
        <v>0.34100000000000003</v>
      </c>
      <c r="S22" s="6">
        <v>0.68356864211406188</v>
      </c>
      <c r="T22" s="25">
        <v>0.68400000000000005</v>
      </c>
      <c r="U22" s="7">
        <v>14</v>
      </c>
      <c r="V22" s="4">
        <v>1792</v>
      </c>
      <c r="W22" s="4">
        <v>371</v>
      </c>
      <c r="X22" s="18">
        <v>0</v>
      </c>
      <c r="Y22" s="18">
        <v>149</v>
      </c>
      <c r="Z22" s="18">
        <v>0</v>
      </c>
      <c r="AA22" s="18">
        <v>0</v>
      </c>
      <c r="AB22" s="18">
        <v>222</v>
      </c>
      <c r="AC22" s="18">
        <v>0</v>
      </c>
      <c r="AD22" s="6">
        <v>0.20703125</v>
      </c>
      <c r="AE22" s="6">
        <v>0.20699999999999999</v>
      </c>
      <c r="AF22" s="6">
        <v>0.57651960848432837</v>
      </c>
      <c r="AG22" s="6">
        <v>0.57699999999999996</v>
      </c>
      <c r="AH22" s="7">
        <v>85</v>
      </c>
    </row>
    <row r="23" spans="2:34" x14ac:dyDescent="0.25">
      <c r="B23" s="3">
        <v>19</v>
      </c>
      <c r="C23" s="3" t="s">
        <v>40</v>
      </c>
      <c r="D23" s="3" t="s">
        <v>41</v>
      </c>
      <c r="E23" s="3" t="s">
        <v>26</v>
      </c>
      <c r="F23" s="3">
        <v>2104</v>
      </c>
      <c r="G23" s="3">
        <v>2</v>
      </c>
      <c r="H23" s="3">
        <v>0.45800000000000002</v>
      </c>
      <c r="I23" s="4">
        <v>12097</v>
      </c>
      <c r="J23" s="4">
        <v>2136</v>
      </c>
      <c r="K23" s="18">
        <v>0</v>
      </c>
      <c r="L23" s="18">
        <v>1818</v>
      </c>
      <c r="M23" s="18">
        <v>0</v>
      </c>
      <c r="N23" s="18">
        <v>0</v>
      </c>
      <c r="O23" s="18">
        <v>318</v>
      </c>
      <c r="P23" s="18">
        <v>0</v>
      </c>
      <c r="Q23" s="6">
        <v>0.17657270397619246</v>
      </c>
      <c r="R23" s="3">
        <v>0.17699999999999999</v>
      </c>
      <c r="S23" s="6">
        <v>0.51406087631880093</v>
      </c>
      <c r="T23" s="25">
        <v>0.51400000000000001</v>
      </c>
      <c r="U23" s="26">
        <v>138</v>
      </c>
      <c r="V23" s="4">
        <v>13929</v>
      </c>
      <c r="W23" s="4">
        <v>2080</v>
      </c>
      <c r="X23" s="18">
        <v>146</v>
      </c>
      <c r="Y23" s="18">
        <v>1687</v>
      </c>
      <c r="Z23" s="18">
        <v>0</v>
      </c>
      <c r="AA23" s="18">
        <v>0</v>
      </c>
      <c r="AB23" s="18">
        <v>247</v>
      </c>
      <c r="AC23" s="18">
        <v>0</v>
      </c>
      <c r="AD23" s="6">
        <v>0.14932873860291479</v>
      </c>
      <c r="AE23" s="6">
        <v>0.14899999999999999</v>
      </c>
      <c r="AF23" s="6">
        <v>0.50923385337682225</v>
      </c>
      <c r="AG23" s="6">
        <v>0.51</v>
      </c>
      <c r="AH23" s="7">
        <v>151</v>
      </c>
    </row>
    <row r="24" spans="2:34" x14ac:dyDescent="0.25">
      <c r="B24" s="3">
        <v>20</v>
      </c>
      <c r="C24" s="3" t="s">
        <v>42</v>
      </c>
      <c r="D24" s="3" t="s">
        <v>43</v>
      </c>
      <c r="E24" s="3" t="s">
        <v>26</v>
      </c>
      <c r="F24" s="3">
        <v>2301</v>
      </c>
      <c r="G24" s="3">
        <v>2</v>
      </c>
      <c r="H24" s="3">
        <v>0.57499999999999996</v>
      </c>
      <c r="I24" s="4">
        <v>25400</v>
      </c>
      <c r="J24" s="4">
        <v>5900</v>
      </c>
      <c r="K24" s="18">
        <v>1</v>
      </c>
      <c r="L24" s="18">
        <v>5620</v>
      </c>
      <c r="M24" s="18">
        <v>94</v>
      </c>
      <c r="N24" s="18">
        <v>0</v>
      </c>
      <c r="O24" s="18">
        <v>185</v>
      </c>
      <c r="P24" s="18">
        <v>0</v>
      </c>
      <c r="Q24" s="6">
        <v>0.23228346456692914</v>
      </c>
      <c r="R24" s="3">
        <v>0.23200000000000001</v>
      </c>
      <c r="S24" s="6">
        <v>0.57148159886268945</v>
      </c>
      <c r="T24" s="25">
        <v>0.57099999999999995</v>
      </c>
      <c r="U24" s="7">
        <v>86</v>
      </c>
      <c r="V24" s="4">
        <v>28333</v>
      </c>
      <c r="W24" s="4">
        <v>6182</v>
      </c>
      <c r="X24" s="18">
        <v>3</v>
      </c>
      <c r="Y24" s="18">
        <v>6016</v>
      </c>
      <c r="Z24" s="18">
        <v>37</v>
      </c>
      <c r="AA24" s="18">
        <v>1</v>
      </c>
      <c r="AB24" s="18">
        <v>125</v>
      </c>
      <c r="AC24" s="18">
        <v>0</v>
      </c>
      <c r="AD24" s="6">
        <v>0.21819080224473228</v>
      </c>
      <c r="AE24" s="6">
        <v>0.218</v>
      </c>
      <c r="AF24" s="6">
        <v>0.5892806999702348</v>
      </c>
      <c r="AG24" s="6">
        <v>0.58899999999999997</v>
      </c>
      <c r="AH24" s="7">
        <v>66</v>
      </c>
    </row>
    <row r="25" spans="2:34" x14ac:dyDescent="0.25">
      <c r="B25" s="3">
        <v>21</v>
      </c>
      <c r="C25" s="3" t="s">
        <v>44</v>
      </c>
      <c r="D25" s="3" t="s">
        <v>45</v>
      </c>
      <c r="E25" s="3" t="s">
        <v>46</v>
      </c>
      <c r="F25" s="3">
        <v>3302</v>
      </c>
      <c r="G25" s="3">
        <v>3</v>
      </c>
      <c r="H25" s="3">
        <v>0.39600000000000002</v>
      </c>
      <c r="I25" s="4">
        <v>4788</v>
      </c>
      <c r="J25" s="4">
        <v>115</v>
      </c>
      <c r="K25" s="18">
        <v>0</v>
      </c>
      <c r="L25" s="18">
        <v>0</v>
      </c>
      <c r="M25" s="18">
        <v>0</v>
      </c>
      <c r="N25" s="18">
        <v>0</v>
      </c>
      <c r="O25" s="18">
        <v>115</v>
      </c>
      <c r="P25" s="18">
        <v>0</v>
      </c>
      <c r="Q25" s="6">
        <v>2.4018379281537175E-2</v>
      </c>
      <c r="R25" s="3">
        <v>2.4E-2</v>
      </c>
      <c r="S25" s="6">
        <v>0.35682411526444502</v>
      </c>
      <c r="T25" s="25">
        <v>0.35699999999999998</v>
      </c>
      <c r="U25" s="26">
        <v>334</v>
      </c>
      <c r="V25" s="4">
        <v>5775</v>
      </c>
      <c r="W25" s="4">
        <v>87</v>
      </c>
      <c r="X25" s="18">
        <v>0</v>
      </c>
      <c r="Y25" s="18">
        <v>0</v>
      </c>
      <c r="Z25" s="18">
        <v>0</v>
      </c>
      <c r="AA25" s="18">
        <v>0</v>
      </c>
      <c r="AB25" s="18">
        <v>87</v>
      </c>
      <c r="AC25" s="18">
        <v>0</v>
      </c>
      <c r="AD25" s="6">
        <v>1.5064935064935066E-2</v>
      </c>
      <c r="AE25" s="6">
        <v>1.4999999999999999E-2</v>
      </c>
      <c r="AF25" s="6">
        <v>0.35378055709396328</v>
      </c>
      <c r="AG25" s="6">
        <v>0.35399999999999998</v>
      </c>
      <c r="AH25" s="7">
        <v>339</v>
      </c>
    </row>
    <row r="26" spans="2:34" x14ac:dyDescent="0.25">
      <c r="B26" s="3">
        <v>22</v>
      </c>
      <c r="C26" s="3" t="s">
        <v>47</v>
      </c>
      <c r="D26" s="3" t="s">
        <v>48</v>
      </c>
      <c r="E26" s="3" t="s">
        <v>46</v>
      </c>
      <c r="F26" s="3">
        <v>3102</v>
      </c>
      <c r="G26" s="3">
        <v>3</v>
      </c>
      <c r="H26" s="3">
        <v>0.44900000000000001</v>
      </c>
      <c r="I26" s="4">
        <v>18805</v>
      </c>
      <c r="J26" s="4">
        <v>3723</v>
      </c>
      <c r="K26" s="18">
        <v>1</v>
      </c>
      <c r="L26" s="18">
        <v>3382</v>
      </c>
      <c r="M26" s="18">
        <v>31</v>
      </c>
      <c r="N26" s="18">
        <v>0</v>
      </c>
      <c r="O26" s="18">
        <v>309</v>
      </c>
      <c r="P26" s="18">
        <v>0</v>
      </c>
      <c r="Q26" s="6">
        <v>0.19797926083488435</v>
      </c>
      <c r="R26" s="3">
        <v>0.19800000000000001</v>
      </c>
      <c r="S26" s="6">
        <v>0.5361244767609622</v>
      </c>
      <c r="T26" s="25">
        <v>0.53600000000000003</v>
      </c>
      <c r="U26" s="7">
        <v>119</v>
      </c>
      <c r="V26" s="4">
        <v>19860</v>
      </c>
      <c r="W26" s="4">
        <v>3382</v>
      </c>
      <c r="X26" s="18">
        <v>59</v>
      </c>
      <c r="Y26" s="18">
        <v>3101</v>
      </c>
      <c r="Z26" s="18">
        <v>0</v>
      </c>
      <c r="AA26" s="18">
        <v>0</v>
      </c>
      <c r="AB26" s="18">
        <v>222</v>
      </c>
      <c r="AC26" s="18">
        <v>0</v>
      </c>
      <c r="AD26" s="6">
        <v>0.1702920443101712</v>
      </c>
      <c r="AE26" s="6">
        <v>0.17</v>
      </c>
      <c r="AF26" s="6">
        <v>0.53359593712264353</v>
      </c>
      <c r="AG26" s="6">
        <v>0.53400000000000003</v>
      </c>
      <c r="AH26" s="7">
        <v>127</v>
      </c>
    </row>
    <row r="27" spans="2:34" x14ac:dyDescent="0.25">
      <c r="B27" s="3">
        <v>23</v>
      </c>
      <c r="C27" s="3" t="s">
        <v>49</v>
      </c>
      <c r="D27" s="3" t="s">
        <v>50</v>
      </c>
      <c r="E27" s="3" t="s">
        <v>46</v>
      </c>
      <c r="F27" s="3">
        <v>3201</v>
      </c>
      <c r="G27" s="3">
        <v>3</v>
      </c>
      <c r="H27" s="3"/>
      <c r="I27" s="4">
        <v>12345</v>
      </c>
      <c r="J27" s="4">
        <v>683</v>
      </c>
      <c r="K27" s="18">
        <v>200</v>
      </c>
      <c r="L27" s="18">
        <v>0</v>
      </c>
      <c r="M27" s="18">
        <v>0</v>
      </c>
      <c r="N27" s="18">
        <v>0</v>
      </c>
      <c r="O27" s="18">
        <v>483</v>
      </c>
      <c r="P27" s="18">
        <v>0</v>
      </c>
      <c r="Q27" s="6">
        <v>5.5326042932361277E-2</v>
      </c>
      <c r="R27" s="3">
        <v>5.5E-2</v>
      </c>
      <c r="S27" s="6">
        <v>0.38909272278172002</v>
      </c>
      <c r="T27" s="25">
        <v>0.38900000000000001</v>
      </c>
      <c r="U27" s="26">
        <v>298</v>
      </c>
      <c r="V27" s="4">
        <v>13062</v>
      </c>
      <c r="W27" s="4">
        <v>669</v>
      </c>
      <c r="X27" s="18">
        <v>311</v>
      </c>
      <c r="Y27" s="18">
        <v>0</v>
      </c>
      <c r="Z27" s="18">
        <v>0</v>
      </c>
      <c r="AA27" s="18">
        <v>0</v>
      </c>
      <c r="AB27" s="18">
        <v>358</v>
      </c>
      <c r="AC27" s="18">
        <v>0</v>
      </c>
      <c r="AD27" s="6">
        <v>5.12172714745062E-2</v>
      </c>
      <c r="AE27" s="6">
        <v>5.0999999999999997E-2</v>
      </c>
      <c r="AF27" s="6">
        <v>0.3955441292296567</v>
      </c>
      <c r="AG27" s="6">
        <v>0.39600000000000002</v>
      </c>
      <c r="AH27" s="7">
        <v>286</v>
      </c>
    </row>
    <row r="28" spans="2:34" x14ac:dyDescent="0.25">
      <c r="B28" s="3">
        <v>24</v>
      </c>
      <c r="C28" s="3" t="s">
        <v>51</v>
      </c>
      <c r="D28" s="3" t="s">
        <v>52</v>
      </c>
      <c r="E28" s="3" t="s">
        <v>46</v>
      </c>
      <c r="F28" s="3">
        <v>3101</v>
      </c>
      <c r="G28" s="3">
        <v>3</v>
      </c>
      <c r="H28" s="3">
        <v>0.54200000000000004</v>
      </c>
      <c r="I28" s="4">
        <v>168831</v>
      </c>
      <c r="J28" s="4">
        <v>41844</v>
      </c>
      <c r="K28" s="18">
        <v>11</v>
      </c>
      <c r="L28" s="18">
        <v>22357</v>
      </c>
      <c r="M28" s="18">
        <v>18097</v>
      </c>
      <c r="N28" s="18">
        <v>0</v>
      </c>
      <c r="O28" s="18">
        <v>1379</v>
      </c>
      <c r="P28" s="18">
        <v>0</v>
      </c>
      <c r="Q28" s="6">
        <v>0.24784547861470937</v>
      </c>
      <c r="R28" s="3">
        <v>0.248</v>
      </c>
      <c r="S28" s="6">
        <v>0.5875212666286016</v>
      </c>
      <c r="T28" s="25">
        <v>0.58799999999999997</v>
      </c>
      <c r="U28" s="7">
        <v>69</v>
      </c>
      <c r="V28" s="4">
        <v>175240</v>
      </c>
      <c r="W28" s="4">
        <v>40559</v>
      </c>
      <c r="X28" s="18">
        <v>250</v>
      </c>
      <c r="Y28" s="18">
        <v>19420</v>
      </c>
      <c r="Z28" s="18">
        <v>19566</v>
      </c>
      <c r="AA28" s="18">
        <v>1</v>
      </c>
      <c r="AB28" s="18">
        <v>1322</v>
      </c>
      <c r="AC28" s="18">
        <v>0</v>
      </c>
      <c r="AD28" s="6">
        <v>0.2314482994750057</v>
      </c>
      <c r="AE28" s="6">
        <v>0.23100000000000001</v>
      </c>
      <c r="AF28" s="6">
        <v>0.60436198990812406</v>
      </c>
      <c r="AG28" s="6">
        <v>0.60499999999999998</v>
      </c>
      <c r="AH28" s="7">
        <v>54</v>
      </c>
    </row>
    <row r="29" spans="2:34" x14ac:dyDescent="0.25">
      <c r="B29" s="3">
        <v>25</v>
      </c>
      <c r="C29" s="3" t="s">
        <v>53</v>
      </c>
      <c r="D29" s="3" t="s">
        <v>54</v>
      </c>
      <c r="E29" s="3" t="s">
        <v>46</v>
      </c>
      <c r="F29" s="3">
        <v>3202</v>
      </c>
      <c r="G29" s="3">
        <v>3</v>
      </c>
      <c r="H29" s="3">
        <v>0.41499999999999998</v>
      </c>
      <c r="I29" s="4">
        <v>11397</v>
      </c>
      <c r="J29" s="4">
        <v>1961</v>
      </c>
      <c r="K29" s="18">
        <v>321</v>
      </c>
      <c r="L29" s="18">
        <v>1179</v>
      </c>
      <c r="M29" s="18">
        <v>0</v>
      </c>
      <c r="N29" s="18">
        <v>0</v>
      </c>
      <c r="O29" s="18">
        <v>461</v>
      </c>
      <c r="P29" s="18">
        <v>0</v>
      </c>
      <c r="Q29" s="6">
        <v>0.17206282355005703</v>
      </c>
      <c r="R29" s="3">
        <v>0.17199999999999999</v>
      </c>
      <c r="S29" s="6">
        <v>0.50941257157642594</v>
      </c>
      <c r="T29" s="25">
        <v>0.50900000000000001</v>
      </c>
      <c r="U29" s="26">
        <v>150</v>
      </c>
      <c r="V29" s="4">
        <v>14019</v>
      </c>
      <c r="W29" s="4">
        <v>1543</v>
      </c>
      <c r="X29" s="18">
        <v>716</v>
      </c>
      <c r="Y29" s="18">
        <v>477</v>
      </c>
      <c r="Z29" s="18">
        <v>0</v>
      </c>
      <c r="AA29" s="18">
        <v>0</v>
      </c>
      <c r="AB29" s="18">
        <v>350</v>
      </c>
      <c r="AC29" s="18">
        <v>0</v>
      </c>
      <c r="AD29" s="6">
        <v>0.11006491190527141</v>
      </c>
      <c r="AE29" s="6">
        <v>0.11</v>
      </c>
      <c r="AF29" s="6">
        <v>0.46398998356315435</v>
      </c>
      <c r="AG29" s="6">
        <v>0.46400000000000002</v>
      </c>
      <c r="AH29" s="7">
        <v>199</v>
      </c>
    </row>
    <row r="30" spans="2:34" x14ac:dyDescent="0.25">
      <c r="B30" s="3">
        <v>26</v>
      </c>
      <c r="C30" s="3" t="s">
        <v>55</v>
      </c>
      <c r="D30" s="3" t="s">
        <v>56</v>
      </c>
      <c r="E30" s="3" t="s">
        <v>46</v>
      </c>
      <c r="F30" s="3">
        <v>3303</v>
      </c>
      <c r="G30" s="3">
        <v>3</v>
      </c>
      <c r="H30" s="3">
        <v>0.39</v>
      </c>
      <c r="I30" s="4">
        <v>7577</v>
      </c>
      <c r="J30" s="4">
        <v>203</v>
      </c>
      <c r="K30" s="18">
        <v>47</v>
      </c>
      <c r="L30" s="18">
        <v>0</v>
      </c>
      <c r="M30" s="18">
        <v>0</v>
      </c>
      <c r="N30" s="18">
        <v>0</v>
      </c>
      <c r="O30" s="18">
        <v>156</v>
      </c>
      <c r="P30" s="18">
        <v>0</v>
      </c>
      <c r="Q30" s="6">
        <v>2.6791606176587039E-2</v>
      </c>
      <c r="R30" s="3">
        <v>2.7E-2</v>
      </c>
      <c r="S30" s="6">
        <v>0.35968246238452339</v>
      </c>
      <c r="T30" s="25">
        <v>0.36</v>
      </c>
      <c r="U30" s="7">
        <v>332</v>
      </c>
      <c r="V30" s="4">
        <v>7810</v>
      </c>
      <c r="W30" s="4">
        <v>166</v>
      </c>
      <c r="X30" s="18">
        <v>63</v>
      </c>
      <c r="Y30" s="18">
        <v>0</v>
      </c>
      <c r="Z30" s="18">
        <v>0</v>
      </c>
      <c r="AA30" s="18">
        <v>0</v>
      </c>
      <c r="AB30" s="18">
        <v>103</v>
      </c>
      <c r="AC30" s="18">
        <v>0</v>
      </c>
      <c r="AD30" s="6">
        <v>2.1254801536491678E-2</v>
      </c>
      <c r="AE30" s="6">
        <v>2.1000000000000001E-2</v>
      </c>
      <c r="AF30" s="6">
        <v>0.36074115244991223</v>
      </c>
      <c r="AG30" s="6">
        <v>0.36099999999999999</v>
      </c>
      <c r="AH30" s="7">
        <v>329</v>
      </c>
    </row>
    <row r="31" spans="2:34" x14ac:dyDescent="0.25">
      <c r="B31" s="3">
        <v>27</v>
      </c>
      <c r="C31" s="3" t="s">
        <v>57</v>
      </c>
      <c r="D31" s="3" t="s">
        <v>58</v>
      </c>
      <c r="E31" s="3" t="s">
        <v>46</v>
      </c>
      <c r="F31" s="3">
        <v>3304</v>
      </c>
      <c r="G31" s="3">
        <v>3</v>
      </c>
      <c r="H31" s="3">
        <v>0.48899999999999999</v>
      </c>
      <c r="I31" s="4">
        <v>9369</v>
      </c>
      <c r="J31" s="4">
        <v>1136</v>
      </c>
      <c r="K31" s="18">
        <v>1</v>
      </c>
      <c r="L31" s="18">
        <v>973</v>
      </c>
      <c r="M31" s="18">
        <v>0</v>
      </c>
      <c r="N31" s="18">
        <v>0</v>
      </c>
      <c r="O31" s="18">
        <v>162</v>
      </c>
      <c r="P31" s="18">
        <v>0</v>
      </c>
      <c r="Q31" s="6">
        <v>0.1212509339310492</v>
      </c>
      <c r="R31" s="3">
        <v>0.121</v>
      </c>
      <c r="S31" s="6">
        <v>0.45704108382781183</v>
      </c>
      <c r="T31" s="25">
        <v>0.45700000000000002</v>
      </c>
      <c r="U31" s="26">
        <v>207</v>
      </c>
      <c r="V31" s="4">
        <v>11525</v>
      </c>
      <c r="W31" s="4">
        <v>437</v>
      </c>
      <c r="X31" s="18">
        <v>106</v>
      </c>
      <c r="Y31" s="18">
        <v>196</v>
      </c>
      <c r="Z31" s="18">
        <v>0</v>
      </c>
      <c r="AA31" s="18">
        <v>0</v>
      </c>
      <c r="AB31" s="18">
        <v>135</v>
      </c>
      <c r="AC31" s="18">
        <v>0</v>
      </c>
      <c r="AD31" s="6">
        <v>3.79175704989154E-2</v>
      </c>
      <c r="AE31" s="6">
        <v>3.7999999999999999E-2</v>
      </c>
      <c r="AF31" s="6">
        <v>0.38046283929176744</v>
      </c>
      <c r="AG31" s="6">
        <v>0.38100000000000001</v>
      </c>
      <c r="AH31" s="7">
        <v>305</v>
      </c>
    </row>
    <row r="32" spans="2:34" x14ac:dyDescent="0.25">
      <c r="B32" s="3">
        <v>28</v>
      </c>
      <c r="C32" s="3" t="s">
        <v>59</v>
      </c>
      <c r="D32" s="3" t="s">
        <v>60</v>
      </c>
      <c r="E32" s="3" t="s">
        <v>46</v>
      </c>
      <c r="F32" s="3">
        <v>3103</v>
      </c>
      <c r="G32" s="3">
        <v>3</v>
      </c>
      <c r="H32" s="3"/>
      <c r="I32" s="4">
        <v>11846</v>
      </c>
      <c r="J32" s="4">
        <v>1106</v>
      </c>
      <c r="K32" s="18">
        <v>1</v>
      </c>
      <c r="L32" s="18">
        <v>795</v>
      </c>
      <c r="M32" s="18">
        <v>0</v>
      </c>
      <c r="N32" s="18">
        <v>0</v>
      </c>
      <c r="O32" s="18">
        <v>310</v>
      </c>
      <c r="P32" s="18">
        <v>0</v>
      </c>
      <c r="Q32" s="6">
        <v>9.3364848894141483E-2</v>
      </c>
      <c r="R32" s="3">
        <v>9.2999999999999999E-2</v>
      </c>
      <c r="S32" s="6">
        <v>0.42829907537629186</v>
      </c>
      <c r="T32" s="25">
        <v>0.42799999999999999</v>
      </c>
      <c r="U32" s="7">
        <v>243</v>
      </c>
      <c r="V32" s="4">
        <v>14419</v>
      </c>
      <c r="W32" s="4">
        <v>1089</v>
      </c>
      <c r="X32" s="18">
        <v>154</v>
      </c>
      <c r="Y32" s="18">
        <v>711</v>
      </c>
      <c r="Z32" s="18">
        <v>0</v>
      </c>
      <c r="AA32" s="18">
        <v>0</v>
      </c>
      <c r="AB32" s="18">
        <v>224</v>
      </c>
      <c r="AC32" s="18">
        <v>0</v>
      </c>
      <c r="AD32" s="6">
        <v>7.5525348498508907E-2</v>
      </c>
      <c r="AE32" s="6">
        <v>7.5999999999999998E-2</v>
      </c>
      <c r="AF32" s="6">
        <v>0.42454660987944387</v>
      </c>
      <c r="AG32" s="6">
        <v>0.42399999999999999</v>
      </c>
      <c r="AH32" s="7">
        <v>247</v>
      </c>
    </row>
    <row r="33" spans="2:34" x14ac:dyDescent="0.25">
      <c r="B33" s="3">
        <v>29</v>
      </c>
      <c r="C33" s="3" t="s">
        <v>61</v>
      </c>
      <c r="D33" s="3" t="s">
        <v>62</v>
      </c>
      <c r="E33" s="3" t="s">
        <v>46</v>
      </c>
      <c r="F33" s="3">
        <v>3301</v>
      </c>
      <c r="G33" s="3">
        <v>3</v>
      </c>
      <c r="H33" s="3">
        <v>0.53300000000000003</v>
      </c>
      <c r="I33" s="4">
        <v>54222</v>
      </c>
      <c r="J33" s="4">
        <v>12275</v>
      </c>
      <c r="K33" s="18">
        <v>14</v>
      </c>
      <c r="L33" s="18">
        <v>11585</v>
      </c>
      <c r="M33" s="18">
        <v>94</v>
      </c>
      <c r="N33" s="18">
        <v>0</v>
      </c>
      <c r="O33" s="18">
        <v>582</v>
      </c>
      <c r="P33" s="18">
        <v>0</v>
      </c>
      <c r="Q33" s="6">
        <v>0.22638412452510051</v>
      </c>
      <c r="R33" s="3">
        <v>0.22600000000000001</v>
      </c>
      <c r="S33" s="6">
        <v>0.5654011870330542</v>
      </c>
      <c r="T33" s="25">
        <v>0.56499999999999995</v>
      </c>
      <c r="U33" s="26">
        <v>99</v>
      </c>
      <c r="V33" s="4">
        <v>57338</v>
      </c>
      <c r="W33" s="4">
        <v>11399</v>
      </c>
      <c r="X33" s="18">
        <v>68</v>
      </c>
      <c r="Y33" s="18">
        <v>10950</v>
      </c>
      <c r="Z33" s="18">
        <v>11</v>
      </c>
      <c r="AA33" s="18">
        <v>0</v>
      </c>
      <c r="AB33" s="18">
        <v>370</v>
      </c>
      <c r="AC33" s="18">
        <v>0</v>
      </c>
      <c r="AD33" s="6">
        <v>0.19880358575464788</v>
      </c>
      <c r="AE33" s="6">
        <v>0.19900000000000001</v>
      </c>
      <c r="AF33" s="6">
        <v>0.56723881467639659</v>
      </c>
      <c r="AG33" s="6">
        <v>0.56699999999999995</v>
      </c>
      <c r="AH33" s="7">
        <v>97</v>
      </c>
    </row>
    <row r="34" spans="2:34" x14ac:dyDescent="0.25">
      <c r="B34" s="3">
        <v>30</v>
      </c>
      <c r="C34" s="3" t="s">
        <v>63</v>
      </c>
      <c r="D34" s="3" t="s">
        <v>64</v>
      </c>
      <c r="E34" s="3" t="s">
        <v>65</v>
      </c>
      <c r="F34" s="3">
        <v>4103</v>
      </c>
      <c r="G34" s="3">
        <v>4</v>
      </c>
      <c r="H34" s="3">
        <v>0.53200000000000003</v>
      </c>
      <c r="I34" s="4">
        <v>11566</v>
      </c>
      <c r="J34" s="4">
        <v>1442</v>
      </c>
      <c r="K34" s="18">
        <v>0</v>
      </c>
      <c r="L34" s="18">
        <v>1372</v>
      </c>
      <c r="M34" s="18">
        <v>0</v>
      </c>
      <c r="N34" s="18">
        <v>0</v>
      </c>
      <c r="O34" s="18">
        <v>70</v>
      </c>
      <c r="P34" s="18">
        <v>0</v>
      </c>
      <c r="Q34" s="6">
        <v>0.1246757738198167</v>
      </c>
      <c r="R34" s="3">
        <v>0.125</v>
      </c>
      <c r="S34" s="6">
        <v>0.46057104426857559</v>
      </c>
      <c r="T34" s="25">
        <v>0.46100000000000002</v>
      </c>
      <c r="U34" s="7">
        <v>204</v>
      </c>
      <c r="V34" s="4">
        <v>11833</v>
      </c>
      <c r="W34" s="4">
        <v>1211</v>
      </c>
      <c r="X34" s="18">
        <v>12</v>
      </c>
      <c r="Y34" s="18">
        <v>1150</v>
      </c>
      <c r="Z34" s="18">
        <v>0</v>
      </c>
      <c r="AA34" s="18">
        <v>0</v>
      </c>
      <c r="AB34" s="18">
        <v>49</v>
      </c>
      <c r="AC34" s="18">
        <v>0</v>
      </c>
      <c r="AD34" s="6">
        <v>0.10234091101157779</v>
      </c>
      <c r="AE34" s="6">
        <v>0.10199999999999999</v>
      </c>
      <c r="AF34" s="6">
        <v>0.45470918975522245</v>
      </c>
      <c r="AG34" s="6">
        <v>0.45500000000000002</v>
      </c>
      <c r="AH34" s="7">
        <v>212</v>
      </c>
    </row>
    <row r="35" spans="2:34" x14ac:dyDescent="0.25">
      <c r="B35" s="3">
        <v>31</v>
      </c>
      <c r="C35" s="3" t="s">
        <v>66</v>
      </c>
      <c r="D35" s="3" t="s">
        <v>67</v>
      </c>
      <c r="E35" s="3" t="s">
        <v>65</v>
      </c>
      <c r="F35" s="3">
        <v>4202</v>
      </c>
      <c r="G35" s="3">
        <v>4</v>
      </c>
      <c r="H35" s="3">
        <v>0.40699999999999997</v>
      </c>
      <c r="I35" s="4">
        <v>9639</v>
      </c>
      <c r="J35" s="4">
        <v>881</v>
      </c>
      <c r="K35" s="18">
        <v>0</v>
      </c>
      <c r="L35" s="18">
        <v>738</v>
      </c>
      <c r="M35" s="18">
        <v>0</v>
      </c>
      <c r="N35" s="18">
        <v>0</v>
      </c>
      <c r="O35" s="18">
        <v>143</v>
      </c>
      <c r="P35" s="18">
        <v>0</v>
      </c>
      <c r="Q35" s="6">
        <v>9.1399522772071792E-2</v>
      </c>
      <c r="R35" s="3">
        <v>9.0999999999999998E-2</v>
      </c>
      <c r="S35" s="6">
        <v>0.42627342638555832</v>
      </c>
      <c r="T35" s="25">
        <v>0.42599999999999999</v>
      </c>
      <c r="U35" s="26">
        <v>246</v>
      </c>
      <c r="V35" s="4">
        <v>9524</v>
      </c>
      <c r="W35" s="4">
        <v>671</v>
      </c>
      <c r="X35" s="18">
        <v>0</v>
      </c>
      <c r="Y35" s="18">
        <v>566</v>
      </c>
      <c r="Z35" s="18">
        <v>0</v>
      </c>
      <c r="AA35" s="18">
        <v>0</v>
      </c>
      <c r="AB35" s="18">
        <v>105</v>
      </c>
      <c r="AC35" s="18">
        <v>0</v>
      </c>
      <c r="AD35" s="6">
        <v>7.0453590928181431E-2</v>
      </c>
      <c r="AE35" s="6">
        <v>7.0000000000000007E-2</v>
      </c>
      <c r="AF35" s="6">
        <v>0.41758601452349497</v>
      </c>
      <c r="AG35" s="6">
        <v>0.41799999999999998</v>
      </c>
      <c r="AH35" s="7">
        <v>253</v>
      </c>
    </row>
    <row r="36" spans="2:34" x14ac:dyDescent="0.25">
      <c r="B36" s="3">
        <v>32</v>
      </c>
      <c r="C36" s="3" t="s">
        <v>68</v>
      </c>
      <c r="D36" s="3" t="s">
        <v>69</v>
      </c>
      <c r="E36" s="3" t="s">
        <v>65</v>
      </c>
      <c r="F36" s="3">
        <v>4302</v>
      </c>
      <c r="G36" s="3">
        <v>4</v>
      </c>
      <c r="H36" s="3">
        <v>0.51100000000000001</v>
      </c>
      <c r="I36" s="4">
        <v>12954</v>
      </c>
      <c r="J36" s="4">
        <v>1258</v>
      </c>
      <c r="K36" s="18">
        <v>0</v>
      </c>
      <c r="L36" s="18">
        <v>1155</v>
      </c>
      <c r="M36" s="18">
        <v>0</v>
      </c>
      <c r="N36" s="18">
        <v>0</v>
      </c>
      <c r="O36" s="18">
        <v>103</v>
      </c>
      <c r="P36" s="18">
        <v>0</v>
      </c>
      <c r="Q36" s="6">
        <v>9.711286089238845E-2</v>
      </c>
      <c r="R36" s="3">
        <v>9.7000000000000003E-2</v>
      </c>
      <c r="S36" s="6">
        <v>0.43216212723127384</v>
      </c>
      <c r="T36" s="25">
        <v>0.432</v>
      </c>
      <c r="U36" s="7">
        <v>240</v>
      </c>
      <c r="V36" s="4">
        <v>13870</v>
      </c>
      <c r="W36" s="4">
        <v>1016</v>
      </c>
      <c r="X36" s="18">
        <v>0</v>
      </c>
      <c r="Y36" s="18">
        <v>935</v>
      </c>
      <c r="Z36" s="18">
        <v>0</v>
      </c>
      <c r="AA36" s="18">
        <v>0</v>
      </c>
      <c r="AB36" s="18">
        <v>81</v>
      </c>
      <c r="AC36" s="18">
        <v>0</v>
      </c>
      <c r="AD36" s="6">
        <v>7.3251622206200434E-2</v>
      </c>
      <c r="AE36" s="6">
        <v>7.2999999999999995E-2</v>
      </c>
      <c r="AF36" s="6">
        <v>0.42106631220146939</v>
      </c>
      <c r="AG36" s="6">
        <v>0.42199999999999999</v>
      </c>
      <c r="AH36" s="7">
        <v>249</v>
      </c>
    </row>
    <row r="37" spans="2:34" x14ac:dyDescent="0.25">
      <c r="B37" s="3">
        <v>33</v>
      </c>
      <c r="C37" s="3" t="s">
        <v>65</v>
      </c>
      <c r="D37" s="3" t="s">
        <v>70</v>
      </c>
      <c r="E37" s="3" t="s">
        <v>65</v>
      </c>
      <c r="F37" s="3">
        <v>4102</v>
      </c>
      <c r="G37" s="3">
        <v>4</v>
      </c>
      <c r="H37" s="3">
        <v>0.57099999999999995</v>
      </c>
      <c r="I37" s="4">
        <v>263719</v>
      </c>
      <c r="J37" s="4">
        <v>70027</v>
      </c>
      <c r="K37" s="18">
        <v>0</v>
      </c>
      <c r="L37" s="18">
        <v>40669</v>
      </c>
      <c r="M37" s="18">
        <v>28241</v>
      </c>
      <c r="N37" s="18">
        <v>0</v>
      </c>
      <c r="O37" s="18">
        <v>1117</v>
      </c>
      <c r="P37" s="18">
        <v>0</v>
      </c>
      <c r="Q37" s="6">
        <v>0.26553642323837112</v>
      </c>
      <c r="R37" s="3">
        <v>0.26600000000000001</v>
      </c>
      <c r="S37" s="6">
        <v>0.6057552094432952</v>
      </c>
      <c r="T37" s="25">
        <v>0.60599999999999998</v>
      </c>
      <c r="U37" s="26">
        <v>52</v>
      </c>
      <c r="V37" s="4">
        <v>271095</v>
      </c>
      <c r="W37" s="4">
        <v>67369</v>
      </c>
      <c r="X37" s="18">
        <v>38</v>
      </c>
      <c r="Y37" s="18">
        <v>36175</v>
      </c>
      <c r="Z37" s="18">
        <v>29837</v>
      </c>
      <c r="AA37" s="18">
        <v>1</v>
      </c>
      <c r="AB37" s="18">
        <v>1318</v>
      </c>
      <c r="AC37" s="18">
        <v>0</v>
      </c>
      <c r="AD37" s="6">
        <v>0.24850698094763829</v>
      </c>
      <c r="AE37" s="6">
        <v>0.249</v>
      </c>
      <c r="AF37" s="6">
        <v>0.62524377597597081</v>
      </c>
      <c r="AG37" s="6">
        <v>0.625</v>
      </c>
      <c r="AH37" s="7">
        <v>41</v>
      </c>
    </row>
    <row r="38" spans="2:34" x14ac:dyDescent="0.25">
      <c r="B38" s="3">
        <v>34</v>
      </c>
      <c r="C38" s="3" t="s">
        <v>71</v>
      </c>
      <c r="D38" s="3" t="s">
        <v>72</v>
      </c>
      <c r="E38" s="3" t="s">
        <v>65</v>
      </c>
      <c r="F38" s="3">
        <v>4201</v>
      </c>
      <c r="G38" s="3">
        <v>4</v>
      </c>
      <c r="H38" s="3">
        <v>0.505</v>
      </c>
      <c r="I38" s="4">
        <v>32009</v>
      </c>
      <c r="J38" s="4">
        <v>4647</v>
      </c>
      <c r="K38" s="18">
        <v>0</v>
      </c>
      <c r="L38" s="18">
        <v>4505</v>
      </c>
      <c r="M38" s="18">
        <v>38</v>
      </c>
      <c r="N38" s="18">
        <v>0</v>
      </c>
      <c r="O38" s="18">
        <v>104</v>
      </c>
      <c r="P38" s="18">
        <v>0</v>
      </c>
      <c r="Q38" s="6">
        <v>0.1451779187103627</v>
      </c>
      <c r="R38" s="3">
        <v>0.14499999999999999</v>
      </c>
      <c r="S38" s="6">
        <v>0.48170247311340797</v>
      </c>
      <c r="T38" s="25">
        <v>0.48199999999999998</v>
      </c>
      <c r="U38" s="7">
        <v>185</v>
      </c>
      <c r="V38" s="4">
        <v>32987</v>
      </c>
      <c r="W38" s="4">
        <v>4087</v>
      </c>
      <c r="X38" s="18">
        <v>4</v>
      </c>
      <c r="Y38" s="18">
        <v>4007</v>
      </c>
      <c r="Z38" s="18">
        <v>10</v>
      </c>
      <c r="AA38" s="18">
        <v>0</v>
      </c>
      <c r="AB38" s="18">
        <v>66</v>
      </c>
      <c r="AC38" s="18">
        <v>0</v>
      </c>
      <c r="AD38" s="6">
        <v>0.12389729287294995</v>
      </c>
      <c r="AE38" s="6">
        <v>0.124</v>
      </c>
      <c r="AF38" s="6">
        <v>0.48023137272703514</v>
      </c>
      <c r="AG38" s="6">
        <v>0.48</v>
      </c>
      <c r="AH38" s="7">
        <v>187</v>
      </c>
    </row>
    <row r="39" spans="2:34" x14ac:dyDescent="0.25">
      <c r="B39" s="3">
        <v>35</v>
      </c>
      <c r="C39" s="3" t="s">
        <v>73</v>
      </c>
      <c r="D39" s="3" t="s">
        <v>74</v>
      </c>
      <c r="E39" s="3" t="s">
        <v>65</v>
      </c>
      <c r="F39" s="3">
        <v>4104</v>
      </c>
      <c r="G39" s="3">
        <v>4</v>
      </c>
      <c r="H39" s="3"/>
      <c r="I39" s="4">
        <v>4335</v>
      </c>
      <c r="J39" s="4">
        <v>283</v>
      </c>
      <c r="K39" s="18">
        <v>0</v>
      </c>
      <c r="L39" s="18">
        <v>227</v>
      </c>
      <c r="M39" s="18">
        <v>0</v>
      </c>
      <c r="N39" s="18">
        <v>0</v>
      </c>
      <c r="O39" s="18">
        <v>56</v>
      </c>
      <c r="P39" s="18">
        <v>0</v>
      </c>
      <c r="Q39" s="6">
        <v>6.5282583621683973E-2</v>
      </c>
      <c r="R39" s="3">
        <v>6.5000000000000002E-2</v>
      </c>
      <c r="S39" s="6">
        <v>0.39935486521805214</v>
      </c>
      <c r="T39" s="25">
        <v>0.39900000000000002</v>
      </c>
      <c r="U39" s="26">
        <v>286</v>
      </c>
      <c r="V39" s="4">
        <v>4517</v>
      </c>
      <c r="W39" s="4">
        <v>244</v>
      </c>
      <c r="X39" s="18">
        <v>0</v>
      </c>
      <c r="Y39" s="18">
        <v>182</v>
      </c>
      <c r="Z39" s="18">
        <v>0</v>
      </c>
      <c r="AA39" s="18">
        <v>0</v>
      </c>
      <c r="AB39" s="18">
        <v>62</v>
      </c>
      <c r="AC39" s="18">
        <v>0</v>
      </c>
      <c r="AD39" s="6">
        <v>5.4018153641797656E-2</v>
      </c>
      <c r="AE39" s="6">
        <v>5.3999999999999999E-2</v>
      </c>
      <c r="AF39" s="6">
        <v>0.39902442690763118</v>
      </c>
      <c r="AG39" s="6">
        <v>0.39900000000000002</v>
      </c>
      <c r="AH39" s="7">
        <v>282</v>
      </c>
    </row>
    <row r="40" spans="2:34" x14ac:dyDescent="0.25">
      <c r="B40" s="3">
        <v>36</v>
      </c>
      <c r="C40" s="3" t="s">
        <v>75</v>
      </c>
      <c r="D40" s="3" t="s">
        <v>76</v>
      </c>
      <c r="E40" s="3" t="s">
        <v>65</v>
      </c>
      <c r="F40" s="3">
        <v>4101</v>
      </c>
      <c r="G40" s="3">
        <v>4</v>
      </c>
      <c r="H40" s="3">
        <v>0.61499999999999999</v>
      </c>
      <c r="I40" s="4">
        <v>250141</v>
      </c>
      <c r="J40" s="4">
        <v>71815</v>
      </c>
      <c r="K40" s="18">
        <v>5</v>
      </c>
      <c r="L40" s="18">
        <v>42408</v>
      </c>
      <c r="M40" s="18">
        <v>27858</v>
      </c>
      <c r="N40" s="18">
        <v>0</v>
      </c>
      <c r="O40" s="18">
        <v>1544</v>
      </c>
      <c r="P40" s="18">
        <v>0</v>
      </c>
      <c r="Q40" s="6">
        <v>0.28709807668474979</v>
      </c>
      <c r="R40" s="3">
        <v>0.28699999999999998</v>
      </c>
      <c r="S40" s="6">
        <v>0.6279786669406221</v>
      </c>
      <c r="T40" s="25">
        <v>0.628</v>
      </c>
      <c r="U40" s="7">
        <v>37</v>
      </c>
      <c r="V40" s="4">
        <v>263144</v>
      </c>
      <c r="W40" s="4">
        <v>68819</v>
      </c>
      <c r="X40" s="18">
        <v>112</v>
      </c>
      <c r="Y40" s="18">
        <v>37765</v>
      </c>
      <c r="Z40" s="18">
        <v>29229</v>
      </c>
      <c r="AA40" s="18">
        <v>0</v>
      </c>
      <c r="AB40" s="18">
        <v>1713</v>
      </c>
      <c r="AC40" s="18">
        <v>0</v>
      </c>
      <c r="AD40" s="6">
        <v>0.26152600857325264</v>
      </c>
      <c r="AE40" s="6">
        <v>0.26200000000000001</v>
      </c>
      <c r="AF40" s="6">
        <v>0.64032506591386018</v>
      </c>
      <c r="AG40" s="6">
        <v>0.64</v>
      </c>
      <c r="AH40" s="7">
        <v>32</v>
      </c>
    </row>
    <row r="41" spans="2:34" x14ac:dyDescent="0.25">
      <c r="B41" s="3">
        <v>37</v>
      </c>
      <c r="C41" s="3" t="s">
        <v>77</v>
      </c>
      <c r="D41" s="3" t="s">
        <v>78</v>
      </c>
      <c r="E41" s="3" t="s">
        <v>65</v>
      </c>
      <c r="F41" s="3">
        <v>4203</v>
      </c>
      <c r="G41" s="3">
        <v>4</v>
      </c>
      <c r="H41" s="3">
        <v>0.52200000000000002</v>
      </c>
      <c r="I41" s="4">
        <v>22879</v>
      </c>
      <c r="J41" s="4">
        <v>5185</v>
      </c>
      <c r="K41" s="18">
        <v>3</v>
      </c>
      <c r="L41" s="18">
        <v>4895</v>
      </c>
      <c r="M41" s="18">
        <v>43</v>
      </c>
      <c r="N41" s="18">
        <v>0</v>
      </c>
      <c r="O41" s="18">
        <v>244</v>
      </c>
      <c r="P41" s="18">
        <v>0</v>
      </c>
      <c r="Q41" s="6">
        <v>0.2266270378950129</v>
      </c>
      <c r="R41" s="3">
        <v>0.22700000000000001</v>
      </c>
      <c r="S41" s="6">
        <v>0.56565155628071906</v>
      </c>
      <c r="T41" s="25">
        <v>0.56599999999999995</v>
      </c>
      <c r="U41" s="26">
        <v>98</v>
      </c>
      <c r="V41" s="4">
        <v>24170</v>
      </c>
      <c r="W41" s="4">
        <v>4611</v>
      </c>
      <c r="X41" s="18">
        <v>8</v>
      </c>
      <c r="Y41" s="18">
        <v>4385</v>
      </c>
      <c r="Z41" s="18">
        <v>0</v>
      </c>
      <c r="AA41" s="18">
        <v>0</v>
      </c>
      <c r="AB41" s="18">
        <v>218</v>
      </c>
      <c r="AC41" s="18">
        <v>0</v>
      </c>
      <c r="AD41" s="6">
        <v>0.1907736863880844</v>
      </c>
      <c r="AE41" s="6">
        <v>0.191</v>
      </c>
      <c r="AF41" s="6">
        <v>0.55795802086846469</v>
      </c>
      <c r="AG41" s="6">
        <v>0.55800000000000005</v>
      </c>
      <c r="AH41" s="7">
        <v>103</v>
      </c>
    </row>
    <row r="42" spans="2:34" x14ac:dyDescent="0.25">
      <c r="B42" s="3">
        <v>38</v>
      </c>
      <c r="C42" s="3" t="s">
        <v>79</v>
      </c>
      <c r="D42" s="3" t="s">
        <v>80</v>
      </c>
      <c r="E42" s="3" t="s">
        <v>65</v>
      </c>
      <c r="F42" s="3">
        <v>4303</v>
      </c>
      <c r="G42" s="3">
        <v>4</v>
      </c>
      <c r="H42" s="3">
        <v>0.49099999999999999</v>
      </c>
      <c r="I42" s="4">
        <v>29997</v>
      </c>
      <c r="J42" s="4">
        <v>1807</v>
      </c>
      <c r="K42" s="18">
        <v>0</v>
      </c>
      <c r="L42" s="18">
        <v>1587</v>
      </c>
      <c r="M42" s="18">
        <v>0</v>
      </c>
      <c r="N42" s="18">
        <v>0</v>
      </c>
      <c r="O42" s="18">
        <v>220</v>
      </c>
      <c r="P42" s="18">
        <v>0</v>
      </c>
      <c r="Q42" s="6">
        <v>6.023935726906024E-2</v>
      </c>
      <c r="R42" s="3">
        <v>0.06</v>
      </c>
      <c r="S42" s="6">
        <v>0.39415684426035252</v>
      </c>
      <c r="T42" s="25">
        <v>0.39400000000000002</v>
      </c>
      <c r="U42" s="7">
        <v>290</v>
      </c>
      <c r="V42" s="4">
        <v>32657</v>
      </c>
      <c r="W42" s="4">
        <v>1438</v>
      </c>
      <c r="X42" s="18">
        <v>0</v>
      </c>
      <c r="Y42" s="18">
        <v>1269</v>
      </c>
      <c r="Z42" s="18">
        <v>0</v>
      </c>
      <c r="AA42" s="18">
        <v>0</v>
      </c>
      <c r="AB42" s="18">
        <v>169</v>
      </c>
      <c r="AC42" s="18">
        <v>0</v>
      </c>
      <c r="AD42" s="6">
        <v>4.4033438466484977E-2</v>
      </c>
      <c r="AE42" s="6">
        <v>4.3999999999999997E-2</v>
      </c>
      <c r="AF42" s="6">
        <v>0.38742343464771634</v>
      </c>
      <c r="AG42" s="6">
        <v>0.38800000000000001</v>
      </c>
      <c r="AH42" s="7">
        <v>296</v>
      </c>
    </row>
    <row r="43" spans="2:34" x14ac:dyDescent="0.25">
      <c r="B43" s="3">
        <v>39</v>
      </c>
      <c r="C43" s="3" t="s">
        <v>81</v>
      </c>
      <c r="D43" s="3" t="s">
        <v>82</v>
      </c>
      <c r="E43" s="3" t="s">
        <v>65</v>
      </c>
      <c r="F43" s="3">
        <v>4301</v>
      </c>
      <c r="G43" s="3">
        <v>4</v>
      </c>
      <c r="H43" s="3">
        <v>0.52100000000000002</v>
      </c>
      <c r="I43" s="4">
        <v>118696</v>
      </c>
      <c r="J43" s="4">
        <v>19881</v>
      </c>
      <c r="K43" s="18">
        <v>0</v>
      </c>
      <c r="L43" s="18">
        <v>18921</v>
      </c>
      <c r="M43" s="18">
        <v>176</v>
      </c>
      <c r="N43" s="18">
        <v>0</v>
      </c>
      <c r="O43" s="18">
        <v>784</v>
      </c>
      <c r="P43" s="18">
        <v>0</v>
      </c>
      <c r="Q43" s="6">
        <v>0.16749511356743277</v>
      </c>
      <c r="R43" s="3">
        <v>0.16700000000000001</v>
      </c>
      <c r="S43" s="6">
        <v>0.50470466228220556</v>
      </c>
      <c r="T43" s="25">
        <v>0.505</v>
      </c>
      <c r="U43" s="26">
        <v>156</v>
      </c>
      <c r="V43" s="4">
        <v>123724</v>
      </c>
      <c r="W43" s="4">
        <v>18839</v>
      </c>
      <c r="X43" s="18">
        <v>26</v>
      </c>
      <c r="Y43" s="18">
        <v>17892</v>
      </c>
      <c r="Z43" s="18">
        <v>0</v>
      </c>
      <c r="AA43" s="18">
        <v>0</v>
      </c>
      <c r="AB43" s="18">
        <v>921</v>
      </c>
      <c r="AC43" s="18">
        <v>0</v>
      </c>
      <c r="AD43" s="6">
        <v>0.15226633474507775</v>
      </c>
      <c r="AE43" s="6">
        <v>0.152</v>
      </c>
      <c r="AF43" s="6">
        <v>0.51271415105479679</v>
      </c>
      <c r="AG43" s="6">
        <v>0.51300000000000001</v>
      </c>
      <c r="AH43" s="7">
        <v>147</v>
      </c>
    </row>
    <row r="44" spans="2:34" x14ac:dyDescent="0.25">
      <c r="B44" s="3">
        <v>40</v>
      </c>
      <c r="C44" s="3" t="s">
        <v>83</v>
      </c>
      <c r="D44" s="3" t="s">
        <v>84</v>
      </c>
      <c r="E44" s="3" t="s">
        <v>65</v>
      </c>
      <c r="F44" s="3">
        <v>4105</v>
      </c>
      <c r="G44" s="3">
        <v>4</v>
      </c>
      <c r="H44" s="3">
        <v>0.45100000000000001</v>
      </c>
      <c r="I44" s="4">
        <v>4649</v>
      </c>
      <c r="J44" s="4">
        <v>95</v>
      </c>
      <c r="K44" s="18">
        <v>0</v>
      </c>
      <c r="L44" s="18">
        <v>0</v>
      </c>
      <c r="M44" s="18">
        <v>0</v>
      </c>
      <c r="N44" s="18">
        <v>0</v>
      </c>
      <c r="O44" s="18">
        <v>95</v>
      </c>
      <c r="P44" s="18">
        <v>0</v>
      </c>
      <c r="Q44" s="6">
        <v>2.0434502043450205E-2</v>
      </c>
      <c r="R44" s="3">
        <v>0.02</v>
      </c>
      <c r="S44" s="6">
        <v>0.35313023605085248</v>
      </c>
      <c r="T44" s="25">
        <v>0.35299999999999998</v>
      </c>
      <c r="U44" s="7">
        <v>339</v>
      </c>
      <c r="V44" s="4">
        <v>4705</v>
      </c>
      <c r="W44" s="4">
        <v>71</v>
      </c>
      <c r="X44" s="18">
        <v>0</v>
      </c>
      <c r="Y44" s="18">
        <v>0</v>
      </c>
      <c r="Z44" s="18">
        <v>0</v>
      </c>
      <c r="AA44" s="18">
        <v>0</v>
      </c>
      <c r="AB44" s="18">
        <v>71</v>
      </c>
      <c r="AC44" s="18">
        <v>0</v>
      </c>
      <c r="AD44" s="6">
        <v>1.5090329436769395E-2</v>
      </c>
      <c r="AE44" s="6">
        <v>1.4999999999999999E-2</v>
      </c>
      <c r="AF44" s="6">
        <v>0.35378055709396328</v>
      </c>
      <c r="AG44" s="6">
        <v>0.35399999999999998</v>
      </c>
      <c r="AH44" s="7">
        <v>340</v>
      </c>
    </row>
    <row r="45" spans="2:34" x14ac:dyDescent="0.25">
      <c r="B45" s="3">
        <v>41</v>
      </c>
      <c r="C45" s="3" t="s">
        <v>85</v>
      </c>
      <c r="D45" s="3" t="s">
        <v>86</v>
      </c>
      <c r="E45" s="3" t="s">
        <v>65</v>
      </c>
      <c r="F45" s="3">
        <v>4304</v>
      </c>
      <c r="G45" s="3">
        <v>4</v>
      </c>
      <c r="H45" s="3">
        <v>0.48299999999999998</v>
      </c>
      <c r="I45" s="4">
        <v>12076</v>
      </c>
      <c r="J45" s="4">
        <v>981</v>
      </c>
      <c r="K45" s="18">
        <v>0</v>
      </c>
      <c r="L45" s="18">
        <v>834</v>
      </c>
      <c r="M45" s="18">
        <v>0</v>
      </c>
      <c r="N45" s="18">
        <v>0</v>
      </c>
      <c r="O45" s="18">
        <v>147</v>
      </c>
      <c r="P45" s="18">
        <v>0</v>
      </c>
      <c r="Q45" s="6">
        <v>8.1235508446505469E-2</v>
      </c>
      <c r="R45" s="3">
        <v>8.1000000000000003E-2</v>
      </c>
      <c r="S45" s="6">
        <v>0.41579744220706383</v>
      </c>
      <c r="T45" s="25">
        <v>0.41599999999999998</v>
      </c>
      <c r="U45" s="26">
        <v>261</v>
      </c>
      <c r="V45" s="4">
        <v>12438</v>
      </c>
      <c r="W45" s="4">
        <v>694</v>
      </c>
      <c r="X45" s="18">
        <v>3</v>
      </c>
      <c r="Y45" s="18">
        <v>561</v>
      </c>
      <c r="Z45" s="18">
        <v>0</v>
      </c>
      <c r="AA45" s="18">
        <v>0</v>
      </c>
      <c r="AB45" s="18">
        <v>130</v>
      </c>
      <c r="AC45" s="18">
        <v>0</v>
      </c>
      <c r="AD45" s="6">
        <v>5.5796751889371284E-2</v>
      </c>
      <c r="AE45" s="6">
        <v>5.6000000000000001E-2</v>
      </c>
      <c r="AF45" s="6">
        <v>0.40134462535961413</v>
      </c>
      <c r="AG45" s="6">
        <v>0.40100000000000002</v>
      </c>
      <c r="AH45" s="7">
        <v>277</v>
      </c>
    </row>
    <row r="46" spans="2:34" x14ac:dyDescent="0.25">
      <c r="B46" s="3">
        <v>42</v>
      </c>
      <c r="C46" s="3" t="s">
        <v>87</v>
      </c>
      <c r="D46" s="3" t="s">
        <v>88</v>
      </c>
      <c r="E46" s="3" t="s">
        <v>65</v>
      </c>
      <c r="F46" s="3">
        <v>4305</v>
      </c>
      <c r="G46" s="3">
        <v>4</v>
      </c>
      <c r="H46" s="3"/>
      <c r="I46" s="4">
        <v>4334</v>
      </c>
      <c r="J46" s="4">
        <v>48</v>
      </c>
      <c r="K46" s="18">
        <v>0</v>
      </c>
      <c r="L46" s="18">
        <v>0</v>
      </c>
      <c r="M46" s="18">
        <v>0</v>
      </c>
      <c r="N46" s="18">
        <v>0</v>
      </c>
      <c r="O46" s="18">
        <v>48</v>
      </c>
      <c r="P46" s="18">
        <v>0</v>
      </c>
      <c r="Q46" s="6">
        <v>1.1075219197046609E-2</v>
      </c>
      <c r="R46" s="3">
        <v>1.0999999999999999E-2</v>
      </c>
      <c r="S46" s="6">
        <v>0.34348368343095387</v>
      </c>
      <c r="T46" s="25">
        <v>0.34300000000000003</v>
      </c>
      <c r="U46" s="7">
        <v>344</v>
      </c>
      <c r="V46" s="4">
        <v>4326</v>
      </c>
      <c r="W46" s="4">
        <v>33</v>
      </c>
      <c r="X46" s="18">
        <v>0</v>
      </c>
      <c r="Y46" s="18">
        <v>0</v>
      </c>
      <c r="Z46" s="18">
        <v>0</v>
      </c>
      <c r="AA46" s="18">
        <v>0</v>
      </c>
      <c r="AB46" s="18">
        <v>33</v>
      </c>
      <c r="AC46" s="18">
        <v>0</v>
      </c>
      <c r="AD46" s="6">
        <v>7.6282940360610264E-3</v>
      </c>
      <c r="AE46" s="6">
        <v>8.0000000000000002E-3</v>
      </c>
      <c r="AF46" s="6">
        <v>0.34565986251202285</v>
      </c>
      <c r="AG46" s="6">
        <v>0.34599999999999997</v>
      </c>
      <c r="AH46" s="7">
        <v>342</v>
      </c>
    </row>
    <row r="47" spans="2:34" x14ac:dyDescent="0.25">
      <c r="B47" s="3">
        <v>43</v>
      </c>
      <c r="C47" s="3" t="s">
        <v>89</v>
      </c>
      <c r="D47" s="3" t="s">
        <v>90</v>
      </c>
      <c r="E47" s="3" t="s">
        <v>65</v>
      </c>
      <c r="F47" s="3">
        <v>4204</v>
      </c>
      <c r="G47" s="3">
        <v>4</v>
      </c>
      <c r="H47" s="3">
        <v>0.443</v>
      </c>
      <c r="I47" s="4">
        <v>27823</v>
      </c>
      <c r="J47" s="4">
        <v>1826</v>
      </c>
      <c r="K47" s="18">
        <v>0</v>
      </c>
      <c r="L47" s="18">
        <v>1610</v>
      </c>
      <c r="M47" s="18">
        <v>0</v>
      </c>
      <c r="N47" s="18">
        <v>0</v>
      </c>
      <c r="O47" s="18">
        <v>216</v>
      </c>
      <c r="P47" s="18">
        <v>0</v>
      </c>
      <c r="Q47" s="6">
        <v>6.562915573446429E-2</v>
      </c>
      <c r="R47" s="3">
        <v>6.6000000000000003E-2</v>
      </c>
      <c r="S47" s="6">
        <v>0.39971207486513627</v>
      </c>
      <c r="T47" s="25">
        <v>0.4</v>
      </c>
      <c r="U47" s="26">
        <v>284</v>
      </c>
      <c r="V47" s="4">
        <v>29743</v>
      </c>
      <c r="W47" s="4">
        <v>1608</v>
      </c>
      <c r="X47" s="18">
        <v>12</v>
      </c>
      <c r="Y47" s="18">
        <v>1407</v>
      </c>
      <c r="Z47" s="18">
        <v>0</v>
      </c>
      <c r="AA47" s="18">
        <v>0</v>
      </c>
      <c r="AB47" s="18">
        <v>189</v>
      </c>
      <c r="AC47" s="18">
        <v>0</v>
      </c>
      <c r="AD47" s="6">
        <v>5.4063140907104193E-2</v>
      </c>
      <c r="AE47" s="6">
        <v>5.3999999999999999E-2</v>
      </c>
      <c r="AF47" s="6">
        <v>0.39902442690763118</v>
      </c>
      <c r="AG47" s="6">
        <v>0.39900000000000002</v>
      </c>
      <c r="AH47" s="7">
        <v>283</v>
      </c>
    </row>
    <row r="48" spans="2:34" x14ac:dyDescent="0.25">
      <c r="B48" s="3">
        <v>44</v>
      </c>
      <c r="C48" s="3" t="s">
        <v>91</v>
      </c>
      <c r="D48" s="3" t="s">
        <v>92</v>
      </c>
      <c r="E48" s="3" t="s">
        <v>65</v>
      </c>
      <c r="F48" s="3">
        <v>4106</v>
      </c>
      <c r="G48" s="3">
        <v>4</v>
      </c>
      <c r="H48" s="3">
        <v>0.54100000000000004</v>
      </c>
      <c r="I48" s="4">
        <v>28047</v>
      </c>
      <c r="J48" s="4">
        <v>2809</v>
      </c>
      <c r="K48" s="18">
        <v>0</v>
      </c>
      <c r="L48" s="18">
        <v>2506</v>
      </c>
      <c r="M48" s="18">
        <v>0</v>
      </c>
      <c r="N48" s="18">
        <v>0</v>
      </c>
      <c r="O48" s="18">
        <v>303</v>
      </c>
      <c r="P48" s="18">
        <v>0</v>
      </c>
      <c r="Q48" s="6">
        <v>0.10015331407993724</v>
      </c>
      <c r="R48" s="3">
        <v>0.1</v>
      </c>
      <c r="S48" s="6">
        <v>0.43529590277191776</v>
      </c>
      <c r="T48" s="25">
        <v>0.435</v>
      </c>
      <c r="U48" s="7">
        <v>237</v>
      </c>
      <c r="V48" s="4">
        <v>30370</v>
      </c>
      <c r="W48" s="4">
        <v>2533</v>
      </c>
      <c r="X48" s="18">
        <v>4</v>
      </c>
      <c r="Y48" s="18">
        <v>2260</v>
      </c>
      <c r="Z48" s="18">
        <v>0</v>
      </c>
      <c r="AA48" s="18">
        <v>0</v>
      </c>
      <c r="AB48" s="18">
        <v>269</v>
      </c>
      <c r="AC48" s="18">
        <v>0</v>
      </c>
      <c r="AD48" s="6">
        <v>8.3404675666776423E-2</v>
      </c>
      <c r="AE48" s="6">
        <v>8.3000000000000004E-2</v>
      </c>
      <c r="AF48" s="6">
        <v>0.43266730446138424</v>
      </c>
      <c r="AG48" s="6">
        <v>0.433</v>
      </c>
      <c r="AH48" s="7">
        <v>238</v>
      </c>
    </row>
    <row r="49" spans="2:34" x14ac:dyDescent="0.25">
      <c r="B49" s="3">
        <v>45</v>
      </c>
      <c r="C49" s="3" t="s">
        <v>93</v>
      </c>
      <c r="D49" s="3" t="s">
        <v>94</v>
      </c>
      <c r="E49" s="3" t="s">
        <v>95</v>
      </c>
      <c r="F49" s="3">
        <v>5602</v>
      </c>
      <c r="G49" s="3">
        <v>5</v>
      </c>
      <c r="H49" s="3">
        <v>0.59699999999999998</v>
      </c>
      <c r="I49" s="4">
        <v>16076</v>
      </c>
      <c r="J49" s="4">
        <v>7327</v>
      </c>
      <c r="K49" s="18">
        <v>0</v>
      </c>
      <c r="L49" s="18">
        <v>6680</v>
      </c>
      <c r="M49" s="18">
        <v>0</v>
      </c>
      <c r="N49" s="18">
        <v>0</v>
      </c>
      <c r="O49" s="18">
        <v>647</v>
      </c>
      <c r="P49" s="18">
        <v>0</v>
      </c>
      <c r="Q49" s="6">
        <v>0.45577258024384176</v>
      </c>
      <c r="R49" s="3">
        <v>0.45600000000000002</v>
      </c>
      <c r="S49" s="6">
        <v>0.80183039264664679</v>
      </c>
      <c r="T49" s="25">
        <v>0.80200000000000005</v>
      </c>
      <c r="U49" s="26">
        <v>2</v>
      </c>
      <c r="V49" s="4">
        <v>15886</v>
      </c>
      <c r="W49" s="4">
        <v>6501</v>
      </c>
      <c r="X49" s="18">
        <v>14</v>
      </c>
      <c r="Y49" s="18">
        <v>5931</v>
      </c>
      <c r="Z49" s="18">
        <v>0</v>
      </c>
      <c r="AA49" s="18">
        <v>0</v>
      </c>
      <c r="AB49" s="18">
        <v>556</v>
      </c>
      <c r="AC49" s="18">
        <v>0</v>
      </c>
      <c r="AD49" s="6">
        <v>0.40922825129044443</v>
      </c>
      <c r="AE49" s="6">
        <v>0.40899999999999997</v>
      </c>
      <c r="AF49" s="6">
        <v>0.81085965213460842</v>
      </c>
      <c r="AG49" s="6">
        <v>0.81100000000000005</v>
      </c>
      <c r="AH49" s="7">
        <v>1</v>
      </c>
    </row>
    <row r="50" spans="2:34" x14ac:dyDescent="0.25">
      <c r="B50" s="3">
        <v>46</v>
      </c>
      <c r="C50" s="3" t="s">
        <v>96</v>
      </c>
      <c r="D50" s="3" t="s">
        <v>97</v>
      </c>
      <c r="E50" s="3" t="s">
        <v>95</v>
      </c>
      <c r="F50" s="3">
        <v>5402</v>
      </c>
      <c r="G50" s="3">
        <v>5</v>
      </c>
      <c r="H50" s="3">
        <v>0.47199999999999998</v>
      </c>
      <c r="I50" s="4">
        <v>20015</v>
      </c>
      <c r="J50" s="4">
        <v>2338</v>
      </c>
      <c r="K50" s="18">
        <v>0</v>
      </c>
      <c r="L50" s="18">
        <v>2209</v>
      </c>
      <c r="M50" s="18">
        <v>18</v>
      </c>
      <c r="N50" s="18">
        <v>0</v>
      </c>
      <c r="O50" s="18">
        <v>111</v>
      </c>
      <c r="P50" s="18">
        <v>0</v>
      </c>
      <c r="Q50" s="6">
        <v>0.11681239070696978</v>
      </c>
      <c r="R50" s="3">
        <v>0.11700000000000001</v>
      </c>
      <c r="S50" s="6">
        <v>0.45246630588067144</v>
      </c>
      <c r="T50" s="25">
        <v>0.45200000000000001</v>
      </c>
      <c r="U50" s="7">
        <v>217</v>
      </c>
      <c r="V50" s="4">
        <v>20748</v>
      </c>
      <c r="W50" s="4">
        <v>2140</v>
      </c>
      <c r="X50" s="18">
        <v>13</v>
      </c>
      <c r="Y50" s="18">
        <v>2045</v>
      </c>
      <c r="Z50" s="18">
        <v>0</v>
      </c>
      <c r="AA50" s="18">
        <v>0</v>
      </c>
      <c r="AB50" s="18">
        <v>82</v>
      </c>
      <c r="AC50" s="18">
        <v>0</v>
      </c>
      <c r="AD50" s="6">
        <v>0.1031424715635242</v>
      </c>
      <c r="AE50" s="6">
        <v>0.10299999999999999</v>
      </c>
      <c r="AF50" s="6">
        <v>0.45586928898121398</v>
      </c>
      <c r="AG50" s="6">
        <v>0.45600000000000002</v>
      </c>
      <c r="AH50" s="7">
        <v>210</v>
      </c>
    </row>
    <row r="51" spans="2:34" x14ac:dyDescent="0.25">
      <c r="B51" s="3">
        <v>47</v>
      </c>
      <c r="C51" s="3" t="s">
        <v>98</v>
      </c>
      <c r="D51" s="3" t="s">
        <v>99</v>
      </c>
      <c r="E51" s="3" t="s">
        <v>95</v>
      </c>
      <c r="F51" s="3">
        <v>5502</v>
      </c>
      <c r="G51" s="3">
        <v>5</v>
      </c>
      <c r="H51" s="3">
        <v>0.56200000000000006</v>
      </c>
      <c r="I51" s="4">
        <v>50631</v>
      </c>
      <c r="J51" s="4">
        <v>12764</v>
      </c>
      <c r="K51" s="18">
        <v>2</v>
      </c>
      <c r="L51" s="18">
        <v>6059</v>
      </c>
      <c r="M51" s="18">
        <v>6569</v>
      </c>
      <c r="N51" s="18">
        <v>0</v>
      </c>
      <c r="O51" s="18">
        <v>134</v>
      </c>
      <c r="P51" s="18">
        <v>0</v>
      </c>
      <c r="Q51" s="6">
        <v>0.25209851671900613</v>
      </c>
      <c r="R51" s="3">
        <v>0.252</v>
      </c>
      <c r="S51" s="6">
        <v>0.59190484564216861</v>
      </c>
      <c r="T51" s="25">
        <v>0.59199999999999997</v>
      </c>
      <c r="U51" s="26">
        <v>65</v>
      </c>
      <c r="V51" s="4">
        <v>53855</v>
      </c>
      <c r="W51" s="4">
        <v>12492</v>
      </c>
      <c r="X51" s="18">
        <v>17</v>
      </c>
      <c r="Y51" s="18">
        <v>5244</v>
      </c>
      <c r="Z51" s="18">
        <v>7051</v>
      </c>
      <c r="AA51" s="18">
        <v>0</v>
      </c>
      <c r="AB51" s="18">
        <v>180</v>
      </c>
      <c r="AC51" s="18">
        <v>0</v>
      </c>
      <c r="AD51" s="6">
        <v>0.23195617862779686</v>
      </c>
      <c r="AE51" s="6">
        <v>0.23200000000000001</v>
      </c>
      <c r="AF51" s="6">
        <v>0.60552208913411554</v>
      </c>
      <c r="AG51" s="6">
        <v>0.60499999999999998</v>
      </c>
      <c r="AH51" s="7">
        <v>55</v>
      </c>
    </row>
    <row r="52" spans="2:34" x14ac:dyDescent="0.25">
      <c r="B52" s="3">
        <v>48</v>
      </c>
      <c r="C52" s="3" t="s">
        <v>100</v>
      </c>
      <c r="D52" s="3" t="s">
        <v>101</v>
      </c>
      <c r="E52" s="3" t="s">
        <v>95</v>
      </c>
      <c r="F52" s="3">
        <v>5302</v>
      </c>
      <c r="G52" s="3">
        <v>5</v>
      </c>
      <c r="H52" s="3">
        <v>0.56399999999999995</v>
      </c>
      <c r="I52" s="4">
        <v>16597</v>
      </c>
      <c r="J52" s="4">
        <v>3219</v>
      </c>
      <c r="K52" s="18">
        <v>0</v>
      </c>
      <c r="L52" s="18">
        <v>3171</v>
      </c>
      <c r="M52" s="18">
        <v>2</v>
      </c>
      <c r="N52" s="18">
        <v>0</v>
      </c>
      <c r="O52" s="18">
        <v>46</v>
      </c>
      <c r="P52" s="18">
        <v>0</v>
      </c>
      <c r="Q52" s="6">
        <v>0.19395071398445501</v>
      </c>
      <c r="R52" s="3">
        <v>0.19400000000000001</v>
      </c>
      <c r="S52" s="6">
        <v>0.53197227943856518</v>
      </c>
      <c r="T52" s="25">
        <v>0.53200000000000003</v>
      </c>
      <c r="U52" s="7">
        <v>122</v>
      </c>
      <c r="V52" s="4">
        <v>17388</v>
      </c>
      <c r="W52" s="4">
        <v>2844</v>
      </c>
      <c r="X52" s="18">
        <v>0</v>
      </c>
      <c r="Y52" s="18">
        <v>2810</v>
      </c>
      <c r="Z52" s="18">
        <v>0</v>
      </c>
      <c r="AA52" s="18">
        <v>0</v>
      </c>
      <c r="AB52" s="18">
        <v>34</v>
      </c>
      <c r="AC52" s="18">
        <v>0</v>
      </c>
      <c r="AD52" s="6">
        <v>0.16356107660455488</v>
      </c>
      <c r="AE52" s="6">
        <v>0.16400000000000001</v>
      </c>
      <c r="AF52" s="6">
        <v>0.52663534176669458</v>
      </c>
      <c r="AG52" s="6">
        <v>0.52600000000000002</v>
      </c>
      <c r="AH52" s="7">
        <v>131</v>
      </c>
    </row>
    <row r="53" spans="2:34" x14ac:dyDescent="0.25">
      <c r="B53" s="3">
        <v>49</v>
      </c>
      <c r="C53" s="3" t="s">
        <v>102</v>
      </c>
      <c r="D53" s="3" t="s">
        <v>103</v>
      </c>
      <c r="E53" s="3" t="s">
        <v>95</v>
      </c>
      <c r="F53" s="3">
        <v>5603</v>
      </c>
      <c r="G53" s="3">
        <v>5</v>
      </c>
      <c r="H53" s="3">
        <v>0.57199999999999995</v>
      </c>
      <c r="I53" s="4">
        <v>24599</v>
      </c>
      <c r="J53" s="4">
        <v>6590</v>
      </c>
      <c r="K53" s="18">
        <v>0</v>
      </c>
      <c r="L53" s="18">
        <v>6404</v>
      </c>
      <c r="M53" s="18">
        <v>0</v>
      </c>
      <c r="N53" s="18">
        <v>0</v>
      </c>
      <c r="O53" s="18">
        <v>186</v>
      </c>
      <c r="P53" s="18">
        <v>0</v>
      </c>
      <c r="Q53" s="6">
        <v>0.2678970689865442</v>
      </c>
      <c r="R53" s="3">
        <v>0.26800000000000002</v>
      </c>
      <c r="S53" s="6">
        <v>0.60818831182949373</v>
      </c>
      <c r="T53" s="25">
        <v>0.60799999999999998</v>
      </c>
      <c r="U53" s="26">
        <v>50</v>
      </c>
      <c r="V53" s="4">
        <v>26652</v>
      </c>
      <c r="W53" s="4">
        <v>6067</v>
      </c>
      <c r="X53" s="18">
        <v>195</v>
      </c>
      <c r="Y53" s="18">
        <v>5675</v>
      </c>
      <c r="Z53" s="18">
        <v>0</v>
      </c>
      <c r="AA53" s="18">
        <v>0</v>
      </c>
      <c r="AB53" s="18">
        <v>197</v>
      </c>
      <c r="AC53" s="18">
        <v>0</v>
      </c>
      <c r="AD53" s="6">
        <v>0.22763770073540449</v>
      </c>
      <c r="AE53" s="6">
        <v>0.22800000000000001</v>
      </c>
      <c r="AF53" s="6">
        <v>0.60088169223014964</v>
      </c>
      <c r="AG53" s="6">
        <v>0.6</v>
      </c>
      <c r="AH53" s="7">
        <v>59</v>
      </c>
    </row>
    <row r="54" spans="2:34" x14ac:dyDescent="0.25">
      <c r="B54" s="3">
        <v>50</v>
      </c>
      <c r="C54" s="3" t="s">
        <v>104</v>
      </c>
      <c r="D54" s="3" t="s">
        <v>105</v>
      </c>
      <c r="E54" s="3" t="s">
        <v>95</v>
      </c>
      <c r="F54" s="3">
        <v>5102</v>
      </c>
      <c r="G54" s="3">
        <v>5</v>
      </c>
      <c r="H54" s="3">
        <v>0.56100000000000005</v>
      </c>
      <c r="I54" s="4">
        <v>29876</v>
      </c>
      <c r="J54" s="4">
        <v>5184</v>
      </c>
      <c r="K54" s="18">
        <v>0</v>
      </c>
      <c r="L54" s="18">
        <v>4303</v>
      </c>
      <c r="M54" s="18">
        <v>25</v>
      </c>
      <c r="N54" s="18">
        <v>0</v>
      </c>
      <c r="O54" s="18">
        <v>856</v>
      </c>
      <c r="P54" s="18">
        <v>0</v>
      </c>
      <c r="Q54" s="6">
        <v>0.17351720444503949</v>
      </c>
      <c r="R54" s="3">
        <v>0.17399999999999999</v>
      </c>
      <c r="S54" s="6">
        <v>0.51091159260859986</v>
      </c>
      <c r="T54" s="25">
        <v>0.51100000000000001</v>
      </c>
      <c r="U54" s="7">
        <v>148</v>
      </c>
      <c r="V54" s="4">
        <v>30212</v>
      </c>
      <c r="W54" s="4">
        <v>4799</v>
      </c>
      <c r="X54" s="18">
        <v>37</v>
      </c>
      <c r="Y54" s="18">
        <v>4168</v>
      </c>
      <c r="Z54" s="18">
        <v>0</v>
      </c>
      <c r="AA54" s="18">
        <v>0</v>
      </c>
      <c r="AB54" s="18">
        <v>594</v>
      </c>
      <c r="AC54" s="18">
        <v>0</v>
      </c>
      <c r="AD54" s="6">
        <v>0.15884416788031247</v>
      </c>
      <c r="AE54" s="6">
        <v>0.159</v>
      </c>
      <c r="AF54" s="6">
        <v>0.5208348456367371</v>
      </c>
      <c r="AG54" s="6">
        <v>0.52100000000000002</v>
      </c>
      <c r="AH54" s="7">
        <v>136</v>
      </c>
    </row>
    <row r="55" spans="2:34" x14ac:dyDescent="0.25">
      <c r="B55" s="3">
        <v>51</v>
      </c>
      <c r="C55" s="3" t="s">
        <v>106</v>
      </c>
      <c r="D55" s="3" t="s">
        <v>107</v>
      </c>
      <c r="E55" s="3" t="s">
        <v>95</v>
      </c>
      <c r="F55" s="3">
        <v>5702</v>
      </c>
      <c r="G55" s="3">
        <v>5</v>
      </c>
      <c r="H55" s="3">
        <v>0.51500000000000001</v>
      </c>
      <c r="I55" s="4">
        <v>13760</v>
      </c>
      <c r="J55" s="4">
        <v>1649</v>
      </c>
      <c r="K55" s="18">
        <v>0</v>
      </c>
      <c r="L55" s="18">
        <v>1571</v>
      </c>
      <c r="M55" s="18">
        <v>0</v>
      </c>
      <c r="N55" s="18">
        <v>0</v>
      </c>
      <c r="O55" s="18">
        <v>78</v>
      </c>
      <c r="P55" s="18">
        <v>0</v>
      </c>
      <c r="Q55" s="6">
        <v>0.11984011627906976</v>
      </c>
      <c r="R55" s="3">
        <v>0.12</v>
      </c>
      <c r="S55" s="6">
        <v>0.45558696314995123</v>
      </c>
      <c r="T55" s="25">
        <v>0.45600000000000002</v>
      </c>
      <c r="U55" s="26">
        <v>212</v>
      </c>
      <c r="V55" s="4">
        <v>15600</v>
      </c>
      <c r="W55" s="4">
        <v>1552</v>
      </c>
      <c r="X55" s="18">
        <v>1</v>
      </c>
      <c r="Y55" s="18">
        <v>1502</v>
      </c>
      <c r="Z55" s="18">
        <v>0</v>
      </c>
      <c r="AA55" s="18">
        <v>0</v>
      </c>
      <c r="AB55" s="18">
        <v>49</v>
      </c>
      <c r="AC55" s="18">
        <v>0</v>
      </c>
      <c r="AD55" s="6">
        <v>9.9487179487179486E-2</v>
      </c>
      <c r="AE55" s="6">
        <v>9.9000000000000005E-2</v>
      </c>
      <c r="AF55" s="6">
        <v>0.45122889207724803</v>
      </c>
      <c r="AG55" s="6">
        <v>0.45200000000000001</v>
      </c>
      <c r="AH55" s="7">
        <v>216</v>
      </c>
    </row>
    <row r="56" spans="2:34" x14ac:dyDescent="0.25">
      <c r="B56" s="3">
        <v>52</v>
      </c>
      <c r="C56" s="3" t="s">
        <v>108</v>
      </c>
      <c r="D56" s="3" t="s">
        <v>109</v>
      </c>
      <c r="E56" s="3" t="s">
        <v>95</v>
      </c>
      <c r="F56" s="3">
        <v>5103</v>
      </c>
      <c r="G56" s="3">
        <v>5</v>
      </c>
      <c r="H56" s="3">
        <v>0.622</v>
      </c>
      <c r="I56" s="4">
        <v>48294</v>
      </c>
      <c r="J56" s="4">
        <v>19140</v>
      </c>
      <c r="K56" s="18">
        <v>0</v>
      </c>
      <c r="L56" s="18">
        <v>10937</v>
      </c>
      <c r="M56" s="18">
        <v>7895</v>
      </c>
      <c r="N56" s="18">
        <v>0</v>
      </c>
      <c r="O56" s="18">
        <v>308</v>
      </c>
      <c r="P56" s="18">
        <v>0</v>
      </c>
      <c r="Q56" s="6">
        <v>0.39632252453720956</v>
      </c>
      <c r="R56" s="3">
        <v>0.39600000000000002</v>
      </c>
      <c r="S56" s="6">
        <v>0.74055560268233867</v>
      </c>
      <c r="T56" s="25">
        <v>0.74099999999999999</v>
      </c>
      <c r="U56" s="7">
        <v>5</v>
      </c>
      <c r="V56" s="4">
        <v>47642</v>
      </c>
      <c r="W56" s="4">
        <v>18697</v>
      </c>
      <c r="X56" s="18">
        <v>2</v>
      </c>
      <c r="Y56" s="18">
        <v>10292</v>
      </c>
      <c r="Z56" s="18">
        <v>8135</v>
      </c>
      <c r="AA56" s="18">
        <v>1</v>
      </c>
      <c r="AB56" s="18">
        <v>267</v>
      </c>
      <c r="AC56" s="18">
        <v>0</v>
      </c>
      <c r="AD56" s="6">
        <v>0.392447840141052</v>
      </c>
      <c r="AE56" s="6">
        <v>0.39200000000000002</v>
      </c>
      <c r="AF56" s="6">
        <v>0.79113796529275326</v>
      </c>
      <c r="AG56" s="6">
        <v>0.79100000000000004</v>
      </c>
      <c r="AH56" s="7">
        <v>2</v>
      </c>
    </row>
    <row r="57" spans="2:34" x14ac:dyDescent="0.25">
      <c r="B57" s="3">
        <v>53</v>
      </c>
      <c r="C57" s="3" t="s">
        <v>110</v>
      </c>
      <c r="D57" s="3" t="s">
        <v>111</v>
      </c>
      <c r="E57" s="3" t="s">
        <v>95</v>
      </c>
      <c r="F57" s="3">
        <v>5604</v>
      </c>
      <c r="G57" s="3">
        <v>5</v>
      </c>
      <c r="H57" s="3">
        <v>0.55600000000000005</v>
      </c>
      <c r="I57" s="4">
        <v>18971</v>
      </c>
      <c r="J57" s="4">
        <v>7016</v>
      </c>
      <c r="K57" s="18">
        <v>0</v>
      </c>
      <c r="L57" s="18">
        <v>6816</v>
      </c>
      <c r="M57" s="18">
        <v>0</v>
      </c>
      <c r="N57" s="18">
        <v>0</v>
      </c>
      <c r="O57" s="18">
        <v>200</v>
      </c>
      <c r="P57" s="18">
        <v>0</v>
      </c>
      <c r="Q57" s="6">
        <v>0.36982763164830529</v>
      </c>
      <c r="R57" s="3">
        <v>0.37</v>
      </c>
      <c r="S57" s="6">
        <v>0.71324748702798546</v>
      </c>
      <c r="T57" s="25">
        <v>0.71299999999999997</v>
      </c>
      <c r="U57" s="26">
        <v>7</v>
      </c>
      <c r="V57" s="4">
        <v>18593</v>
      </c>
      <c r="W57" s="4">
        <v>6271</v>
      </c>
      <c r="X57" s="18">
        <v>99</v>
      </c>
      <c r="Y57" s="18">
        <v>6011</v>
      </c>
      <c r="Z57" s="18">
        <v>0</v>
      </c>
      <c r="AA57" s="18">
        <v>0</v>
      </c>
      <c r="AB57" s="18">
        <v>161</v>
      </c>
      <c r="AC57" s="18">
        <v>0</v>
      </c>
      <c r="AD57" s="6">
        <v>0.33727747001559727</v>
      </c>
      <c r="AE57" s="6">
        <v>0.33700000000000002</v>
      </c>
      <c r="AF57" s="6">
        <v>0.72733250786322157</v>
      </c>
      <c r="AG57" s="6">
        <v>0.72699999999999998</v>
      </c>
      <c r="AH57" s="7">
        <v>7</v>
      </c>
    </row>
    <row r="58" spans="2:34" x14ac:dyDescent="0.25">
      <c r="B58" s="3">
        <v>54</v>
      </c>
      <c r="C58" s="3" t="s">
        <v>112</v>
      </c>
      <c r="D58" s="3" t="s">
        <v>113</v>
      </c>
      <c r="E58" s="3" t="s">
        <v>95</v>
      </c>
      <c r="F58" s="3">
        <v>5605</v>
      </c>
      <c r="G58" s="3">
        <v>5</v>
      </c>
      <c r="H58" s="3">
        <v>0.60299999999999998</v>
      </c>
      <c r="I58" s="4">
        <v>16260</v>
      </c>
      <c r="J58" s="4">
        <v>5951</v>
      </c>
      <c r="K58" s="18">
        <v>0</v>
      </c>
      <c r="L58" s="18">
        <v>5680</v>
      </c>
      <c r="M58" s="18">
        <v>0</v>
      </c>
      <c r="N58" s="18">
        <v>0</v>
      </c>
      <c r="O58" s="18">
        <v>271</v>
      </c>
      <c r="P58" s="18">
        <v>0</v>
      </c>
      <c r="Q58" s="6">
        <v>0.365990159901599</v>
      </c>
      <c r="R58" s="3">
        <v>0.36599999999999999</v>
      </c>
      <c r="S58" s="6">
        <v>0.70929222958577653</v>
      </c>
      <c r="T58" s="25">
        <v>0.70899999999999996</v>
      </c>
      <c r="U58" s="7">
        <v>8</v>
      </c>
      <c r="V58" s="4">
        <v>15006</v>
      </c>
      <c r="W58" s="4">
        <v>5173</v>
      </c>
      <c r="X58" s="18">
        <v>0</v>
      </c>
      <c r="Y58" s="18">
        <v>4889</v>
      </c>
      <c r="Z58" s="18">
        <v>0</v>
      </c>
      <c r="AA58" s="18">
        <v>0</v>
      </c>
      <c r="AB58" s="18">
        <v>284</v>
      </c>
      <c r="AC58" s="18">
        <v>0</v>
      </c>
      <c r="AD58" s="6">
        <v>0.34472877515660405</v>
      </c>
      <c r="AE58" s="6">
        <v>0.34499999999999997</v>
      </c>
      <c r="AF58" s="6">
        <v>0.73661330167115335</v>
      </c>
      <c r="AG58" s="6">
        <v>0.73599999999999999</v>
      </c>
      <c r="AH58" s="7">
        <v>6</v>
      </c>
    </row>
    <row r="59" spans="2:34" x14ac:dyDescent="0.25">
      <c r="B59" s="3">
        <v>55</v>
      </c>
      <c r="C59" s="3" t="s">
        <v>114</v>
      </c>
      <c r="D59" s="3" t="s">
        <v>115</v>
      </c>
      <c r="E59" s="3" t="s">
        <v>95</v>
      </c>
      <c r="F59" s="3">
        <v>5503</v>
      </c>
      <c r="G59" s="3">
        <v>5</v>
      </c>
      <c r="H59" s="3">
        <v>0.47799999999999998</v>
      </c>
      <c r="I59" s="4">
        <v>19286</v>
      </c>
      <c r="J59" s="4">
        <v>2990</v>
      </c>
      <c r="K59" s="18">
        <v>0</v>
      </c>
      <c r="L59" s="18">
        <v>2810</v>
      </c>
      <c r="M59" s="18">
        <v>0</v>
      </c>
      <c r="N59" s="18">
        <v>0</v>
      </c>
      <c r="O59" s="18">
        <v>180</v>
      </c>
      <c r="P59" s="18">
        <v>0</v>
      </c>
      <c r="Q59" s="6">
        <v>0.15503474022607072</v>
      </c>
      <c r="R59" s="3">
        <v>0.155</v>
      </c>
      <c r="S59" s="6">
        <v>0.49186183563900615</v>
      </c>
      <c r="T59" s="25">
        <v>0.49199999999999999</v>
      </c>
      <c r="U59" s="26">
        <v>172</v>
      </c>
      <c r="V59" s="4">
        <v>19389</v>
      </c>
      <c r="W59" s="4">
        <v>2640</v>
      </c>
      <c r="X59" s="18">
        <v>1</v>
      </c>
      <c r="Y59" s="18">
        <v>2534</v>
      </c>
      <c r="Z59" s="18">
        <v>0</v>
      </c>
      <c r="AA59" s="18">
        <v>0</v>
      </c>
      <c r="AB59" s="18">
        <v>105</v>
      </c>
      <c r="AC59" s="18">
        <v>0</v>
      </c>
      <c r="AD59" s="6">
        <v>0.13615967816803343</v>
      </c>
      <c r="AE59" s="6">
        <v>0.13600000000000001</v>
      </c>
      <c r="AF59" s="6">
        <v>0.49415256343893299</v>
      </c>
      <c r="AG59" s="6">
        <v>0.49399999999999999</v>
      </c>
      <c r="AH59" s="7">
        <v>170</v>
      </c>
    </row>
    <row r="60" spans="2:34" x14ac:dyDescent="0.25">
      <c r="B60" s="3">
        <v>56</v>
      </c>
      <c r="C60" s="3" t="s">
        <v>116</v>
      </c>
      <c r="D60" s="3" t="s">
        <v>117</v>
      </c>
      <c r="E60" s="3" t="s">
        <v>95</v>
      </c>
      <c r="F60" s="3">
        <v>5201</v>
      </c>
      <c r="G60" s="3">
        <v>5</v>
      </c>
      <c r="H60" s="3">
        <v>0.39800000000000002</v>
      </c>
      <c r="I60" s="4">
        <v>4800</v>
      </c>
      <c r="J60" s="4">
        <v>1347</v>
      </c>
      <c r="K60" s="18">
        <v>0</v>
      </c>
      <c r="L60" s="18">
        <v>0</v>
      </c>
      <c r="M60" s="18">
        <v>0</v>
      </c>
      <c r="N60" s="18">
        <v>0</v>
      </c>
      <c r="O60" s="18">
        <v>1347</v>
      </c>
      <c r="P60" s="18">
        <v>0</v>
      </c>
      <c r="Q60" s="6">
        <v>0.28062500000000001</v>
      </c>
      <c r="R60" s="3">
        <v>0.28100000000000003</v>
      </c>
      <c r="S60" s="6">
        <v>0.62130690844407532</v>
      </c>
      <c r="T60" s="25">
        <v>0.621</v>
      </c>
      <c r="U60" s="7">
        <v>42</v>
      </c>
      <c r="V60" s="4">
        <v>8743</v>
      </c>
      <c r="W60" s="4">
        <v>949</v>
      </c>
      <c r="X60" s="18">
        <v>144</v>
      </c>
      <c r="Y60" s="18">
        <v>1</v>
      </c>
      <c r="Z60" s="18">
        <v>0</v>
      </c>
      <c r="AA60" s="18">
        <v>4</v>
      </c>
      <c r="AB60" s="18">
        <v>800</v>
      </c>
      <c r="AC60" s="18">
        <v>0</v>
      </c>
      <c r="AD60" s="6">
        <v>0.10854397803957452</v>
      </c>
      <c r="AE60" s="6">
        <v>0.109</v>
      </c>
      <c r="AF60" s="6">
        <v>0.46282988433716288</v>
      </c>
      <c r="AG60" s="6">
        <v>0.46200000000000002</v>
      </c>
      <c r="AH60" s="7">
        <v>202</v>
      </c>
    </row>
    <row r="61" spans="2:34" x14ac:dyDescent="0.25">
      <c r="B61" s="3">
        <v>57</v>
      </c>
      <c r="C61" s="3" t="s">
        <v>118</v>
      </c>
      <c r="D61" s="3" t="s">
        <v>119</v>
      </c>
      <c r="E61" s="3" t="s">
        <v>95</v>
      </c>
      <c r="F61" s="3">
        <v>5104</v>
      </c>
      <c r="G61" s="3">
        <v>5</v>
      </c>
      <c r="H61" s="3"/>
      <c r="I61" s="4">
        <v>904</v>
      </c>
      <c r="J61" s="4">
        <v>156</v>
      </c>
      <c r="K61" s="18">
        <v>0</v>
      </c>
      <c r="L61" s="18">
        <v>0</v>
      </c>
      <c r="M61" s="18">
        <v>0</v>
      </c>
      <c r="N61" s="18">
        <v>0</v>
      </c>
      <c r="O61" s="18">
        <v>156</v>
      </c>
      <c r="P61" s="18">
        <v>0</v>
      </c>
      <c r="Q61" s="6">
        <v>0.17256637168141592</v>
      </c>
      <c r="R61" s="3">
        <v>0.17299999999999999</v>
      </c>
      <c r="S61" s="6">
        <v>0.50993157539600509</v>
      </c>
      <c r="T61" s="25">
        <v>0.51</v>
      </c>
      <c r="U61" s="26">
        <v>149</v>
      </c>
      <c r="V61" s="4">
        <v>1087</v>
      </c>
      <c r="W61" s="4">
        <v>134</v>
      </c>
      <c r="X61" s="18">
        <v>0</v>
      </c>
      <c r="Y61" s="18">
        <v>0</v>
      </c>
      <c r="Z61" s="18">
        <v>0</v>
      </c>
      <c r="AA61" s="18">
        <v>0</v>
      </c>
      <c r="AB61" s="18">
        <v>134</v>
      </c>
      <c r="AC61" s="18">
        <v>0</v>
      </c>
      <c r="AD61" s="6">
        <v>0.12327506899724011</v>
      </c>
      <c r="AE61" s="6">
        <v>0.123</v>
      </c>
      <c r="AF61" s="6">
        <v>0.47907127350104367</v>
      </c>
      <c r="AG61" s="6">
        <v>0.48</v>
      </c>
      <c r="AH61" s="7">
        <v>188</v>
      </c>
    </row>
    <row r="62" spans="2:34" x14ac:dyDescent="0.25">
      <c r="B62" s="3">
        <v>58</v>
      </c>
      <c r="C62" s="3" t="s">
        <v>120</v>
      </c>
      <c r="D62" s="3" t="s">
        <v>121</v>
      </c>
      <c r="E62" s="3" t="s">
        <v>95</v>
      </c>
      <c r="F62" s="3">
        <v>5504</v>
      </c>
      <c r="G62" s="3">
        <v>5</v>
      </c>
      <c r="H62" s="3"/>
      <c r="I62" s="4">
        <v>24939</v>
      </c>
      <c r="J62" s="4">
        <v>6701</v>
      </c>
      <c r="K62" s="18">
        <v>0</v>
      </c>
      <c r="L62" s="18">
        <v>3937</v>
      </c>
      <c r="M62" s="18">
        <v>2652</v>
      </c>
      <c r="N62" s="18">
        <v>0</v>
      </c>
      <c r="O62" s="18">
        <v>112</v>
      </c>
      <c r="P62" s="18">
        <v>0</v>
      </c>
      <c r="Q62" s="6">
        <v>0.26869561730622721</v>
      </c>
      <c r="R62" s="3">
        <v>0.26900000000000002</v>
      </c>
      <c r="S62" s="6">
        <v>0.60901137044539122</v>
      </c>
      <c r="T62" s="25">
        <v>0.60899999999999999</v>
      </c>
      <c r="U62" s="7">
        <v>48</v>
      </c>
      <c r="V62" s="4">
        <v>27279</v>
      </c>
      <c r="W62" s="4">
        <v>6489</v>
      </c>
      <c r="X62" s="18">
        <v>0</v>
      </c>
      <c r="Y62" s="18">
        <v>3669</v>
      </c>
      <c r="Z62" s="18">
        <v>2743</v>
      </c>
      <c r="AA62" s="18">
        <v>0</v>
      </c>
      <c r="AB62" s="18">
        <v>77</v>
      </c>
      <c r="AC62" s="18">
        <v>0</v>
      </c>
      <c r="AD62" s="6">
        <v>0.23787528868360278</v>
      </c>
      <c r="AE62" s="6">
        <v>0.23799999999999999</v>
      </c>
      <c r="AF62" s="6">
        <v>0.61248268449006449</v>
      </c>
      <c r="AG62" s="6">
        <v>0.61199999999999999</v>
      </c>
      <c r="AH62" s="7">
        <v>51</v>
      </c>
    </row>
    <row r="63" spans="2:34" x14ac:dyDescent="0.25">
      <c r="B63" s="3">
        <v>59</v>
      </c>
      <c r="C63" s="3" t="s">
        <v>122</v>
      </c>
      <c r="D63" s="3" t="s">
        <v>123</v>
      </c>
      <c r="E63" s="3" t="s">
        <v>95</v>
      </c>
      <c r="F63" s="3">
        <v>5401</v>
      </c>
      <c r="G63" s="3">
        <v>5</v>
      </c>
      <c r="H63" s="3">
        <v>0.49299999999999999</v>
      </c>
      <c r="I63" s="4">
        <v>39270</v>
      </c>
      <c r="J63" s="4">
        <v>6919</v>
      </c>
      <c r="K63" s="18">
        <v>6</v>
      </c>
      <c r="L63" s="18">
        <v>6473</v>
      </c>
      <c r="M63" s="18">
        <v>81</v>
      </c>
      <c r="N63" s="18">
        <v>1</v>
      </c>
      <c r="O63" s="18">
        <v>358</v>
      </c>
      <c r="P63" s="18">
        <v>0</v>
      </c>
      <c r="Q63" s="6">
        <v>0.1761904761904762</v>
      </c>
      <c r="R63" s="3">
        <v>0.17599999999999999</v>
      </c>
      <c r="S63" s="6">
        <v>0.51366691659900077</v>
      </c>
      <c r="T63" s="25">
        <v>0.51400000000000001</v>
      </c>
      <c r="U63" s="26">
        <v>139</v>
      </c>
      <c r="V63" s="4">
        <v>38259</v>
      </c>
      <c r="W63" s="4">
        <v>6023</v>
      </c>
      <c r="X63" s="18">
        <v>15</v>
      </c>
      <c r="Y63" s="18">
        <v>5684</v>
      </c>
      <c r="Z63" s="18">
        <v>24</v>
      </c>
      <c r="AA63" s="18">
        <v>0</v>
      </c>
      <c r="AB63" s="18">
        <v>300</v>
      </c>
      <c r="AC63" s="18">
        <v>0</v>
      </c>
      <c r="AD63" s="6">
        <v>0.15742701063801981</v>
      </c>
      <c r="AE63" s="6">
        <v>0.157</v>
      </c>
      <c r="AF63" s="6">
        <v>0.51851464718475415</v>
      </c>
      <c r="AG63" s="6">
        <v>0.51900000000000002</v>
      </c>
      <c r="AH63" s="7">
        <v>138</v>
      </c>
    </row>
    <row r="64" spans="2:34" x14ac:dyDescent="0.25">
      <c r="B64" s="3">
        <v>60</v>
      </c>
      <c r="C64" s="3" t="s">
        <v>124</v>
      </c>
      <c r="D64" s="3" t="s">
        <v>125</v>
      </c>
      <c r="E64" s="3" t="s">
        <v>95</v>
      </c>
      <c r="F64" s="3">
        <v>5802</v>
      </c>
      <c r="G64" s="3">
        <v>5</v>
      </c>
      <c r="H64" s="3">
        <v>0.51300000000000001</v>
      </c>
      <c r="I64" s="4">
        <v>56145</v>
      </c>
      <c r="J64" s="4">
        <v>13429</v>
      </c>
      <c r="K64" s="18">
        <v>0</v>
      </c>
      <c r="L64" s="18">
        <v>8103</v>
      </c>
      <c r="M64" s="18">
        <v>4855</v>
      </c>
      <c r="N64" s="18">
        <v>0</v>
      </c>
      <c r="O64" s="18">
        <v>471</v>
      </c>
      <c r="P64" s="18">
        <v>0</v>
      </c>
      <c r="Q64" s="6">
        <v>0.23918425505387836</v>
      </c>
      <c r="R64" s="3">
        <v>0.23899999999999999</v>
      </c>
      <c r="S64" s="6">
        <v>0.57859419922360622</v>
      </c>
      <c r="T64" s="25">
        <v>0.57899999999999996</v>
      </c>
      <c r="U64" s="7">
        <v>77</v>
      </c>
      <c r="V64" s="4">
        <v>51289</v>
      </c>
      <c r="W64" s="4">
        <v>12882</v>
      </c>
      <c r="X64" s="18">
        <v>8</v>
      </c>
      <c r="Y64" s="18">
        <v>7574</v>
      </c>
      <c r="Z64" s="18">
        <v>5004</v>
      </c>
      <c r="AA64" s="18">
        <v>0</v>
      </c>
      <c r="AB64" s="18">
        <v>296</v>
      </c>
      <c r="AC64" s="18">
        <v>0</v>
      </c>
      <c r="AD64" s="6">
        <v>0.25116496714695158</v>
      </c>
      <c r="AE64" s="6">
        <v>0.251</v>
      </c>
      <c r="AF64" s="6">
        <v>0.62756397442795375</v>
      </c>
      <c r="AG64" s="6">
        <v>0.628</v>
      </c>
      <c r="AH64" s="7">
        <v>38</v>
      </c>
    </row>
    <row r="65" spans="2:34" x14ac:dyDescent="0.25">
      <c r="B65" s="3">
        <v>61</v>
      </c>
      <c r="C65" s="3" t="s">
        <v>126</v>
      </c>
      <c r="D65" s="3" t="s">
        <v>127</v>
      </c>
      <c r="E65" s="3" t="s">
        <v>95</v>
      </c>
      <c r="F65" s="3">
        <v>5703</v>
      </c>
      <c r="G65" s="3">
        <v>5</v>
      </c>
      <c r="H65" s="3">
        <v>0.53</v>
      </c>
      <c r="I65" s="4">
        <v>25484</v>
      </c>
      <c r="J65" s="4">
        <v>4054</v>
      </c>
      <c r="K65" s="18">
        <v>0</v>
      </c>
      <c r="L65" s="18">
        <v>3859</v>
      </c>
      <c r="M65" s="18">
        <v>9</v>
      </c>
      <c r="N65" s="18">
        <v>0</v>
      </c>
      <c r="O65" s="18">
        <v>186</v>
      </c>
      <c r="P65" s="18">
        <v>0</v>
      </c>
      <c r="Q65" s="6">
        <v>0.15908020718882437</v>
      </c>
      <c r="R65" s="3">
        <v>0.159</v>
      </c>
      <c r="S65" s="6">
        <v>0.49603147241232581</v>
      </c>
      <c r="T65" s="25">
        <v>0.496</v>
      </c>
      <c r="U65" s="26">
        <v>168</v>
      </c>
      <c r="V65" s="4">
        <v>27119</v>
      </c>
      <c r="W65" s="4">
        <v>3652</v>
      </c>
      <c r="X65" s="18">
        <v>0</v>
      </c>
      <c r="Y65" s="18">
        <v>3461</v>
      </c>
      <c r="Z65" s="18">
        <v>0</v>
      </c>
      <c r="AA65" s="18">
        <v>0</v>
      </c>
      <c r="AB65" s="18">
        <v>191</v>
      </c>
      <c r="AC65" s="18">
        <v>0</v>
      </c>
      <c r="AD65" s="6">
        <v>0.13466573251226077</v>
      </c>
      <c r="AE65" s="6">
        <v>0.13500000000000001</v>
      </c>
      <c r="AF65" s="6">
        <v>0.49299246421294152</v>
      </c>
      <c r="AG65" s="6">
        <v>0.49299999999999999</v>
      </c>
      <c r="AH65" s="7">
        <v>171</v>
      </c>
    </row>
    <row r="66" spans="2:34" x14ac:dyDescent="0.25">
      <c r="B66" s="3">
        <v>62</v>
      </c>
      <c r="C66" s="3" t="s">
        <v>128</v>
      </c>
      <c r="D66" s="3" t="s">
        <v>129</v>
      </c>
      <c r="E66" s="3" t="s">
        <v>95</v>
      </c>
      <c r="F66" s="3">
        <v>5301</v>
      </c>
      <c r="G66" s="3">
        <v>5</v>
      </c>
      <c r="H66" s="3">
        <v>0.59399999999999997</v>
      </c>
      <c r="I66" s="4">
        <v>63440</v>
      </c>
      <c r="J66" s="4">
        <v>19745</v>
      </c>
      <c r="K66" s="18">
        <v>0</v>
      </c>
      <c r="L66" s="18">
        <v>13264</v>
      </c>
      <c r="M66" s="18">
        <v>6251</v>
      </c>
      <c r="N66" s="18">
        <v>0</v>
      </c>
      <c r="O66" s="18">
        <v>230</v>
      </c>
      <c r="P66" s="18">
        <v>0</v>
      </c>
      <c r="Q66" s="6">
        <v>0.31123896595208073</v>
      </c>
      <c r="R66" s="3">
        <v>0.311</v>
      </c>
      <c r="S66" s="6">
        <v>0.65286052620593316</v>
      </c>
      <c r="T66" s="25">
        <v>0.65300000000000002</v>
      </c>
      <c r="U66" s="7">
        <v>23</v>
      </c>
      <c r="V66" s="4">
        <v>68788</v>
      </c>
      <c r="W66" s="4">
        <v>18954</v>
      </c>
      <c r="X66" s="18">
        <v>22</v>
      </c>
      <c r="Y66" s="18">
        <v>12225</v>
      </c>
      <c r="Z66" s="18">
        <v>6466</v>
      </c>
      <c r="AA66" s="18">
        <v>0</v>
      </c>
      <c r="AB66" s="18">
        <v>241</v>
      </c>
      <c r="AC66" s="18">
        <v>0</v>
      </c>
      <c r="AD66" s="6">
        <v>0.27554224574053615</v>
      </c>
      <c r="AE66" s="6">
        <v>0.27600000000000002</v>
      </c>
      <c r="AF66" s="6">
        <v>0.65656645507774092</v>
      </c>
      <c r="AG66" s="6">
        <v>0.65600000000000003</v>
      </c>
      <c r="AH66" s="7">
        <v>24</v>
      </c>
    </row>
    <row r="67" spans="2:34" x14ac:dyDescent="0.25">
      <c r="B67" s="3">
        <v>63</v>
      </c>
      <c r="C67" s="3" t="s">
        <v>130</v>
      </c>
      <c r="D67" s="3" t="s">
        <v>131</v>
      </c>
      <c r="E67" s="3" t="s">
        <v>95</v>
      </c>
      <c r="F67" s="3">
        <v>5506</v>
      </c>
      <c r="G67" s="3">
        <v>5</v>
      </c>
      <c r="H67" s="3">
        <v>0.49099999999999999</v>
      </c>
      <c r="I67" s="4">
        <v>22136</v>
      </c>
      <c r="J67" s="4">
        <v>4276</v>
      </c>
      <c r="K67" s="18">
        <v>0</v>
      </c>
      <c r="L67" s="18">
        <v>4022</v>
      </c>
      <c r="M67" s="18">
        <v>66</v>
      </c>
      <c r="N67" s="18">
        <v>0</v>
      </c>
      <c r="O67" s="18">
        <v>188</v>
      </c>
      <c r="P67" s="18">
        <v>0</v>
      </c>
      <c r="Q67" s="6">
        <v>0.19316949765088542</v>
      </c>
      <c r="R67" s="3">
        <v>0.193</v>
      </c>
      <c r="S67" s="6">
        <v>0.53116708478925523</v>
      </c>
      <c r="T67" s="25">
        <v>0.53100000000000003</v>
      </c>
      <c r="U67" s="26">
        <v>124</v>
      </c>
      <c r="V67" s="4">
        <v>23621</v>
      </c>
      <c r="W67" s="4">
        <v>4088</v>
      </c>
      <c r="X67" s="18">
        <v>103</v>
      </c>
      <c r="Y67" s="18">
        <v>3785</v>
      </c>
      <c r="Z67" s="18">
        <v>55</v>
      </c>
      <c r="AA67" s="18">
        <v>0</v>
      </c>
      <c r="AB67" s="18">
        <v>145</v>
      </c>
      <c r="AC67" s="18">
        <v>0</v>
      </c>
      <c r="AD67" s="6">
        <v>0.17306633927437451</v>
      </c>
      <c r="AE67" s="6">
        <v>0.17299999999999999</v>
      </c>
      <c r="AF67" s="6">
        <v>0.53707623480061795</v>
      </c>
      <c r="AG67" s="6">
        <v>0.53700000000000003</v>
      </c>
      <c r="AH67" s="7">
        <v>125</v>
      </c>
    </row>
    <row r="68" spans="2:34" x14ac:dyDescent="0.25">
      <c r="B68" s="3">
        <v>64</v>
      </c>
      <c r="C68" s="3" t="s">
        <v>132</v>
      </c>
      <c r="D68" s="3" t="s">
        <v>133</v>
      </c>
      <c r="E68" s="3" t="s">
        <v>95</v>
      </c>
      <c r="F68" s="3">
        <v>5803</v>
      </c>
      <c r="G68" s="3">
        <v>5</v>
      </c>
      <c r="H68" s="3">
        <v>0.43099999999999999</v>
      </c>
      <c r="I68" s="4">
        <v>19778</v>
      </c>
      <c r="J68" s="4">
        <v>3904</v>
      </c>
      <c r="K68" s="18">
        <v>0</v>
      </c>
      <c r="L68" s="18">
        <v>3625</v>
      </c>
      <c r="M68" s="18">
        <v>27</v>
      </c>
      <c r="N68" s="18">
        <v>0</v>
      </c>
      <c r="O68" s="18">
        <v>252</v>
      </c>
      <c r="P68" s="18">
        <v>0</v>
      </c>
      <c r="Q68" s="6">
        <v>0.19739104055010617</v>
      </c>
      <c r="R68" s="3">
        <v>0.19700000000000001</v>
      </c>
      <c r="S68" s="6">
        <v>0.53551820189756449</v>
      </c>
      <c r="T68" s="25">
        <v>0.53600000000000003</v>
      </c>
      <c r="U68" s="7">
        <v>120</v>
      </c>
      <c r="V68" s="4">
        <v>20013</v>
      </c>
      <c r="W68" s="4">
        <v>3620</v>
      </c>
      <c r="X68" s="18">
        <v>11</v>
      </c>
      <c r="Y68" s="18">
        <v>3416</v>
      </c>
      <c r="Z68" s="18">
        <v>0</v>
      </c>
      <c r="AA68" s="18">
        <v>0</v>
      </c>
      <c r="AB68" s="18">
        <v>193</v>
      </c>
      <c r="AC68" s="18">
        <v>0</v>
      </c>
      <c r="AD68" s="6">
        <v>0.18088242642282518</v>
      </c>
      <c r="AE68" s="6">
        <v>0.18099999999999999</v>
      </c>
      <c r="AF68" s="6">
        <v>0.54635702860854984</v>
      </c>
      <c r="AG68" s="6">
        <v>0.54600000000000004</v>
      </c>
      <c r="AH68" s="7">
        <v>118</v>
      </c>
    </row>
    <row r="69" spans="2:34" x14ac:dyDescent="0.25">
      <c r="B69" s="3">
        <v>65</v>
      </c>
      <c r="C69" s="3" t="s">
        <v>134</v>
      </c>
      <c r="D69" s="3" t="s">
        <v>135</v>
      </c>
      <c r="E69" s="3" t="s">
        <v>95</v>
      </c>
      <c r="F69" s="3">
        <v>5704</v>
      </c>
      <c r="G69" s="3">
        <v>5</v>
      </c>
      <c r="H69" s="3">
        <v>0.44500000000000001</v>
      </c>
      <c r="I69" s="4">
        <v>7269</v>
      </c>
      <c r="J69" s="4">
        <v>1269</v>
      </c>
      <c r="K69" s="18">
        <v>0</v>
      </c>
      <c r="L69" s="18">
        <v>1178</v>
      </c>
      <c r="M69" s="18">
        <v>0</v>
      </c>
      <c r="N69" s="18">
        <v>0</v>
      </c>
      <c r="O69" s="18">
        <v>91</v>
      </c>
      <c r="P69" s="18">
        <v>0</v>
      </c>
      <c r="Q69" s="6">
        <v>0.17457697069748246</v>
      </c>
      <c r="R69" s="3">
        <v>0.17499999999999999</v>
      </c>
      <c r="S69" s="6">
        <v>0.51200388686733278</v>
      </c>
      <c r="T69" s="25">
        <v>0.51200000000000001</v>
      </c>
      <c r="U69" s="26">
        <v>144</v>
      </c>
      <c r="V69" s="4">
        <v>7794</v>
      </c>
      <c r="W69" s="4">
        <v>1018</v>
      </c>
      <c r="X69" s="18">
        <v>0</v>
      </c>
      <c r="Y69" s="18">
        <v>947</v>
      </c>
      <c r="Z69" s="18">
        <v>1</v>
      </c>
      <c r="AA69" s="18">
        <v>0</v>
      </c>
      <c r="AB69" s="18">
        <v>70</v>
      </c>
      <c r="AC69" s="18">
        <v>0</v>
      </c>
      <c r="AD69" s="6">
        <v>0.13061329227610982</v>
      </c>
      <c r="AE69" s="6">
        <v>0.13100000000000001</v>
      </c>
      <c r="AF69" s="6">
        <v>0.48835206730897557</v>
      </c>
      <c r="AG69" s="6">
        <v>0.48799999999999999</v>
      </c>
      <c r="AH69" s="7">
        <v>177</v>
      </c>
    </row>
    <row r="70" spans="2:34" x14ac:dyDescent="0.25">
      <c r="B70" s="3">
        <v>66</v>
      </c>
      <c r="C70" s="3" t="s">
        <v>136</v>
      </c>
      <c r="D70" s="3" t="s">
        <v>137</v>
      </c>
      <c r="E70" s="3" t="s">
        <v>95</v>
      </c>
      <c r="F70" s="3">
        <v>5403</v>
      </c>
      <c r="G70" s="3">
        <v>5</v>
      </c>
      <c r="H70" s="3">
        <v>0.45200000000000001</v>
      </c>
      <c r="I70" s="4">
        <v>7561</v>
      </c>
      <c r="J70" s="4">
        <v>1664</v>
      </c>
      <c r="K70" s="18">
        <v>0</v>
      </c>
      <c r="L70" s="18">
        <v>1564</v>
      </c>
      <c r="M70" s="18">
        <v>0</v>
      </c>
      <c r="N70" s="18">
        <v>0</v>
      </c>
      <c r="O70" s="18">
        <v>100</v>
      </c>
      <c r="P70" s="18">
        <v>0</v>
      </c>
      <c r="Q70" s="6">
        <v>0.22007670942996957</v>
      </c>
      <c r="R70" s="3">
        <v>0.22</v>
      </c>
      <c r="S70" s="6">
        <v>0.55890017487119781</v>
      </c>
      <c r="T70" s="25">
        <v>0.55900000000000005</v>
      </c>
      <c r="U70" s="7">
        <v>103</v>
      </c>
      <c r="V70" s="4">
        <v>6385</v>
      </c>
      <c r="W70" s="4">
        <v>1384</v>
      </c>
      <c r="X70" s="18">
        <v>1</v>
      </c>
      <c r="Y70" s="18">
        <v>1312</v>
      </c>
      <c r="Z70" s="18">
        <v>0</v>
      </c>
      <c r="AA70" s="18">
        <v>0</v>
      </c>
      <c r="AB70" s="18">
        <v>71</v>
      </c>
      <c r="AC70" s="18">
        <v>0</v>
      </c>
      <c r="AD70" s="6">
        <v>0.21675802662490212</v>
      </c>
      <c r="AE70" s="6">
        <v>0.217</v>
      </c>
      <c r="AF70" s="6">
        <v>0.58812060074424333</v>
      </c>
      <c r="AG70" s="6">
        <v>0.58799999999999997</v>
      </c>
      <c r="AH70" s="7">
        <v>68</v>
      </c>
    </row>
    <row r="71" spans="2:34" x14ac:dyDescent="0.25">
      <c r="B71" s="3">
        <v>67</v>
      </c>
      <c r="C71" s="3" t="s">
        <v>138</v>
      </c>
      <c r="D71" s="3" t="s">
        <v>139</v>
      </c>
      <c r="E71" s="3" t="s">
        <v>95</v>
      </c>
      <c r="F71" s="3">
        <v>5404</v>
      </c>
      <c r="G71" s="3">
        <v>5</v>
      </c>
      <c r="H71" s="3">
        <v>0.41699999999999998</v>
      </c>
      <c r="I71" s="4">
        <v>10206</v>
      </c>
      <c r="J71" s="4">
        <v>300</v>
      </c>
      <c r="K71" s="18">
        <v>22</v>
      </c>
      <c r="L71" s="18">
        <v>196</v>
      </c>
      <c r="M71" s="18">
        <v>0</v>
      </c>
      <c r="N71" s="18">
        <v>0</v>
      </c>
      <c r="O71" s="18">
        <v>82</v>
      </c>
      <c r="P71" s="18">
        <v>0</v>
      </c>
      <c r="Q71" s="6">
        <v>2.9394473838918283E-2</v>
      </c>
      <c r="R71" s="3">
        <v>2.9000000000000001E-2</v>
      </c>
      <c r="S71" s="6">
        <v>0.36236522133938909</v>
      </c>
      <c r="T71" s="25">
        <v>0.36199999999999999</v>
      </c>
      <c r="U71" s="26">
        <v>327</v>
      </c>
      <c r="V71" s="4">
        <v>10615</v>
      </c>
      <c r="W71" s="4">
        <v>271</v>
      </c>
      <c r="X71" s="18">
        <v>33</v>
      </c>
      <c r="Y71" s="18">
        <v>178</v>
      </c>
      <c r="Z71" s="18">
        <v>0</v>
      </c>
      <c r="AA71" s="18">
        <v>0</v>
      </c>
      <c r="AB71" s="18">
        <v>60</v>
      </c>
      <c r="AC71" s="18">
        <v>0</v>
      </c>
      <c r="AD71" s="6">
        <v>2.5529910504003769E-2</v>
      </c>
      <c r="AE71" s="6">
        <v>2.5999999999999999E-2</v>
      </c>
      <c r="AF71" s="6">
        <v>0.36654164857986959</v>
      </c>
      <c r="AG71" s="6">
        <v>0.36599999999999999</v>
      </c>
      <c r="AH71" s="7">
        <v>323</v>
      </c>
    </row>
    <row r="72" spans="2:34" x14ac:dyDescent="0.25">
      <c r="B72" s="3">
        <v>68</v>
      </c>
      <c r="C72" s="3" t="s">
        <v>140</v>
      </c>
      <c r="D72" s="3" t="s">
        <v>141</v>
      </c>
      <c r="E72" s="3" t="s">
        <v>95</v>
      </c>
      <c r="F72" s="3">
        <v>5105</v>
      </c>
      <c r="G72" s="3">
        <v>5</v>
      </c>
      <c r="H72" s="3">
        <v>0.54400000000000004</v>
      </c>
      <c r="I72" s="4">
        <v>22539</v>
      </c>
      <c r="J72" s="4">
        <v>7521</v>
      </c>
      <c r="K72" s="18">
        <v>0</v>
      </c>
      <c r="L72" s="18">
        <v>6793</v>
      </c>
      <c r="M72" s="18">
        <v>0</v>
      </c>
      <c r="N72" s="18">
        <v>0</v>
      </c>
      <c r="O72" s="18">
        <v>728</v>
      </c>
      <c r="P72" s="18">
        <v>0</v>
      </c>
      <c r="Q72" s="6">
        <v>0.33368827365899106</v>
      </c>
      <c r="R72" s="3">
        <v>0.33400000000000002</v>
      </c>
      <c r="S72" s="6">
        <v>0.67599888323915613</v>
      </c>
      <c r="T72" s="25">
        <v>0.67600000000000005</v>
      </c>
      <c r="U72" s="7">
        <v>17</v>
      </c>
      <c r="V72" s="4">
        <v>20959</v>
      </c>
      <c r="W72" s="4">
        <v>6460</v>
      </c>
      <c r="X72" s="18">
        <v>36</v>
      </c>
      <c r="Y72" s="18">
        <v>5877</v>
      </c>
      <c r="Z72" s="18">
        <v>0</v>
      </c>
      <c r="AA72" s="18">
        <v>0</v>
      </c>
      <c r="AB72" s="18">
        <v>547</v>
      </c>
      <c r="AC72" s="18">
        <v>0</v>
      </c>
      <c r="AD72" s="6">
        <v>0.30822081206164414</v>
      </c>
      <c r="AE72" s="6">
        <v>0.308</v>
      </c>
      <c r="AF72" s="6">
        <v>0.6936896303094684</v>
      </c>
      <c r="AG72" s="6">
        <v>0.69399999999999995</v>
      </c>
      <c r="AH72" s="7">
        <v>14</v>
      </c>
    </row>
    <row r="73" spans="2:34" x14ac:dyDescent="0.25">
      <c r="B73" s="3">
        <v>69</v>
      </c>
      <c r="C73" s="3" t="s">
        <v>142</v>
      </c>
      <c r="D73" s="3" t="s">
        <v>143</v>
      </c>
      <c r="E73" s="3" t="s">
        <v>95</v>
      </c>
      <c r="F73" s="3">
        <v>5705</v>
      </c>
      <c r="G73" s="3">
        <v>5</v>
      </c>
      <c r="H73" s="3">
        <v>0.51200000000000001</v>
      </c>
      <c r="I73" s="4">
        <v>17336</v>
      </c>
      <c r="J73" s="4">
        <v>2525</v>
      </c>
      <c r="K73" s="18">
        <v>0</v>
      </c>
      <c r="L73" s="18">
        <v>2447</v>
      </c>
      <c r="M73" s="18">
        <v>1</v>
      </c>
      <c r="N73" s="18">
        <v>0</v>
      </c>
      <c r="O73" s="18">
        <v>77</v>
      </c>
      <c r="P73" s="18">
        <v>0</v>
      </c>
      <c r="Q73" s="6">
        <v>0.14565066912782648</v>
      </c>
      <c r="R73" s="3">
        <v>0.14599999999999999</v>
      </c>
      <c r="S73" s="6">
        <v>0.4821897339274025</v>
      </c>
      <c r="T73" s="25">
        <v>0.48199999999999998</v>
      </c>
      <c r="U73" s="26">
        <v>184</v>
      </c>
      <c r="V73" s="4">
        <v>17945</v>
      </c>
      <c r="W73" s="4">
        <v>2342</v>
      </c>
      <c r="X73" s="18">
        <v>0</v>
      </c>
      <c r="Y73" s="18">
        <v>2272</v>
      </c>
      <c r="Z73" s="18">
        <v>1</v>
      </c>
      <c r="AA73" s="18">
        <v>0</v>
      </c>
      <c r="AB73" s="18">
        <v>69</v>
      </c>
      <c r="AC73" s="18">
        <v>0</v>
      </c>
      <c r="AD73" s="6">
        <v>0.13050989133463362</v>
      </c>
      <c r="AE73" s="6">
        <v>0.13100000000000001</v>
      </c>
      <c r="AF73" s="6">
        <v>0.48835206730897557</v>
      </c>
      <c r="AG73" s="6">
        <v>0.48799999999999999</v>
      </c>
      <c r="AH73" s="7">
        <v>178</v>
      </c>
    </row>
    <row r="74" spans="2:34" x14ac:dyDescent="0.25">
      <c r="B74" s="3">
        <v>70</v>
      </c>
      <c r="C74" s="3" t="s">
        <v>144</v>
      </c>
      <c r="D74" s="3" t="s">
        <v>145</v>
      </c>
      <c r="E74" s="3" t="s">
        <v>95</v>
      </c>
      <c r="F74" s="3">
        <v>5501</v>
      </c>
      <c r="G74" s="3">
        <v>5</v>
      </c>
      <c r="H74" s="3">
        <v>0.57099999999999995</v>
      </c>
      <c r="I74" s="4">
        <v>96753</v>
      </c>
      <c r="J74" s="4">
        <v>25517</v>
      </c>
      <c r="K74" s="18">
        <v>2</v>
      </c>
      <c r="L74" s="18">
        <v>13657</v>
      </c>
      <c r="M74" s="18">
        <v>11253</v>
      </c>
      <c r="N74" s="18">
        <v>0</v>
      </c>
      <c r="O74" s="18">
        <v>605</v>
      </c>
      <c r="P74" s="18">
        <v>0</v>
      </c>
      <c r="Q74" s="6">
        <v>0.26373342428658542</v>
      </c>
      <c r="R74" s="3">
        <v>0.26400000000000001</v>
      </c>
      <c r="S74" s="6">
        <v>0.60389687002269454</v>
      </c>
      <c r="T74" s="25">
        <v>0.60399999999999998</v>
      </c>
      <c r="U74" s="7">
        <v>54</v>
      </c>
      <c r="V74" s="4">
        <v>100196</v>
      </c>
      <c r="W74" s="4">
        <v>24535</v>
      </c>
      <c r="X74" s="18">
        <v>19</v>
      </c>
      <c r="Y74" s="18">
        <v>12140</v>
      </c>
      <c r="Z74" s="18">
        <v>11716</v>
      </c>
      <c r="AA74" s="18">
        <v>0</v>
      </c>
      <c r="AB74" s="18">
        <v>660</v>
      </c>
      <c r="AC74" s="18">
        <v>0</v>
      </c>
      <c r="AD74" s="6">
        <v>0.2448700546928021</v>
      </c>
      <c r="AE74" s="6">
        <v>0.245</v>
      </c>
      <c r="AF74" s="6">
        <v>0.62060337907200491</v>
      </c>
      <c r="AG74" s="6">
        <v>0.62</v>
      </c>
      <c r="AH74" s="7">
        <v>45</v>
      </c>
    </row>
    <row r="75" spans="2:34" x14ac:dyDescent="0.25">
      <c r="B75" s="3">
        <v>71</v>
      </c>
      <c r="C75" s="3" t="s">
        <v>146</v>
      </c>
      <c r="D75" s="3" t="s">
        <v>147</v>
      </c>
      <c r="E75" s="3" t="s">
        <v>95</v>
      </c>
      <c r="F75" s="3">
        <v>5801</v>
      </c>
      <c r="G75" s="3">
        <v>5</v>
      </c>
      <c r="H75" s="3">
        <v>0.60299999999999998</v>
      </c>
      <c r="I75" s="4">
        <v>162559</v>
      </c>
      <c r="J75" s="4">
        <v>52845</v>
      </c>
      <c r="K75" s="18">
        <v>0</v>
      </c>
      <c r="L75" s="18">
        <v>28176</v>
      </c>
      <c r="M75" s="18">
        <v>24096</v>
      </c>
      <c r="N75" s="18">
        <v>0</v>
      </c>
      <c r="O75" s="18">
        <v>573</v>
      </c>
      <c r="P75" s="18">
        <v>0</v>
      </c>
      <c r="Q75" s="6">
        <v>0.325081970238498</v>
      </c>
      <c r="R75" s="3">
        <v>0.32500000000000001</v>
      </c>
      <c r="S75" s="6">
        <v>0.66712842166949626</v>
      </c>
      <c r="T75" s="25">
        <v>0.66700000000000004</v>
      </c>
      <c r="U75" s="26">
        <v>21</v>
      </c>
      <c r="V75" s="4">
        <v>172073</v>
      </c>
      <c r="W75" s="4">
        <v>51612</v>
      </c>
      <c r="X75" s="18">
        <v>6</v>
      </c>
      <c r="Y75" s="18">
        <v>25816</v>
      </c>
      <c r="Z75" s="18">
        <v>25266</v>
      </c>
      <c r="AA75" s="18">
        <v>0</v>
      </c>
      <c r="AB75" s="18">
        <v>524</v>
      </c>
      <c r="AC75" s="18">
        <v>0</v>
      </c>
      <c r="AD75" s="6">
        <v>0.29994246627884674</v>
      </c>
      <c r="AE75" s="6">
        <v>0.3</v>
      </c>
      <c r="AF75" s="6">
        <v>0.6844088365015365</v>
      </c>
      <c r="AG75" s="6">
        <v>0.68400000000000005</v>
      </c>
      <c r="AH75" s="7">
        <v>16</v>
      </c>
    </row>
    <row r="76" spans="2:34" x14ac:dyDescent="0.25">
      <c r="B76" s="3">
        <v>72</v>
      </c>
      <c r="C76" s="3" t="s">
        <v>148</v>
      </c>
      <c r="D76" s="3" t="s">
        <v>149</v>
      </c>
      <c r="E76" s="3" t="s">
        <v>95</v>
      </c>
      <c r="F76" s="3">
        <v>5107</v>
      </c>
      <c r="G76" s="3">
        <v>5</v>
      </c>
      <c r="H76" s="3">
        <v>0.53500000000000003</v>
      </c>
      <c r="I76" s="4">
        <v>35754</v>
      </c>
      <c r="J76" s="4">
        <v>8447</v>
      </c>
      <c r="K76" s="18">
        <v>0</v>
      </c>
      <c r="L76" s="18">
        <v>8117</v>
      </c>
      <c r="M76" s="18">
        <v>36</v>
      </c>
      <c r="N76" s="18">
        <v>0</v>
      </c>
      <c r="O76" s="18">
        <v>294</v>
      </c>
      <c r="P76" s="18">
        <v>0</v>
      </c>
      <c r="Q76" s="6">
        <v>0.23625328634558371</v>
      </c>
      <c r="R76" s="3">
        <v>0.23599999999999999</v>
      </c>
      <c r="S76" s="6">
        <v>0.57557326863139679</v>
      </c>
      <c r="T76" s="25">
        <v>0.57599999999999996</v>
      </c>
      <c r="U76" s="7">
        <v>84</v>
      </c>
      <c r="V76" s="4">
        <v>38040</v>
      </c>
      <c r="W76" s="4">
        <v>7933</v>
      </c>
      <c r="X76" s="18">
        <v>2</v>
      </c>
      <c r="Y76" s="18">
        <v>7735</v>
      </c>
      <c r="Z76" s="18">
        <v>0</v>
      </c>
      <c r="AA76" s="18">
        <v>0</v>
      </c>
      <c r="AB76" s="18">
        <v>196</v>
      </c>
      <c r="AC76" s="18">
        <v>0</v>
      </c>
      <c r="AD76" s="6">
        <v>0.20854363827549949</v>
      </c>
      <c r="AE76" s="6">
        <v>0.20899999999999999</v>
      </c>
      <c r="AF76" s="6">
        <v>0.57883980693631143</v>
      </c>
      <c r="AG76" s="6">
        <v>0.57799999999999996</v>
      </c>
      <c r="AH76" s="7">
        <v>83</v>
      </c>
    </row>
    <row r="77" spans="2:34" x14ac:dyDescent="0.25">
      <c r="B77" s="3">
        <v>73</v>
      </c>
      <c r="C77" s="3" t="s">
        <v>150</v>
      </c>
      <c r="D77" s="3" t="s">
        <v>151</v>
      </c>
      <c r="E77" s="3" t="s">
        <v>95</v>
      </c>
      <c r="F77" s="3">
        <v>5303</v>
      </c>
      <c r="G77" s="3">
        <v>5</v>
      </c>
      <c r="H77" s="3">
        <v>0.47799999999999998</v>
      </c>
      <c r="I77" s="4">
        <v>11855</v>
      </c>
      <c r="J77" s="4">
        <v>2700</v>
      </c>
      <c r="K77" s="18">
        <v>0</v>
      </c>
      <c r="L77" s="18">
        <v>1804</v>
      </c>
      <c r="M77" s="18">
        <v>836</v>
      </c>
      <c r="N77" s="18">
        <v>0</v>
      </c>
      <c r="O77" s="18">
        <v>60</v>
      </c>
      <c r="P77" s="18">
        <v>0</v>
      </c>
      <c r="Q77" s="6">
        <v>0.22775200337410376</v>
      </c>
      <c r="R77" s="3">
        <v>0.22800000000000001</v>
      </c>
      <c r="S77" s="6">
        <v>0.56681105096292006</v>
      </c>
      <c r="T77" s="25">
        <v>0.56699999999999995</v>
      </c>
      <c r="U77" s="26">
        <v>95</v>
      </c>
      <c r="V77" s="4">
        <v>11847</v>
      </c>
      <c r="W77" s="4">
        <v>2421</v>
      </c>
      <c r="X77" s="18">
        <v>3</v>
      </c>
      <c r="Y77" s="18">
        <v>1561</v>
      </c>
      <c r="Z77" s="18">
        <v>819</v>
      </c>
      <c r="AA77" s="18">
        <v>0</v>
      </c>
      <c r="AB77" s="18">
        <v>38</v>
      </c>
      <c r="AC77" s="18">
        <v>0</v>
      </c>
      <c r="AD77" s="6">
        <v>0.20435553304634085</v>
      </c>
      <c r="AE77" s="6">
        <v>0.20399999999999999</v>
      </c>
      <c r="AF77" s="6">
        <v>0.57303931080635395</v>
      </c>
      <c r="AG77" s="6">
        <v>0.57299999999999995</v>
      </c>
      <c r="AH77" s="7">
        <v>92</v>
      </c>
    </row>
    <row r="78" spans="2:34" x14ac:dyDescent="0.25">
      <c r="B78" s="3">
        <v>74</v>
      </c>
      <c r="C78" s="3" t="s">
        <v>152</v>
      </c>
      <c r="D78" s="3" t="s">
        <v>153</v>
      </c>
      <c r="E78" s="3" t="s">
        <v>95</v>
      </c>
      <c r="F78" s="3">
        <v>5601</v>
      </c>
      <c r="G78" s="3">
        <v>5</v>
      </c>
      <c r="H78" s="3">
        <v>0.498</v>
      </c>
      <c r="I78" s="4">
        <v>96770</v>
      </c>
      <c r="J78" s="4">
        <v>23185</v>
      </c>
      <c r="K78" s="18">
        <v>0</v>
      </c>
      <c r="L78" s="18">
        <v>16066</v>
      </c>
      <c r="M78" s="18">
        <v>6566</v>
      </c>
      <c r="N78" s="18">
        <v>0</v>
      </c>
      <c r="O78" s="18">
        <v>553</v>
      </c>
      <c r="P78" s="18">
        <v>0</v>
      </c>
      <c r="Q78" s="6">
        <v>0.23958871551100547</v>
      </c>
      <c r="R78" s="3">
        <v>0.24</v>
      </c>
      <c r="S78" s="6">
        <v>0.5790110740148029</v>
      </c>
      <c r="T78" s="25">
        <v>0.57899999999999996</v>
      </c>
      <c r="U78" s="7">
        <v>76</v>
      </c>
      <c r="V78" s="4">
        <v>98169</v>
      </c>
      <c r="W78" s="4">
        <v>22046</v>
      </c>
      <c r="X78" s="18">
        <v>194</v>
      </c>
      <c r="Y78" s="18">
        <v>14148</v>
      </c>
      <c r="Z78" s="18">
        <v>6888</v>
      </c>
      <c r="AA78" s="18">
        <v>1</v>
      </c>
      <c r="AB78" s="18">
        <v>815</v>
      </c>
      <c r="AC78" s="18">
        <v>0</v>
      </c>
      <c r="AD78" s="6">
        <v>0.22457191170328719</v>
      </c>
      <c r="AE78" s="6">
        <v>0.22500000000000001</v>
      </c>
      <c r="AF78" s="6">
        <v>0.59740139455217522</v>
      </c>
      <c r="AG78" s="6">
        <v>0.59699999999999998</v>
      </c>
      <c r="AH78" s="7">
        <v>62</v>
      </c>
    </row>
    <row r="79" spans="2:34" x14ac:dyDescent="0.25">
      <c r="B79" s="3">
        <v>75</v>
      </c>
      <c r="C79" s="3" t="s">
        <v>154</v>
      </c>
      <c r="D79" s="3" t="s">
        <v>155</v>
      </c>
      <c r="E79" s="3" t="s">
        <v>95</v>
      </c>
      <c r="F79" s="3">
        <v>5304</v>
      </c>
      <c r="G79" s="3">
        <v>5</v>
      </c>
      <c r="H79" s="3">
        <v>0.48899999999999999</v>
      </c>
      <c r="I79" s="4">
        <v>20112</v>
      </c>
      <c r="J79" s="4">
        <v>3749</v>
      </c>
      <c r="K79" s="18">
        <v>0</v>
      </c>
      <c r="L79" s="18">
        <v>2218</v>
      </c>
      <c r="M79" s="18">
        <v>1424</v>
      </c>
      <c r="N79" s="18">
        <v>0</v>
      </c>
      <c r="O79" s="18">
        <v>107</v>
      </c>
      <c r="P79" s="18">
        <v>0</v>
      </c>
      <c r="Q79" s="6">
        <v>0.18640612569610182</v>
      </c>
      <c r="R79" s="3">
        <v>0.186</v>
      </c>
      <c r="S79" s="6">
        <v>0.52419612082540434</v>
      </c>
      <c r="T79" s="25">
        <v>0.52400000000000002</v>
      </c>
      <c r="U79" s="26">
        <v>131</v>
      </c>
      <c r="V79" s="4">
        <v>21493</v>
      </c>
      <c r="W79" s="4">
        <v>3542</v>
      </c>
      <c r="X79" s="18">
        <v>0</v>
      </c>
      <c r="Y79" s="18">
        <v>1976</v>
      </c>
      <c r="Z79" s="18">
        <v>1489</v>
      </c>
      <c r="AA79" s="18">
        <v>0</v>
      </c>
      <c r="AB79" s="18">
        <v>77</v>
      </c>
      <c r="AC79" s="18">
        <v>0</v>
      </c>
      <c r="AD79" s="6">
        <v>0.16479784115758619</v>
      </c>
      <c r="AE79" s="6">
        <v>0.16500000000000001</v>
      </c>
      <c r="AF79" s="6">
        <v>0.52779544099268605</v>
      </c>
      <c r="AG79" s="6">
        <v>0.52800000000000002</v>
      </c>
      <c r="AH79" s="7">
        <v>129</v>
      </c>
    </row>
    <row r="80" spans="2:34" x14ac:dyDescent="0.25">
      <c r="B80" s="3">
        <v>76</v>
      </c>
      <c r="C80" s="3" t="s">
        <v>156</v>
      </c>
      <c r="D80" s="3" t="s">
        <v>157</v>
      </c>
      <c r="E80" s="3" t="s">
        <v>95</v>
      </c>
      <c r="F80" s="3">
        <v>5701</v>
      </c>
      <c r="G80" s="3">
        <v>5</v>
      </c>
      <c r="H80" s="3">
        <v>0.55100000000000005</v>
      </c>
      <c r="I80" s="4">
        <v>80413</v>
      </c>
      <c r="J80" s="4">
        <v>18618</v>
      </c>
      <c r="K80" s="18">
        <v>0</v>
      </c>
      <c r="L80" s="18">
        <v>11023</v>
      </c>
      <c r="M80" s="18">
        <v>7260</v>
      </c>
      <c r="N80" s="18">
        <v>0</v>
      </c>
      <c r="O80" s="18">
        <v>335</v>
      </c>
      <c r="P80" s="18">
        <v>0</v>
      </c>
      <c r="Q80" s="6">
        <v>0.23152972778033404</v>
      </c>
      <c r="R80" s="3">
        <v>0.23200000000000001</v>
      </c>
      <c r="S80" s="6">
        <v>0.57070472720566534</v>
      </c>
      <c r="T80" s="25">
        <v>0.57099999999999995</v>
      </c>
      <c r="U80" s="7">
        <v>89</v>
      </c>
      <c r="V80" s="4">
        <v>86062</v>
      </c>
      <c r="W80" s="4">
        <v>17908</v>
      </c>
      <c r="X80" s="18">
        <v>17</v>
      </c>
      <c r="Y80" s="18">
        <v>9406</v>
      </c>
      <c r="Z80" s="18">
        <v>8047</v>
      </c>
      <c r="AA80" s="18">
        <v>0</v>
      </c>
      <c r="AB80" s="18">
        <v>438</v>
      </c>
      <c r="AC80" s="18">
        <v>0</v>
      </c>
      <c r="AD80" s="6">
        <v>0.20808254514187446</v>
      </c>
      <c r="AE80" s="6">
        <v>0.20799999999999999</v>
      </c>
      <c r="AF80" s="6">
        <v>0.57767970771031996</v>
      </c>
      <c r="AG80" s="6">
        <v>0.57799999999999996</v>
      </c>
      <c r="AH80" s="7">
        <v>84</v>
      </c>
    </row>
    <row r="81" spans="2:34" x14ac:dyDescent="0.25">
      <c r="B81" s="3">
        <v>77</v>
      </c>
      <c r="C81" s="3" t="s">
        <v>158</v>
      </c>
      <c r="D81" s="3" t="s">
        <v>159</v>
      </c>
      <c r="E81" s="3" t="s">
        <v>95</v>
      </c>
      <c r="F81" s="3">
        <v>5706</v>
      </c>
      <c r="G81" s="3">
        <v>5</v>
      </c>
      <c r="H81" s="3">
        <v>0.45400000000000001</v>
      </c>
      <c r="I81" s="4">
        <v>15134</v>
      </c>
      <c r="J81" s="4">
        <v>1817</v>
      </c>
      <c r="K81" s="18">
        <v>0</v>
      </c>
      <c r="L81" s="18">
        <v>1777</v>
      </c>
      <c r="M81" s="18">
        <v>0</v>
      </c>
      <c r="N81" s="18">
        <v>0</v>
      </c>
      <c r="O81" s="18">
        <v>40</v>
      </c>
      <c r="P81" s="18">
        <v>0</v>
      </c>
      <c r="Q81" s="6">
        <v>0.12006079027355623</v>
      </c>
      <c r="R81" s="3">
        <v>0.12</v>
      </c>
      <c r="S81" s="6">
        <v>0.45581441041643433</v>
      </c>
      <c r="T81" s="25">
        <v>0.45600000000000002</v>
      </c>
      <c r="U81" s="26">
        <v>210</v>
      </c>
      <c r="V81" s="4">
        <v>16827</v>
      </c>
      <c r="W81" s="4">
        <v>1581</v>
      </c>
      <c r="X81" s="18">
        <v>0</v>
      </c>
      <c r="Y81" s="18">
        <v>1551</v>
      </c>
      <c r="Z81" s="18">
        <v>0</v>
      </c>
      <c r="AA81" s="18">
        <v>0</v>
      </c>
      <c r="AB81" s="18">
        <v>30</v>
      </c>
      <c r="AC81" s="18">
        <v>0</v>
      </c>
      <c r="AD81" s="6">
        <v>9.3956141914779814E-2</v>
      </c>
      <c r="AE81" s="6">
        <v>9.4E-2</v>
      </c>
      <c r="AF81" s="6">
        <v>0.44542839594729061</v>
      </c>
      <c r="AG81" s="6">
        <v>0.44600000000000001</v>
      </c>
      <c r="AH81" s="7">
        <v>224</v>
      </c>
    </row>
    <row r="82" spans="2:34" x14ac:dyDescent="0.25">
      <c r="B82" s="3">
        <v>78</v>
      </c>
      <c r="C82" s="3" t="s">
        <v>160</v>
      </c>
      <c r="D82" s="3" t="s">
        <v>161</v>
      </c>
      <c r="E82" s="3" t="s">
        <v>95</v>
      </c>
      <c r="F82" s="3">
        <v>5606</v>
      </c>
      <c r="G82" s="3">
        <v>5</v>
      </c>
      <c r="H82" s="3">
        <v>0.67800000000000005</v>
      </c>
      <c r="I82" s="4">
        <v>13171</v>
      </c>
      <c r="J82" s="4">
        <v>4377</v>
      </c>
      <c r="K82" s="18">
        <v>0</v>
      </c>
      <c r="L82" s="18">
        <v>2537</v>
      </c>
      <c r="M82" s="18">
        <v>1426</v>
      </c>
      <c r="N82" s="18">
        <v>0</v>
      </c>
      <c r="O82" s="18">
        <v>414</v>
      </c>
      <c r="P82" s="18">
        <v>0</v>
      </c>
      <c r="Q82" s="6">
        <v>0.33232100827575733</v>
      </c>
      <c r="R82" s="3">
        <v>0.33200000000000002</v>
      </c>
      <c r="S82" s="6">
        <v>0.67458965160451245</v>
      </c>
      <c r="T82" s="25">
        <v>0.67500000000000004</v>
      </c>
      <c r="U82" s="7">
        <v>18</v>
      </c>
      <c r="V82" s="4">
        <v>12456</v>
      </c>
      <c r="W82" s="4">
        <v>4100</v>
      </c>
      <c r="X82" s="18">
        <v>34</v>
      </c>
      <c r="Y82" s="18">
        <v>2290</v>
      </c>
      <c r="Z82" s="18">
        <v>1462</v>
      </c>
      <c r="AA82" s="18">
        <v>0</v>
      </c>
      <c r="AB82" s="18">
        <v>314</v>
      </c>
      <c r="AC82" s="18">
        <v>0</v>
      </c>
      <c r="AD82" s="6">
        <v>0.32915863840719334</v>
      </c>
      <c r="AE82" s="6">
        <v>0.32900000000000001</v>
      </c>
      <c r="AF82" s="6">
        <v>0.71805171405528967</v>
      </c>
      <c r="AG82" s="6">
        <v>0.71799999999999997</v>
      </c>
      <c r="AH82" s="7">
        <v>8</v>
      </c>
    </row>
    <row r="83" spans="2:34" x14ac:dyDescent="0.25">
      <c r="B83" s="3">
        <v>79</v>
      </c>
      <c r="C83" s="3" t="s">
        <v>95</v>
      </c>
      <c r="D83" s="3" t="s">
        <v>162</v>
      </c>
      <c r="E83" s="3" t="s">
        <v>95</v>
      </c>
      <c r="F83" s="3">
        <v>5101</v>
      </c>
      <c r="G83" s="3">
        <v>5</v>
      </c>
      <c r="H83" s="3">
        <v>0.61599999999999999</v>
      </c>
      <c r="I83" s="4">
        <v>284938</v>
      </c>
      <c r="J83" s="4">
        <v>82175</v>
      </c>
      <c r="K83" s="18">
        <v>37</v>
      </c>
      <c r="L83" s="18">
        <v>49485</v>
      </c>
      <c r="M83" s="18">
        <v>31242</v>
      </c>
      <c r="N83" s="18">
        <v>0</v>
      </c>
      <c r="O83" s="18">
        <v>1411</v>
      </c>
      <c r="P83" s="18">
        <v>0</v>
      </c>
      <c r="Q83" s="6">
        <v>0.28839607212797169</v>
      </c>
      <c r="R83" s="3">
        <v>0.28799999999999998</v>
      </c>
      <c r="S83" s="6">
        <v>0.62931650249372106</v>
      </c>
      <c r="T83" s="25">
        <v>0.629</v>
      </c>
      <c r="U83" s="26">
        <v>36</v>
      </c>
      <c r="V83" s="4">
        <v>319745</v>
      </c>
      <c r="W83" s="4">
        <v>80299</v>
      </c>
      <c r="X83" s="18">
        <v>622</v>
      </c>
      <c r="Y83" s="18">
        <v>45186</v>
      </c>
      <c r="Z83" s="18">
        <v>32825</v>
      </c>
      <c r="AA83" s="18">
        <v>1</v>
      </c>
      <c r="AB83" s="18">
        <v>1665</v>
      </c>
      <c r="AC83" s="18">
        <v>0</v>
      </c>
      <c r="AD83" s="6">
        <v>0.25113449780293673</v>
      </c>
      <c r="AE83" s="6">
        <v>0.251</v>
      </c>
      <c r="AF83" s="6">
        <v>0.62756397442795375</v>
      </c>
      <c r="AG83" s="6">
        <v>0.628</v>
      </c>
      <c r="AH83" s="7">
        <v>37</v>
      </c>
    </row>
    <row r="84" spans="2:34" x14ac:dyDescent="0.25">
      <c r="B84" s="3">
        <v>80</v>
      </c>
      <c r="C84" s="3" t="s">
        <v>163</v>
      </c>
      <c r="D84" s="3" t="s">
        <v>164</v>
      </c>
      <c r="E84" s="3" t="s">
        <v>95</v>
      </c>
      <c r="F84" s="3">
        <v>5804</v>
      </c>
      <c r="G84" s="3">
        <v>5</v>
      </c>
      <c r="H84" s="3">
        <v>0.54500000000000004</v>
      </c>
      <c r="I84" s="4">
        <v>139571</v>
      </c>
      <c r="J84" s="4">
        <v>41083</v>
      </c>
      <c r="K84" s="18">
        <v>0</v>
      </c>
      <c r="L84" s="18">
        <v>26412</v>
      </c>
      <c r="M84" s="18">
        <v>14378</v>
      </c>
      <c r="N84" s="18">
        <v>0</v>
      </c>
      <c r="O84" s="18">
        <v>293</v>
      </c>
      <c r="P84" s="18">
        <v>0</v>
      </c>
      <c r="Q84" s="6">
        <v>0.29435197856288198</v>
      </c>
      <c r="R84" s="3">
        <v>0.29399999999999998</v>
      </c>
      <c r="S84" s="6">
        <v>0.6354552169408042</v>
      </c>
      <c r="T84" s="25">
        <v>0.63500000000000001</v>
      </c>
      <c r="U84" s="7">
        <v>33</v>
      </c>
      <c r="V84" s="4">
        <v>145490</v>
      </c>
      <c r="W84" s="4">
        <v>40082</v>
      </c>
      <c r="X84" s="18">
        <v>2</v>
      </c>
      <c r="Y84" s="18">
        <v>23676</v>
      </c>
      <c r="Z84" s="18">
        <v>16014</v>
      </c>
      <c r="AA84" s="18">
        <v>0</v>
      </c>
      <c r="AB84" s="18">
        <v>390</v>
      </c>
      <c r="AC84" s="18">
        <v>0</v>
      </c>
      <c r="AD84" s="6">
        <v>0.27549659770430956</v>
      </c>
      <c r="AE84" s="6">
        <v>0.27500000000000002</v>
      </c>
      <c r="AF84" s="6">
        <v>0.65540635585174944</v>
      </c>
      <c r="AG84" s="6">
        <v>0.65600000000000003</v>
      </c>
      <c r="AH84" s="7">
        <v>25</v>
      </c>
    </row>
    <row r="85" spans="2:34" x14ac:dyDescent="0.25">
      <c r="B85" s="3">
        <v>81</v>
      </c>
      <c r="C85" s="3" t="s">
        <v>165</v>
      </c>
      <c r="D85" s="3" t="s">
        <v>166</v>
      </c>
      <c r="E85" s="3" t="s">
        <v>95</v>
      </c>
      <c r="F85" s="3">
        <v>5109</v>
      </c>
      <c r="G85" s="3">
        <v>5</v>
      </c>
      <c r="H85" s="3">
        <v>0.64300000000000002</v>
      </c>
      <c r="I85" s="4">
        <v>334871</v>
      </c>
      <c r="J85" s="4">
        <v>114243</v>
      </c>
      <c r="K85" s="18">
        <v>2</v>
      </c>
      <c r="L85" s="18">
        <v>60570</v>
      </c>
      <c r="M85" s="18">
        <v>52464</v>
      </c>
      <c r="N85" s="18">
        <v>0</v>
      </c>
      <c r="O85" s="18">
        <v>1207</v>
      </c>
      <c r="P85" s="18">
        <v>0</v>
      </c>
      <c r="Q85" s="6">
        <v>0.34115525082793074</v>
      </c>
      <c r="R85" s="3">
        <v>0.34100000000000003</v>
      </c>
      <c r="S85" s="6">
        <v>0.6836950485708233</v>
      </c>
      <c r="T85" s="25">
        <v>0.68400000000000005</v>
      </c>
      <c r="U85" s="26">
        <v>13</v>
      </c>
      <c r="V85" s="4">
        <v>369303</v>
      </c>
      <c r="W85" s="4">
        <v>111896</v>
      </c>
      <c r="X85" s="18">
        <v>286</v>
      </c>
      <c r="Y85" s="18">
        <v>55089</v>
      </c>
      <c r="Z85" s="18">
        <v>55061</v>
      </c>
      <c r="AA85" s="18">
        <v>2</v>
      </c>
      <c r="AB85" s="18">
        <v>1458</v>
      </c>
      <c r="AC85" s="18">
        <v>0</v>
      </c>
      <c r="AD85" s="6">
        <v>0.30299239377963355</v>
      </c>
      <c r="AE85" s="6">
        <v>0.30299999999999999</v>
      </c>
      <c r="AF85" s="6">
        <v>0.68788913417951103</v>
      </c>
      <c r="AG85" s="6">
        <v>0.68799999999999994</v>
      </c>
      <c r="AH85" s="7">
        <v>15</v>
      </c>
    </row>
    <row r="86" spans="2:34" x14ac:dyDescent="0.25">
      <c r="B86" s="3">
        <v>82</v>
      </c>
      <c r="C86" s="3" t="s">
        <v>167</v>
      </c>
      <c r="D86" s="3" t="s">
        <v>168</v>
      </c>
      <c r="E86" s="3" t="s">
        <v>95</v>
      </c>
      <c r="F86" s="3">
        <v>5405</v>
      </c>
      <c r="G86" s="3">
        <v>5</v>
      </c>
      <c r="H86" s="3">
        <v>0.60699999999999998</v>
      </c>
      <c r="I86" s="4">
        <v>7980</v>
      </c>
      <c r="J86" s="4">
        <v>2587</v>
      </c>
      <c r="K86" s="18">
        <v>13</v>
      </c>
      <c r="L86" s="18">
        <v>2025</v>
      </c>
      <c r="M86" s="18">
        <v>1</v>
      </c>
      <c r="N86" s="18">
        <v>0</v>
      </c>
      <c r="O86" s="18">
        <v>548</v>
      </c>
      <c r="P86" s="18">
        <v>0</v>
      </c>
      <c r="Q86" s="6">
        <v>0.32418546365914785</v>
      </c>
      <c r="R86" s="3">
        <v>0.32400000000000001</v>
      </c>
      <c r="S86" s="6">
        <v>0.66620439810554244</v>
      </c>
      <c r="T86" s="25">
        <v>0.66600000000000004</v>
      </c>
      <c r="U86" s="7">
        <v>22</v>
      </c>
      <c r="V86" s="4">
        <v>8281</v>
      </c>
      <c r="W86" s="4">
        <v>2094</v>
      </c>
      <c r="X86" s="18">
        <v>27</v>
      </c>
      <c r="Y86" s="18">
        <v>1718</v>
      </c>
      <c r="Z86" s="18">
        <v>0</v>
      </c>
      <c r="AA86" s="18">
        <v>0</v>
      </c>
      <c r="AB86" s="18">
        <v>349</v>
      </c>
      <c r="AC86" s="18">
        <v>0</v>
      </c>
      <c r="AD86" s="6">
        <v>0.25286801110976936</v>
      </c>
      <c r="AE86" s="6">
        <v>0.253</v>
      </c>
      <c r="AF86" s="6">
        <v>0.6298841728799367</v>
      </c>
      <c r="AG86" s="6">
        <v>0.63</v>
      </c>
      <c r="AH86" s="7">
        <v>36</v>
      </c>
    </row>
    <row r="87" spans="2:34" x14ac:dyDescent="0.25">
      <c r="B87" s="3">
        <v>83</v>
      </c>
      <c r="C87" s="3" t="s">
        <v>169</v>
      </c>
      <c r="D87" s="3" t="s">
        <v>170</v>
      </c>
      <c r="E87" s="3" t="s">
        <v>704</v>
      </c>
      <c r="F87" s="3">
        <v>6302</v>
      </c>
      <c r="G87" s="3">
        <v>6</v>
      </c>
      <c r="H87" s="3">
        <v>0.53600000000000003</v>
      </c>
      <c r="I87" s="4">
        <v>15668</v>
      </c>
      <c r="J87" s="4">
        <v>1023</v>
      </c>
      <c r="K87" s="18">
        <v>0</v>
      </c>
      <c r="L87" s="18">
        <v>929</v>
      </c>
      <c r="M87" s="18">
        <v>0</v>
      </c>
      <c r="N87" s="18">
        <v>0</v>
      </c>
      <c r="O87" s="18">
        <v>94</v>
      </c>
      <c r="P87" s="18">
        <v>0</v>
      </c>
      <c r="Q87" s="6">
        <v>6.5292315547612972E-2</v>
      </c>
      <c r="R87" s="3">
        <v>6.5000000000000002E-2</v>
      </c>
      <c r="S87" s="6">
        <v>0.39936489585149998</v>
      </c>
      <c r="T87" s="25">
        <v>0.39900000000000002</v>
      </c>
      <c r="U87" s="26">
        <v>285</v>
      </c>
      <c r="V87" s="4">
        <v>16106</v>
      </c>
      <c r="W87" s="4">
        <v>993</v>
      </c>
      <c r="X87" s="18">
        <v>0</v>
      </c>
      <c r="Y87" s="18">
        <v>922</v>
      </c>
      <c r="Z87" s="18">
        <v>0</v>
      </c>
      <c r="AA87" s="18">
        <v>0</v>
      </c>
      <c r="AB87" s="18">
        <v>71</v>
      </c>
      <c r="AC87" s="18">
        <v>0</v>
      </c>
      <c r="AD87" s="6">
        <v>6.1654041971935927E-2</v>
      </c>
      <c r="AE87" s="6">
        <v>6.2E-2</v>
      </c>
      <c r="AF87" s="6">
        <v>0.40830522071556308</v>
      </c>
      <c r="AG87" s="6">
        <v>0.40799999999999997</v>
      </c>
      <c r="AH87" s="7">
        <v>270</v>
      </c>
    </row>
    <row r="88" spans="2:34" x14ac:dyDescent="0.25">
      <c r="B88" s="3">
        <v>84</v>
      </c>
      <c r="C88" s="3" t="s">
        <v>172</v>
      </c>
      <c r="D88" s="3" t="s">
        <v>173</v>
      </c>
      <c r="E88" s="3" t="s">
        <v>704</v>
      </c>
      <c r="F88" s="3">
        <v>6303</v>
      </c>
      <c r="G88" s="3">
        <v>6</v>
      </c>
      <c r="H88" s="3">
        <v>0.48199999999999998</v>
      </c>
      <c r="I88" s="4">
        <v>37258</v>
      </c>
      <c r="J88" s="4">
        <v>3487</v>
      </c>
      <c r="K88" s="18">
        <v>0</v>
      </c>
      <c r="L88" s="18">
        <v>3263</v>
      </c>
      <c r="M88" s="18">
        <v>9</v>
      </c>
      <c r="N88" s="18">
        <v>0</v>
      </c>
      <c r="O88" s="18">
        <v>215</v>
      </c>
      <c r="P88" s="18">
        <v>0</v>
      </c>
      <c r="Q88" s="6">
        <v>9.3590638252187455E-2</v>
      </c>
      <c r="R88" s="3">
        <v>9.4E-2</v>
      </c>
      <c r="S88" s="6">
        <v>0.4285317950150877</v>
      </c>
      <c r="T88" s="25">
        <v>0.42899999999999999</v>
      </c>
      <c r="U88" s="7">
        <v>242</v>
      </c>
      <c r="V88" s="4">
        <v>38288</v>
      </c>
      <c r="W88" s="4">
        <v>3389</v>
      </c>
      <c r="X88" s="18">
        <v>39</v>
      </c>
      <c r="Y88" s="18">
        <v>3050</v>
      </c>
      <c r="Z88" s="18">
        <v>42</v>
      </c>
      <c r="AA88" s="18">
        <v>0</v>
      </c>
      <c r="AB88" s="18">
        <v>258</v>
      </c>
      <c r="AC88" s="18">
        <v>0</v>
      </c>
      <c r="AD88" s="6">
        <v>8.8513372335979945E-2</v>
      </c>
      <c r="AE88" s="6">
        <v>8.8999999999999996E-2</v>
      </c>
      <c r="AF88" s="6">
        <v>0.43962789981733319</v>
      </c>
      <c r="AG88" s="6">
        <v>0.439</v>
      </c>
      <c r="AH88" s="7">
        <v>231</v>
      </c>
    </row>
    <row r="89" spans="2:34" x14ac:dyDescent="0.25">
      <c r="B89" s="3">
        <v>85</v>
      </c>
      <c r="C89" s="3" t="s">
        <v>174</v>
      </c>
      <c r="D89" s="3" t="s">
        <v>175</v>
      </c>
      <c r="E89" s="3" t="s">
        <v>704</v>
      </c>
      <c r="F89" s="3">
        <v>6102</v>
      </c>
      <c r="G89" s="3">
        <v>6</v>
      </c>
      <c r="H89" s="3">
        <v>0.46899999999999997</v>
      </c>
      <c r="I89" s="4">
        <v>13955</v>
      </c>
      <c r="J89" s="4">
        <v>1377</v>
      </c>
      <c r="K89" s="18">
        <v>0</v>
      </c>
      <c r="L89" s="18">
        <v>1323</v>
      </c>
      <c r="M89" s="18">
        <v>0</v>
      </c>
      <c r="N89" s="18">
        <v>0</v>
      </c>
      <c r="O89" s="18">
        <v>54</v>
      </c>
      <c r="P89" s="18">
        <v>0</v>
      </c>
      <c r="Q89" s="6">
        <v>9.8674310283052666E-2</v>
      </c>
      <c r="R89" s="3">
        <v>9.9000000000000005E-2</v>
      </c>
      <c r="S89" s="6">
        <v>0.43377150307315676</v>
      </c>
      <c r="T89" s="25">
        <v>0.434</v>
      </c>
      <c r="U89" s="26">
        <v>239</v>
      </c>
      <c r="V89" s="4">
        <v>14504</v>
      </c>
      <c r="W89" s="4">
        <v>1336</v>
      </c>
      <c r="X89" s="18">
        <v>0</v>
      </c>
      <c r="Y89" s="18">
        <v>1291</v>
      </c>
      <c r="Z89" s="18">
        <v>4</v>
      </c>
      <c r="AA89" s="18">
        <v>0</v>
      </c>
      <c r="AB89" s="18">
        <v>41</v>
      </c>
      <c r="AC89" s="18">
        <v>0</v>
      </c>
      <c r="AD89" s="6">
        <v>9.2112520683949262E-2</v>
      </c>
      <c r="AE89" s="6">
        <v>9.1999999999999998E-2</v>
      </c>
      <c r="AF89" s="6">
        <v>0.44310819749530761</v>
      </c>
      <c r="AG89" s="6">
        <v>0.443</v>
      </c>
      <c r="AH89" s="7">
        <v>228</v>
      </c>
    </row>
    <row r="90" spans="2:34" x14ac:dyDescent="0.25">
      <c r="B90" s="3">
        <v>86</v>
      </c>
      <c r="C90" s="3" t="s">
        <v>176</v>
      </c>
      <c r="D90" s="3" t="s">
        <v>177</v>
      </c>
      <c r="E90" s="3" t="s">
        <v>704</v>
      </c>
      <c r="F90" s="3">
        <v>6103</v>
      </c>
      <c r="G90" s="3">
        <v>6</v>
      </c>
      <c r="H90" s="3"/>
      <c r="I90" s="4">
        <v>7916</v>
      </c>
      <c r="J90" s="4">
        <v>1390</v>
      </c>
      <c r="K90" s="18">
        <v>0</v>
      </c>
      <c r="L90" s="18">
        <v>1319</v>
      </c>
      <c r="M90" s="18">
        <v>0</v>
      </c>
      <c r="N90" s="18">
        <v>0</v>
      </c>
      <c r="O90" s="18">
        <v>71</v>
      </c>
      <c r="P90" s="18">
        <v>0</v>
      </c>
      <c r="Q90" s="6">
        <v>0.17559373420919655</v>
      </c>
      <c r="R90" s="3">
        <v>0.17599999999999999</v>
      </c>
      <c r="S90" s="6">
        <v>0.51305185847784052</v>
      </c>
      <c r="T90" s="25">
        <v>0.51300000000000001</v>
      </c>
      <c r="U90" s="7">
        <v>140</v>
      </c>
      <c r="V90" s="4">
        <v>7983</v>
      </c>
      <c r="W90" s="4">
        <v>1280</v>
      </c>
      <c r="X90" s="18">
        <v>0</v>
      </c>
      <c r="Y90" s="18">
        <v>1194</v>
      </c>
      <c r="Z90" s="18">
        <v>0</v>
      </c>
      <c r="AA90" s="18">
        <v>0</v>
      </c>
      <c r="AB90" s="18">
        <v>86</v>
      </c>
      <c r="AC90" s="18">
        <v>0</v>
      </c>
      <c r="AD90" s="6">
        <v>0.16034072403858199</v>
      </c>
      <c r="AE90" s="6">
        <v>0.16</v>
      </c>
      <c r="AF90" s="6">
        <v>0.52199494486272868</v>
      </c>
      <c r="AG90" s="6">
        <v>0.52200000000000002</v>
      </c>
      <c r="AH90" s="7">
        <v>135</v>
      </c>
    </row>
    <row r="91" spans="2:34" x14ac:dyDescent="0.25">
      <c r="B91" s="3">
        <v>87</v>
      </c>
      <c r="C91" s="3" t="s">
        <v>178</v>
      </c>
      <c r="D91" s="3" t="s">
        <v>179</v>
      </c>
      <c r="E91" s="3" t="s">
        <v>704</v>
      </c>
      <c r="F91" s="3">
        <v>6104</v>
      </c>
      <c r="G91" s="3">
        <v>6</v>
      </c>
      <c r="H91" s="3">
        <v>0.497</v>
      </c>
      <c r="I91" s="4">
        <v>21373</v>
      </c>
      <c r="J91" s="4">
        <v>3438</v>
      </c>
      <c r="K91" s="18">
        <v>0</v>
      </c>
      <c r="L91" s="18">
        <v>3371</v>
      </c>
      <c r="M91" s="18">
        <v>0</v>
      </c>
      <c r="N91" s="18">
        <v>0</v>
      </c>
      <c r="O91" s="18">
        <v>67</v>
      </c>
      <c r="P91" s="18">
        <v>0</v>
      </c>
      <c r="Q91" s="6">
        <v>0.16085715622514388</v>
      </c>
      <c r="R91" s="3">
        <v>0.161</v>
      </c>
      <c r="S91" s="6">
        <v>0.49786296235263905</v>
      </c>
      <c r="T91" s="25">
        <v>0.498</v>
      </c>
      <c r="U91" s="26">
        <v>163</v>
      </c>
      <c r="V91" s="4">
        <v>21936</v>
      </c>
      <c r="W91" s="4">
        <v>3011</v>
      </c>
      <c r="X91" s="18">
        <v>1</v>
      </c>
      <c r="Y91" s="18">
        <v>2951</v>
      </c>
      <c r="Z91" s="18">
        <v>0</v>
      </c>
      <c r="AA91" s="18">
        <v>0</v>
      </c>
      <c r="AB91" s="18">
        <v>59</v>
      </c>
      <c r="AC91" s="18">
        <v>0</v>
      </c>
      <c r="AD91" s="6">
        <v>0.13726294675419401</v>
      </c>
      <c r="AE91" s="6">
        <v>0.13700000000000001</v>
      </c>
      <c r="AF91" s="6">
        <v>0.49531266266492446</v>
      </c>
      <c r="AG91" s="6">
        <v>0.496</v>
      </c>
      <c r="AH91" s="7">
        <v>167</v>
      </c>
    </row>
    <row r="92" spans="2:34" x14ac:dyDescent="0.25">
      <c r="B92" s="3">
        <v>88</v>
      </c>
      <c r="C92" s="3" t="s">
        <v>180</v>
      </c>
      <c r="D92" s="3" t="s">
        <v>181</v>
      </c>
      <c r="E92" s="3" t="s">
        <v>704</v>
      </c>
      <c r="F92" s="3">
        <v>6105</v>
      </c>
      <c r="G92" s="3">
        <v>6</v>
      </c>
      <c r="H92" s="3">
        <v>0.54700000000000004</v>
      </c>
      <c r="I92" s="4">
        <v>21925</v>
      </c>
      <c r="J92" s="4">
        <v>3898</v>
      </c>
      <c r="K92" s="18">
        <v>0</v>
      </c>
      <c r="L92" s="18">
        <v>3858</v>
      </c>
      <c r="M92" s="18">
        <v>0</v>
      </c>
      <c r="N92" s="18">
        <v>0</v>
      </c>
      <c r="O92" s="18">
        <v>40</v>
      </c>
      <c r="P92" s="18">
        <v>0</v>
      </c>
      <c r="Q92" s="6">
        <v>0.17778791334093499</v>
      </c>
      <c r="R92" s="3">
        <v>0.17799999999999999</v>
      </c>
      <c r="S92" s="6">
        <v>0.51531338479338851</v>
      </c>
      <c r="T92" s="25">
        <v>0.51500000000000001</v>
      </c>
      <c r="U92" s="7">
        <v>136</v>
      </c>
      <c r="V92" s="4">
        <v>23425</v>
      </c>
      <c r="W92" s="4">
        <v>3564</v>
      </c>
      <c r="X92" s="18">
        <v>1</v>
      </c>
      <c r="Y92" s="18">
        <v>3515</v>
      </c>
      <c r="Z92" s="18">
        <v>0</v>
      </c>
      <c r="AA92" s="18">
        <v>0</v>
      </c>
      <c r="AB92" s="18">
        <v>48</v>
      </c>
      <c r="AC92" s="18">
        <v>0</v>
      </c>
      <c r="AD92" s="6">
        <v>0.15214514407684099</v>
      </c>
      <c r="AE92" s="6">
        <v>0.152</v>
      </c>
      <c r="AF92" s="6">
        <v>0.51271415105479679</v>
      </c>
      <c r="AG92" s="6">
        <v>0.51300000000000001</v>
      </c>
      <c r="AH92" s="7">
        <v>148</v>
      </c>
    </row>
    <row r="93" spans="2:34" x14ac:dyDescent="0.25">
      <c r="B93" s="3">
        <v>89</v>
      </c>
      <c r="C93" s="3" t="s">
        <v>182</v>
      </c>
      <c r="D93" s="3" t="s">
        <v>183</v>
      </c>
      <c r="E93" s="3" t="s">
        <v>704</v>
      </c>
      <c r="F93" s="3">
        <v>6106</v>
      </c>
      <c r="G93" s="3">
        <v>6</v>
      </c>
      <c r="H93" s="3">
        <v>0.41599999999999998</v>
      </c>
      <c r="I93" s="4">
        <v>35938</v>
      </c>
      <c r="J93" s="4">
        <v>8782</v>
      </c>
      <c r="K93" s="18">
        <v>0</v>
      </c>
      <c r="L93" s="18">
        <v>8567</v>
      </c>
      <c r="M93" s="18">
        <v>48</v>
      </c>
      <c r="N93" s="18">
        <v>0</v>
      </c>
      <c r="O93" s="18">
        <v>167</v>
      </c>
      <c r="P93" s="18">
        <v>0</v>
      </c>
      <c r="Q93" s="6">
        <v>0.24436529578718905</v>
      </c>
      <c r="R93" s="3">
        <v>0.24399999999999999</v>
      </c>
      <c r="S93" s="6">
        <v>0.58393426457689601</v>
      </c>
      <c r="T93" s="25">
        <v>0.58399999999999996</v>
      </c>
      <c r="U93" s="26">
        <v>73</v>
      </c>
      <c r="V93" s="4">
        <v>37793</v>
      </c>
      <c r="W93" s="4">
        <v>8338</v>
      </c>
      <c r="X93" s="18">
        <v>15</v>
      </c>
      <c r="Y93" s="18">
        <v>8256</v>
      </c>
      <c r="Z93" s="18">
        <v>6</v>
      </c>
      <c r="AA93" s="18">
        <v>0</v>
      </c>
      <c r="AB93" s="18">
        <v>61</v>
      </c>
      <c r="AC93" s="18">
        <v>0</v>
      </c>
      <c r="AD93" s="6">
        <v>0.22062286666843067</v>
      </c>
      <c r="AE93" s="6">
        <v>0.221</v>
      </c>
      <c r="AF93" s="6">
        <v>0.59276099764820922</v>
      </c>
      <c r="AG93" s="6">
        <v>0.59199999999999997</v>
      </c>
      <c r="AH93" s="7">
        <v>64</v>
      </c>
    </row>
    <row r="94" spans="2:34" x14ac:dyDescent="0.25">
      <c r="B94" s="3">
        <v>90</v>
      </c>
      <c r="C94" s="3" t="s">
        <v>184</v>
      </c>
      <c r="D94" s="3" t="s">
        <v>185</v>
      </c>
      <c r="E94" s="3" t="s">
        <v>704</v>
      </c>
      <c r="F94" s="3">
        <v>6202</v>
      </c>
      <c r="G94" s="3">
        <v>6</v>
      </c>
      <c r="H94" s="3"/>
      <c r="I94" s="4">
        <v>4609</v>
      </c>
      <c r="J94" s="4">
        <v>383</v>
      </c>
      <c r="K94" s="18">
        <v>0</v>
      </c>
      <c r="L94" s="18">
        <v>197</v>
      </c>
      <c r="M94" s="18">
        <v>0</v>
      </c>
      <c r="N94" s="18">
        <v>0</v>
      </c>
      <c r="O94" s="18">
        <v>186</v>
      </c>
      <c r="P94" s="18">
        <v>0</v>
      </c>
      <c r="Q94" s="6">
        <v>8.3098285962247775E-2</v>
      </c>
      <c r="R94" s="3">
        <v>8.3000000000000004E-2</v>
      </c>
      <c r="S94" s="6">
        <v>0.41771739500896865</v>
      </c>
      <c r="T94" s="25">
        <v>0.41799999999999998</v>
      </c>
      <c r="U94" s="7">
        <v>256</v>
      </c>
      <c r="V94" s="4">
        <v>3103</v>
      </c>
      <c r="W94" s="4">
        <v>285</v>
      </c>
      <c r="X94" s="18">
        <v>0</v>
      </c>
      <c r="Y94" s="18">
        <v>169</v>
      </c>
      <c r="Z94" s="18">
        <v>0</v>
      </c>
      <c r="AA94" s="18">
        <v>0</v>
      </c>
      <c r="AB94" s="18">
        <v>116</v>
      </c>
      <c r="AC94" s="18">
        <v>0</v>
      </c>
      <c r="AD94" s="6">
        <v>9.1846600064453748E-2</v>
      </c>
      <c r="AE94" s="6">
        <v>9.1999999999999998E-2</v>
      </c>
      <c r="AF94" s="6">
        <v>0.44310819749530761</v>
      </c>
      <c r="AG94" s="6">
        <v>0.443</v>
      </c>
      <c r="AH94" s="7">
        <v>229</v>
      </c>
    </row>
    <row r="95" spans="2:34" x14ac:dyDescent="0.25">
      <c r="B95" s="3">
        <v>91</v>
      </c>
      <c r="C95" s="3" t="s">
        <v>186</v>
      </c>
      <c r="D95" s="3" t="s">
        <v>187</v>
      </c>
      <c r="E95" s="3" t="s">
        <v>704</v>
      </c>
      <c r="F95" s="3">
        <v>6107</v>
      </c>
      <c r="G95" s="3">
        <v>6</v>
      </c>
      <c r="H95" s="3">
        <v>0.44400000000000001</v>
      </c>
      <c r="I95" s="4">
        <v>27554</v>
      </c>
      <c r="J95" s="4">
        <v>1859</v>
      </c>
      <c r="K95" s="18">
        <v>18</v>
      </c>
      <c r="L95" s="18">
        <v>1099</v>
      </c>
      <c r="M95" s="18">
        <v>0</v>
      </c>
      <c r="N95" s="18">
        <v>0</v>
      </c>
      <c r="O95" s="18">
        <v>742</v>
      </c>
      <c r="P95" s="18">
        <v>0</v>
      </c>
      <c r="Q95" s="6">
        <v>6.7467518327647524E-2</v>
      </c>
      <c r="R95" s="3">
        <v>6.7000000000000004E-2</v>
      </c>
      <c r="S95" s="6">
        <v>0.40160686336342488</v>
      </c>
      <c r="T95" s="25">
        <v>0.40200000000000002</v>
      </c>
      <c r="U95" s="26">
        <v>283</v>
      </c>
      <c r="V95" s="4">
        <v>27520</v>
      </c>
      <c r="W95" s="4">
        <v>1726</v>
      </c>
      <c r="X95" s="18">
        <v>34</v>
      </c>
      <c r="Y95" s="18">
        <v>1031</v>
      </c>
      <c r="Z95" s="18">
        <v>0</v>
      </c>
      <c r="AA95" s="18">
        <v>0</v>
      </c>
      <c r="AB95" s="18">
        <v>661</v>
      </c>
      <c r="AC95" s="18">
        <v>0</v>
      </c>
      <c r="AD95" s="6">
        <v>6.2718023255813951E-2</v>
      </c>
      <c r="AE95" s="6">
        <v>6.3E-2</v>
      </c>
      <c r="AF95" s="6">
        <v>0.40946531994155455</v>
      </c>
      <c r="AG95" s="6">
        <v>0.40899999999999997</v>
      </c>
      <c r="AH95" s="7">
        <v>268</v>
      </c>
    </row>
    <row r="96" spans="2:34" x14ac:dyDescent="0.25">
      <c r="B96" s="3">
        <v>92</v>
      </c>
      <c r="C96" s="3" t="s">
        <v>188</v>
      </c>
      <c r="D96" s="3" t="s">
        <v>189</v>
      </c>
      <c r="E96" s="3" t="s">
        <v>704</v>
      </c>
      <c r="F96" s="3">
        <v>6203</v>
      </c>
      <c r="G96" s="3">
        <v>6</v>
      </c>
      <c r="H96" s="3">
        <v>0.45</v>
      </c>
      <c r="I96" s="4">
        <v>8852</v>
      </c>
      <c r="J96" s="4">
        <v>776</v>
      </c>
      <c r="K96" s="18">
        <v>8</v>
      </c>
      <c r="L96" s="18">
        <v>259</v>
      </c>
      <c r="M96" s="18">
        <v>0</v>
      </c>
      <c r="N96" s="18">
        <v>0</v>
      </c>
      <c r="O96" s="18">
        <v>509</v>
      </c>
      <c r="P96" s="18">
        <v>0</v>
      </c>
      <c r="Q96" s="6">
        <v>8.7663804789877994E-2</v>
      </c>
      <c r="R96" s="3">
        <v>8.7999999999999995E-2</v>
      </c>
      <c r="S96" s="6">
        <v>0.42242304589383278</v>
      </c>
      <c r="T96" s="25">
        <v>0.42199999999999999</v>
      </c>
      <c r="U96" s="7">
        <v>252</v>
      </c>
      <c r="V96" s="4">
        <v>6909</v>
      </c>
      <c r="W96" s="4">
        <v>588</v>
      </c>
      <c r="X96" s="18">
        <v>6</v>
      </c>
      <c r="Y96" s="18">
        <v>178</v>
      </c>
      <c r="Z96" s="18">
        <v>0</v>
      </c>
      <c r="AA96" s="18">
        <v>0</v>
      </c>
      <c r="AB96" s="18">
        <v>404</v>
      </c>
      <c r="AC96" s="18">
        <v>0</v>
      </c>
      <c r="AD96" s="6">
        <v>8.5106382978723402E-2</v>
      </c>
      <c r="AE96" s="6">
        <v>8.5000000000000006E-2</v>
      </c>
      <c r="AF96" s="6">
        <v>0.43498750291336724</v>
      </c>
      <c r="AG96" s="6">
        <v>0.435</v>
      </c>
      <c r="AH96" s="7">
        <v>237</v>
      </c>
    </row>
    <row r="97" spans="2:34" x14ac:dyDescent="0.25">
      <c r="B97" s="3">
        <v>93</v>
      </c>
      <c r="C97" s="3" t="s">
        <v>190</v>
      </c>
      <c r="D97" s="3" t="s">
        <v>191</v>
      </c>
      <c r="E97" s="3" t="s">
        <v>704</v>
      </c>
      <c r="F97" s="3">
        <v>6304</v>
      </c>
      <c r="G97" s="3">
        <v>6</v>
      </c>
      <c r="H97" s="3">
        <v>0.45800000000000002</v>
      </c>
      <c r="I97" s="4">
        <v>7791</v>
      </c>
      <c r="J97" s="4">
        <v>569</v>
      </c>
      <c r="K97" s="18">
        <v>0</v>
      </c>
      <c r="L97" s="18">
        <v>462</v>
      </c>
      <c r="M97" s="18">
        <v>0</v>
      </c>
      <c r="N97" s="18">
        <v>0</v>
      </c>
      <c r="O97" s="18">
        <v>107</v>
      </c>
      <c r="P97" s="18">
        <v>0</v>
      </c>
      <c r="Q97" s="6">
        <v>7.3032986779617504E-2</v>
      </c>
      <c r="R97" s="3">
        <v>7.2999999999999995E-2</v>
      </c>
      <c r="S97" s="6">
        <v>0.40734315589324671</v>
      </c>
      <c r="T97" s="25">
        <v>0.40699999999999997</v>
      </c>
      <c r="U97" s="26">
        <v>271</v>
      </c>
      <c r="V97" s="4">
        <v>7420</v>
      </c>
      <c r="W97" s="4">
        <v>511</v>
      </c>
      <c r="X97" s="18">
        <v>0</v>
      </c>
      <c r="Y97" s="18">
        <v>441</v>
      </c>
      <c r="Z97" s="18">
        <v>0</v>
      </c>
      <c r="AA97" s="18">
        <v>0</v>
      </c>
      <c r="AB97" s="18">
        <v>70</v>
      </c>
      <c r="AC97" s="18">
        <v>0</v>
      </c>
      <c r="AD97" s="6">
        <v>6.8867924528301885E-2</v>
      </c>
      <c r="AE97" s="6">
        <v>6.9000000000000006E-2</v>
      </c>
      <c r="AF97" s="6">
        <v>0.4164259152975035</v>
      </c>
      <c r="AG97" s="6">
        <v>0.41599999999999998</v>
      </c>
      <c r="AH97" s="7">
        <v>256</v>
      </c>
    </row>
    <row r="98" spans="2:34" x14ac:dyDescent="0.25">
      <c r="B98" s="3">
        <v>94</v>
      </c>
      <c r="C98" s="3" t="s">
        <v>192</v>
      </c>
      <c r="D98" s="3" t="s">
        <v>193</v>
      </c>
      <c r="E98" s="3" t="s">
        <v>704</v>
      </c>
      <c r="F98" s="3">
        <v>6108</v>
      </c>
      <c r="G98" s="3">
        <v>6</v>
      </c>
      <c r="H98" s="3">
        <v>0.55800000000000005</v>
      </c>
      <c r="I98" s="4">
        <v>60875</v>
      </c>
      <c r="J98" s="4">
        <v>16668</v>
      </c>
      <c r="K98" s="18">
        <v>4</v>
      </c>
      <c r="L98" s="18">
        <v>11530</v>
      </c>
      <c r="M98" s="18">
        <v>4844</v>
      </c>
      <c r="N98" s="18">
        <v>0</v>
      </c>
      <c r="O98" s="18">
        <v>290</v>
      </c>
      <c r="P98" s="18">
        <v>0</v>
      </c>
      <c r="Q98" s="6">
        <v>0.27380698151950716</v>
      </c>
      <c r="R98" s="3">
        <v>0.27400000000000002</v>
      </c>
      <c r="S98" s="6">
        <v>0.61427962065772657</v>
      </c>
      <c r="T98" s="25">
        <v>0.61399999999999999</v>
      </c>
      <c r="U98" s="7">
        <v>44</v>
      </c>
      <c r="V98" s="4">
        <v>63642</v>
      </c>
      <c r="W98" s="4">
        <v>15945</v>
      </c>
      <c r="X98" s="18">
        <v>27</v>
      </c>
      <c r="Y98" s="18">
        <v>10671</v>
      </c>
      <c r="Z98" s="18">
        <v>5011</v>
      </c>
      <c r="AA98" s="18">
        <v>0</v>
      </c>
      <c r="AB98" s="18">
        <v>236</v>
      </c>
      <c r="AC98" s="18">
        <v>0</v>
      </c>
      <c r="AD98" s="6">
        <v>0.2505420948430282</v>
      </c>
      <c r="AE98" s="6">
        <v>0.251</v>
      </c>
      <c r="AF98" s="6">
        <v>0.62756397442795375</v>
      </c>
      <c r="AG98" s="6">
        <v>0.627</v>
      </c>
      <c r="AH98" s="7">
        <v>39</v>
      </c>
    </row>
    <row r="99" spans="2:34" x14ac:dyDescent="0.25">
      <c r="B99" s="3">
        <v>95</v>
      </c>
      <c r="C99" s="3" t="s">
        <v>194</v>
      </c>
      <c r="D99" s="3" t="s">
        <v>195</v>
      </c>
      <c r="E99" s="3" t="s">
        <v>704</v>
      </c>
      <c r="F99" s="3">
        <v>6109</v>
      </c>
      <c r="G99" s="3">
        <v>6</v>
      </c>
      <c r="H99" s="3">
        <v>0.52</v>
      </c>
      <c r="I99" s="4">
        <v>13882</v>
      </c>
      <c r="J99" s="4">
        <v>1075</v>
      </c>
      <c r="K99" s="18">
        <v>0</v>
      </c>
      <c r="L99" s="18">
        <v>928</v>
      </c>
      <c r="M99" s="18">
        <v>0</v>
      </c>
      <c r="N99" s="18">
        <v>0</v>
      </c>
      <c r="O99" s="18">
        <v>147</v>
      </c>
      <c r="P99" s="18">
        <v>0</v>
      </c>
      <c r="Q99" s="6">
        <v>7.7438409451087736E-2</v>
      </c>
      <c r="R99" s="3">
        <v>7.6999999999999999E-2</v>
      </c>
      <c r="S99" s="6">
        <v>0.41188379669988306</v>
      </c>
      <c r="T99" s="25">
        <v>0.41199999999999998</v>
      </c>
      <c r="U99" s="26">
        <v>266</v>
      </c>
      <c r="V99" s="4">
        <v>14274</v>
      </c>
      <c r="W99" s="4">
        <v>949</v>
      </c>
      <c r="X99" s="18">
        <v>1</v>
      </c>
      <c r="Y99" s="18">
        <v>817</v>
      </c>
      <c r="Z99" s="18">
        <v>0</v>
      </c>
      <c r="AA99" s="18">
        <v>0</v>
      </c>
      <c r="AB99" s="18">
        <v>131</v>
      </c>
      <c r="AC99" s="18">
        <v>0</v>
      </c>
      <c r="AD99" s="6">
        <v>6.6484517304189431E-2</v>
      </c>
      <c r="AE99" s="6">
        <v>6.6000000000000003E-2</v>
      </c>
      <c r="AF99" s="6">
        <v>0.41294561761952903</v>
      </c>
      <c r="AG99" s="6">
        <v>0.41399999999999998</v>
      </c>
      <c r="AH99" s="7">
        <v>262</v>
      </c>
    </row>
    <row r="100" spans="2:34" x14ac:dyDescent="0.25">
      <c r="B100" s="3">
        <v>96</v>
      </c>
      <c r="C100" s="3" t="s">
        <v>196</v>
      </c>
      <c r="D100" s="3" t="s">
        <v>197</v>
      </c>
      <c r="E100" s="3" t="s">
        <v>704</v>
      </c>
      <c r="F100" s="3">
        <v>6204</v>
      </c>
      <c r="G100" s="3">
        <v>6</v>
      </c>
      <c r="H100" s="3">
        <v>0.374</v>
      </c>
      <c r="I100" s="4">
        <v>8715</v>
      </c>
      <c r="J100" s="4">
        <v>451</v>
      </c>
      <c r="K100" s="18">
        <v>11</v>
      </c>
      <c r="L100" s="18">
        <v>296</v>
      </c>
      <c r="M100" s="18">
        <v>0</v>
      </c>
      <c r="N100" s="18">
        <v>0</v>
      </c>
      <c r="O100" s="18">
        <v>144</v>
      </c>
      <c r="P100" s="18">
        <v>0</v>
      </c>
      <c r="Q100" s="6">
        <v>5.1749856569133675E-2</v>
      </c>
      <c r="R100" s="3">
        <v>5.1999999999999998E-2</v>
      </c>
      <c r="S100" s="6">
        <v>0.38540677050336836</v>
      </c>
      <c r="T100" s="25">
        <v>0.38500000000000001</v>
      </c>
      <c r="U100" s="7">
        <v>302</v>
      </c>
      <c r="V100" s="4">
        <v>7699</v>
      </c>
      <c r="W100" s="4">
        <v>359</v>
      </c>
      <c r="X100" s="18">
        <v>20</v>
      </c>
      <c r="Y100" s="18">
        <v>260</v>
      </c>
      <c r="Z100" s="18">
        <v>0</v>
      </c>
      <c r="AA100" s="18">
        <v>0</v>
      </c>
      <c r="AB100" s="18">
        <v>79</v>
      </c>
      <c r="AC100" s="18">
        <v>0</v>
      </c>
      <c r="AD100" s="6">
        <v>4.662943239381738E-2</v>
      </c>
      <c r="AE100" s="6">
        <v>4.7E-2</v>
      </c>
      <c r="AF100" s="6">
        <v>0.39090373232569076</v>
      </c>
      <c r="AG100" s="6">
        <v>0.39100000000000001</v>
      </c>
      <c r="AH100" s="7">
        <v>293</v>
      </c>
    </row>
    <row r="101" spans="2:34" x14ac:dyDescent="0.25">
      <c r="B101" s="3">
        <v>97</v>
      </c>
      <c r="C101" s="3" t="s">
        <v>198</v>
      </c>
      <c r="D101" s="3" t="s">
        <v>199</v>
      </c>
      <c r="E101" s="3" t="s">
        <v>704</v>
      </c>
      <c r="F101" s="3">
        <v>6110</v>
      </c>
      <c r="G101" s="3">
        <v>6</v>
      </c>
      <c r="H101" s="3">
        <v>0.47399999999999998</v>
      </c>
      <c r="I101" s="4">
        <v>27394</v>
      </c>
      <c r="J101" s="4">
        <v>4686</v>
      </c>
      <c r="K101" s="18">
        <v>1</v>
      </c>
      <c r="L101" s="18">
        <v>4523</v>
      </c>
      <c r="M101" s="18">
        <v>18</v>
      </c>
      <c r="N101" s="18">
        <v>0</v>
      </c>
      <c r="O101" s="18">
        <v>144</v>
      </c>
      <c r="P101" s="18">
        <v>0</v>
      </c>
      <c r="Q101" s="6">
        <v>0.17105935606337155</v>
      </c>
      <c r="R101" s="3">
        <v>0.17100000000000001</v>
      </c>
      <c r="S101" s="6">
        <v>0.50837830409337958</v>
      </c>
      <c r="T101" s="25">
        <v>0.50800000000000001</v>
      </c>
      <c r="U101" s="26">
        <v>154</v>
      </c>
      <c r="V101" s="4">
        <v>28295</v>
      </c>
      <c r="W101" s="4">
        <v>4466</v>
      </c>
      <c r="X101" s="18">
        <v>2</v>
      </c>
      <c r="Y101" s="18">
        <v>4304</v>
      </c>
      <c r="Z101" s="18">
        <v>8</v>
      </c>
      <c r="AA101" s="18">
        <v>0</v>
      </c>
      <c r="AB101" s="18">
        <v>152</v>
      </c>
      <c r="AC101" s="18">
        <v>0</v>
      </c>
      <c r="AD101" s="6">
        <v>0.15783707368793073</v>
      </c>
      <c r="AE101" s="6">
        <v>0.158</v>
      </c>
      <c r="AF101" s="6">
        <v>0.51967474641074562</v>
      </c>
      <c r="AG101" s="6">
        <v>0.52</v>
      </c>
      <c r="AH101" s="7">
        <v>137</v>
      </c>
    </row>
    <row r="102" spans="2:34" x14ac:dyDescent="0.25">
      <c r="B102" s="3">
        <v>98</v>
      </c>
      <c r="C102" s="3" t="s">
        <v>200</v>
      </c>
      <c r="D102" s="3" t="s">
        <v>201</v>
      </c>
      <c r="E102" s="3" t="s">
        <v>704</v>
      </c>
      <c r="F102" s="3">
        <v>6305</v>
      </c>
      <c r="G102" s="3">
        <v>6</v>
      </c>
      <c r="H102" s="3">
        <v>0.45900000000000002</v>
      </c>
      <c r="I102" s="4">
        <v>18723</v>
      </c>
      <c r="J102" s="4">
        <v>2030</v>
      </c>
      <c r="K102" s="18">
        <v>0</v>
      </c>
      <c r="L102" s="18">
        <v>1968</v>
      </c>
      <c r="M102" s="18">
        <v>0</v>
      </c>
      <c r="N102" s="18">
        <v>0</v>
      </c>
      <c r="O102" s="18">
        <v>62</v>
      </c>
      <c r="P102" s="18">
        <v>0</v>
      </c>
      <c r="Q102" s="6">
        <v>0.1084227954921754</v>
      </c>
      <c r="R102" s="3">
        <v>0.108</v>
      </c>
      <c r="S102" s="6">
        <v>0.4438192040645037</v>
      </c>
      <c r="T102" s="25">
        <v>0.44400000000000001</v>
      </c>
      <c r="U102" s="7">
        <v>227</v>
      </c>
      <c r="V102" s="4">
        <v>19589</v>
      </c>
      <c r="W102" s="4">
        <v>1957</v>
      </c>
      <c r="X102" s="18">
        <v>0</v>
      </c>
      <c r="Y102" s="18">
        <v>1883</v>
      </c>
      <c r="Z102" s="18">
        <v>0</v>
      </c>
      <c r="AA102" s="18">
        <v>0</v>
      </c>
      <c r="AB102" s="18">
        <v>74</v>
      </c>
      <c r="AC102" s="18">
        <v>0</v>
      </c>
      <c r="AD102" s="6">
        <v>9.990300678952474E-2</v>
      </c>
      <c r="AE102" s="6">
        <v>0.1</v>
      </c>
      <c r="AF102" s="6">
        <v>0.45238899130323951</v>
      </c>
      <c r="AG102" s="6">
        <v>0.45200000000000001</v>
      </c>
      <c r="AH102" s="7">
        <v>217</v>
      </c>
    </row>
    <row r="103" spans="2:34" x14ac:dyDescent="0.25">
      <c r="B103" s="3">
        <v>99</v>
      </c>
      <c r="C103" s="3" t="s">
        <v>202</v>
      </c>
      <c r="D103" s="3" t="s">
        <v>203</v>
      </c>
      <c r="E103" s="3" t="s">
        <v>704</v>
      </c>
      <c r="F103" s="3">
        <v>6205</v>
      </c>
      <c r="G103" s="3">
        <v>6</v>
      </c>
      <c r="H103" s="3">
        <v>0.47099999999999997</v>
      </c>
      <c r="I103" s="4">
        <v>8885</v>
      </c>
      <c r="J103" s="4">
        <v>1526</v>
      </c>
      <c r="K103" s="18">
        <v>0</v>
      </c>
      <c r="L103" s="18">
        <v>1004</v>
      </c>
      <c r="M103" s="18">
        <v>0</v>
      </c>
      <c r="N103" s="18">
        <v>0</v>
      </c>
      <c r="O103" s="18">
        <v>522</v>
      </c>
      <c r="P103" s="18">
        <v>0</v>
      </c>
      <c r="Q103" s="6">
        <v>0.17175014068655037</v>
      </c>
      <c r="R103" s="3">
        <v>0.17199999999999999</v>
      </c>
      <c r="S103" s="6">
        <v>0.50909029136055273</v>
      </c>
      <c r="T103" s="25">
        <v>0.50900000000000001</v>
      </c>
      <c r="U103" s="26">
        <v>151</v>
      </c>
      <c r="V103" s="4">
        <v>7081</v>
      </c>
      <c r="W103" s="4">
        <v>1090</v>
      </c>
      <c r="X103" s="18">
        <v>0</v>
      </c>
      <c r="Y103" s="18">
        <v>747</v>
      </c>
      <c r="Z103" s="18">
        <v>0</v>
      </c>
      <c r="AA103" s="18">
        <v>0</v>
      </c>
      <c r="AB103" s="18">
        <v>343</v>
      </c>
      <c r="AC103" s="18">
        <v>0</v>
      </c>
      <c r="AD103" s="6">
        <v>0.15393306030221721</v>
      </c>
      <c r="AE103" s="6">
        <v>0.154</v>
      </c>
      <c r="AF103" s="6">
        <v>0.51503434950677973</v>
      </c>
      <c r="AG103" s="6">
        <v>0.51500000000000001</v>
      </c>
      <c r="AH103" s="7">
        <v>142</v>
      </c>
    </row>
    <row r="104" spans="2:34" x14ac:dyDescent="0.25">
      <c r="B104" s="3">
        <v>100</v>
      </c>
      <c r="C104" s="3" t="s">
        <v>204</v>
      </c>
      <c r="D104" s="3" t="s">
        <v>205</v>
      </c>
      <c r="E104" s="3" t="s">
        <v>704</v>
      </c>
      <c r="F104" s="3">
        <v>6111</v>
      </c>
      <c r="G104" s="3">
        <v>6</v>
      </c>
      <c r="H104" s="3">
        <v>0.55700000000000005</v>
      </c>
      <c r="I104" s="4">
        <v>13901</v>
      </c>
      <c r="J104" s="4">
        <v>1807</v>
      </c>
      <c r="K104" s="18">
        <v>0</v>
      </c>
      <c r="L104" s="18">
        <v>1778</v>
      </c>
      <c r="M104" s="18">
        <v>0</v>
      </c>
      <c r="N104" s="18">
        <v>0</v>
      </c>
      <c r="O104" s="18">
        <v>29</v>
      </c>
      <c r="P104" s="18">
        <v>0</v>
      </c>
      <c r="Q104" s="6">
        <v>0.12999064815480901</v>
      </c>
      <c r="R104" s="3">
        <v>0.13</v>
      </c>
      <c r="S104" s="6">
        <v>0.4660490510541439</v>
      </c>
      <c r="T104" s="25">
        <v>0.46600000000000003</v>
      </c>
      <c r="U104" s="7">
        <v>200</v>
      </c>
      <c r="V104" s="4">
        <v>14919</v>
      </c>
      <c r="W104" s="4">
        <v>1623</v>
      </c>
      <c r="X104" s="18">
        <v>3</v>
      </c>
      <c r="Y104" s="18">
        <v>1605</v>
      </c>
      <c r="Z104" s="18">
        <v>0</v>
      </c>
      <c r="AA104" s="18">
        <v>0</v>
      </c>
      <c r="AB104" s="18">
        <v>15</v>
      </c>
      <c r="AC104" s="18">
        <v>0</v>
      </c>
      <c r="AD104" s="6">
        <v>0.10878745224210738</v>
      </c>
      <c r="AE104" s="6">
        <v>0.109</v>
      </c>
      <c r="AF104" s="6">
        <v>0.46282988433716288</v>
      </c>
      <c r="AG104" s="6">
        <v>0.46300000000000002</v>
      </c>
      <c r="AH104" s="7">
        <v>201</v>
      </c>
    </row>
    <row r="105" spans="2:34" x14ac:dyDescent="0.25">
      <c r="B105" s="3">
        <v>101</v>
      </c>
      <c r="C105" s="3" t="s">
        <v>206</v>
      </c>
      <c r="D105" s="3" t="s">
        <v>207</v>
      </c>
      <c r="E105" s="3" t="s">
        <v>704</v>
      </c>
      <c r="F105" s="3">
        <v>6306</v>
      </c>
      <c r="G105" s="3">
        <v>6</v>
      </c>
      <c r="H105" s="3">
        <v>0.44400000000000001</v>
      </c>
      <c r="I105" s="4">
        <v>13060</v>
      </c>
      <c r="J105" s="4">
        <v>474</v>
      </c>
      <c r="K105" s="18">
        <v>0</v>
      </c>
      <c r="L105" s="18">
        <v>421</v>
      </c>
      <c r="M105" s="18">
        <v>0</v>
      </c>
      <c r="N105" s="18">
        <v>0</v>
      </c>
      <c r="O105" s="18">
        <v>53</v>
      </c>
      <c r="P105" s="18">
        <v>0</v>
      </c>
      <c r="Q105" s="6">
        <v>3.6294027565084229E-2</v>
      </c>
      <c r="R105" s="3">
        <v>3.5999999999999997E-2</v>
      </c>
      <c r="S105" s="6">
        <v>0.36947654697892279</v>
      </c>
      <c r="T105" s="25">
        <v>0.36899999999999999</v>
      </c>
      <c r="U105" s="26">
        <v>318</v>
      </c>
      <c r="V105" s="4">
        <v>13534</v>
      </c>
      <c r="W105" s="4">
        <v>446</v>
      </c>
      <c r="X105" s="18">
        <v>0</v>
      </c>
      <c r="Y105" s="18">
        <v>407</v>
      </c>
      <c r="Z105" s="18">
        <v>0</v>
      </c>
      <c r="AA105" s="18">
        <v>0</v>
      </c>
      <c r="AB105" s="18">
        <v>39</v>
      </c>
      <c r="AC105" s="18">
        <v>0</v>
      </c>
      <c r="AD105" s="6">
        <v>3.2954041672824001E-2</v>
      </c>
      <c r="AE105" s="6">
        <v>3.3000000000000002E-2</v>
      </c>
      <c r="AF105" s="6">
        <v>0.37466234316181002</v>
      </c>
      <c r="AG105" s="6">
        <v>0.375</v>
      </c>
      <c r="AH105" s="7">
        <v>314</v>
      </c>
    </row>
    <row r="106" spans="2:34" x14ac:dyDescent="0.25">
      <c r="B106" s="3">
        <v>102</v>
      </c>
      <c r="C106" s="3" t="s">
        <v>208</v>
      </c>
      <c r="D106" s="3" t="s">
        <v>209</v>
      </c>
      <c r="E106" s="3" t="s">
        <v>704</v>
      </c>
      <c r="F106" s="3">
        <v>6206</v>
      </c>
      <c r="G106" s="3">
        <v>6</v>
      </c>
      <c r="H106" s="3">
        <v>0.498</v>
      </c>
      <c r="I106" s="4">
        <v>7228</v>
      </c>
      <c r="J106" s="4">
        <v>149</v>
      </c>
      <c r="K106" s="18">
        <v>0</v>
      </c>
      <c r="L106" s="18">
        <v>13</v>
      </c>
      <c r="M106" s="18">
        <v>0</v>
      </c>
      <c r="N106" s="18">
        <v>0</v>
      </c>
      <c r="O106" s="18">
        <v>136</v>
      </c>
      <c r="P106" s="18">
        <v>0</v>
      </c>
      <c r="Q106" s="6">
        <v>2.0614277808522413E-2</v>
      </c>
      <c r="R106" s="3">
        <v>2.1000000000000001E-2</v>
      </c>
      <c r="S106" s="6">
        <v>0.35331552977538372</v>
      </c>
      <c r="T106" s="25">
        <v>0.35299999999999998</v>
      </c>
      <c r="U106" s="7">
        <v>338</v>
      </c>
      <c r="V106" s="4">
        <v>6284</v>
      </c>
      <c r="W106" s="4">
        <v>114</v>
      </c>
      <c r="X106" s="18">
        <v>0</v>
      </c>
      <c r="Y106" s="18">
        <v>17</v>
      </c>
      <c r="Z106" s="18">
        <v>0</v>
      </c>
      <c r="AA106" s="18">
        <v>0</v>
      </c>
      <c r="AB106" s="18">
        <v>97</v>
      </c>
      <c r="AC106" s="18">
        <v>0</v>
      </c>
      <c r="AD106" s="6">
        <v>1.8141311266709103E-2</v>
      </c>
      <c r="AE106" s="6">
        <v>1.7999999999999999E-2</v>
      </c>
      <c r="AF106" s="6">
        <v>0.3572608547719377</v>
      </c>
      <c r="AG106" s="6">
        <v>0.35799999999999998</v>
      </c>
      <c r="AH106" s="7">
        <v>332</v>
      </c>
    </row>
    <row r="107" spans="2:34" x14ac:dyDescent="0.25">
      <c r="B107" s="3">
        <v>103</v>
      </c>
      <c r="C107" s="3" t="s">
        <v>210</v>
      </c>
      <c r="D107" s="3" t="s">
        <v>211</v>
      </c>
      <c r="E107" s="3" t="s">
        <v>704</v>
      </c>
      <c r="F107" s="3">
        <v>6307</v>
      </c>
      <c r="G107" s="3">
        <v>6</v>
      </c>
      <c r="H107" s="3">
        <v>0.45300000000000001</v>
      </c>
      <c r="I107" s="4">
        <v>12493</v>
      </c>
      <c r="J107" s="4">
        <v>714</v>
      </c>
      <c r="K107" s="18">
        <v>0</v>
      </c>
      <c r="L107" s="18">
        <v>656</v>
      </c>
      <c r="M107" s="18">
        <v>0</v>
      </c>
      <c r="N107" s="18">
        <v>0</v>
      </c>
      <c r="O107" s="18">
        <v>58</v>
      </c>
      <c r="P107" s="18">
        <v>0</v>
      </c>
      <c r="Q107" s="6">
        <v>5.7152005122868804E-2</v>
      </c>
      <c r="R107" s="3">
        <v>5.7000000000000002E-2</v>
      </c>
      <c r="S107" s="6">
        <v>0.39097473026474472</v>
      </c>
      <c r="T107" s="25">
        <v>0.39100000000000001</v>
      </c>
      <c r="U107" s="26">
        <v>295</v>
      </c>
      <c r="V107" s="4">
        <v>12100</v>
      </c>
      <c r="W107" s="4">
        <v>605</v>
      </c>
      <c r="X107" s="18">
        <v>0</v>
      </c>
      <c r="Y107" s="18">
        <v>564</v>
      </c>
      <c r="Z107" s="18">
        <v>0</v>
      </c>
      <c r="AA107" s="18">
        <v>0</v>
      </c>
      <c r="AB107" s="18">
        <v>41</v>
      </c>
      <c r="AC107" s="18">
        <v>0</v>
      </c>
      <c r="AD107" s="6">
        <v>0.05</v>
      </c>
      <c r="AE107" s="6">
        <v>0.05</v>
      </c>
      <c r="AF107" s="6">
        <v>0.39438403000366529</v>
      </c>
      <c r="AG107" s="6">
        <v>0.39500000000000002</v>
      </c>
      <c r="AH107" s="7">
        <v>289</v>
      </c>
    </row>
    <row r="108" spans="2:34" x14ac:dyDescent="0.25">
      <c r="B108" s="3">
        <v>104</v>
      </c>
      <c r="C108" s="3" t="s">
        <v>212</v>
      </c>
      <c r="D108" s="3" t="s">
        <v>213</v>
      </c>
      <c r="E108" s="3" t="s">
        <v>704</v>
      </c>
      <c r="F108" s="3">
        <v>6112</v>
      </c>
      <c r="G108" s="3">
        <v>6</v>
      </c>
      <c r="H108" s="3">
        <v>0.44800000000000001</v>
      </c>
      <c r="I108" s="4">
        <v>14243</v>
      </c>
      <c r="J108" s="4">
        <v>1346</v>
      </c>
      <c r="K108" s="18">
        <v>12</v>
      </c>
      <c r="L108" s="18">
        <v>1299</v>
      </c>
      <c r="M108" s="18">
        <v>0</v>
      </c>
      <c r="N108" s="18">
        <v>0</v>
      </c>
      <c r="O108" s="18">
        <v>35</v>
      </c>
      <c r="P108" s="18">
        <v>0</v>
      </c>
      <c r="Q108" s="6">
        <v>9.4502562662360456E-2</v>
      </c>
      <c r="R108" s="3">
        <v>9.5000000000000001E-2</v>
      </c>
      <c r="S108" s="6">
        <v>0.42947170963808518</v>
      </c>
      <c r="T108" s="25">
        <v>0.42899999999999999</v>
      </c>
      <c r="U108" s="7">
        <v>241</v>
      </c>
      <c r="V108" s="4">
        <v>15018</v>
      </c>
      <c r="W108" s="4">
        <v>1417</v>
      </c>
      <c r="X108" s="18">
        <v>33</v>
      </c>
      <c r="Y108" s="18">
        <v>1352</v>
      </c>
      <c r="Z108" s="18">
        <v>0</v>
      </c>
      <c r="AA108" s="18">
        <v>0</v>
      </c>
      <c r="AB108" s="18">
        <v>32</v>
      </c>
      <c r="AC108" s="18">
        <v>0</v>
      </c>
      <c r="AD108" s="6">
        <v>9.4353442535623916E-2</v>
      </c>
      <c r="AE108" s="6">
        <v>9.4E-2</v>
      </c>
      <c r="AF108" s="6">
        <v>0.44542839594729061</v>
      </c>
      <c r="AG108" s="6">
        <v>0.44600000000000001</v>
      </c>
      <c r="AH108" s="7">
        <v>225</v>
      </c>
    </row>
    <row r="109" spans="2:34" x14ac:dyDescent="0.25">
      <c r="B109" s="3">
        <v>105</v>
      </c>
      <c r="C109" s="3" t="s">
        <v>214</v>
      </c>
      <c r="D109" s="3" t="s">
        <v>215</v>
      </c>
      <c r="E109" s="3" t="s">
        <v>704</v>
      </c>
      <c r="F109" s="3">
        <v>6113</v>
      </c>
      <c r="G109" s="3">
        <v>6</v>
      </c>
      <c r="H109" s="3">
        <v>0.44</v>
      </c>
      <c r="I109" s="4">
        <v>20363</v>
      </c>
      <c r="J109" s="4">
        <v>1647</v>
      </c>
      <c r="K109" s="18">
        <v>2</v>
      </c>
      <c r="L109" s="18">
        <v>1582</v>
      </c>
      <c r="M109" s="18">
        <v>0</v>
      </c>
      <c r="N109" s="18">
        <v>0</v>
      </c>
      <c r="O109" s="18">
        <v>63</v>
      </c>
      <c r="P109" s="18">
        <v>0</v>
      </c>
      <c r="Q109" s="6">
        <v>8.0881991847959536E-2</v>
      </c>
      <c r="R109" s="3">
        <v>8.1000000000000003E-2</v>
      </c>
      <c r="S109" s="6">
        <v>0.41543307492317616</v>
      </c>
      <c r="T109" s="25">
        <v>0.41499999999999998</v>
      </c>
      <c r="U109" s="7">
        <v>263</v>
      </c>
      <c r="V109" s="4">
        <v>21009</v>
      </c>
      <c r="W109" s="4">
        <v>1491</v>
      </c>
      <c r="X109" s="18">
        <v>19</v>
      </c>
      <c r="Y109" s="18">
        <v>1428</v>
      </c>
      <c r="Z109" s="18">
        <v>0</v>
      </c>
      <c r="AA109" s="18">
        <v>0</v>
      </c>
      <c r="AB109" s="18">
        <v>44</v>
      </c>
      <c r="AC109" s="18">
        <v>0</v>
      </c>
      <c r="AD109" s="6">
        <v>7.0969584463801222E-2</v>
      </c>
      <c r="AE109" s="6">
        <v>7.0999999999999994E-2</v>
      </c>
      <c r="AF109" s="6">
        <v>0.41874611374948645</v>
      </c>
      <c r="AG109" s="6">
        <v>0.41899999999999998</v>
      </c>
      <c r="AH109" s="7">
        <v>252</v>
      </c>
    </row>
    <row r="110" spans="2:34" x14ac:dyDescent="0.25">
      <c r="B110" s="3">
        <v>106</v>
      </c>
      <c r="C110" s="3" t="s">
        <v>216</v>
      </c>
      <c r="D110" s="3" t="s">
        <v>217</v>
      </c>
      <c r="E110" s="3" t="s">
        <v>704</v>
      </c>
      <c r="F110" s="3">
        <v>6201</v>
      </c>
      <c r="G110" s="3">
        <v>6</v>
      </c>
      <c r="H110" s="3">
        <v>0.56899999999999995</v>
      </c>
      <c r="I110" s="4">
        <v>19847</v>
      </c>
      <c r="J110" s="4">
        <v>5041</v>
      </c>
      <c r="K110" s="18">
        <v>1</v>
      </c>
      <c r="L110" s="18">
        <v>4375</v>
      </c>
      <c r="M110" s="18">
        <v>0</v>
      </c>
      <c r="N110" s="18">
        <v>0</v>
      </c>
      <c r="O110" s="18">
        <v>665</v>
      </c>
      <c r="P110" s="18">
        <v>0</v>
      </c>
      <c r="Q110" s="6">
        <v>0.25399304680808182</v>
      </c>
      <c r="R110" s="3">
        <v>0.254</v>
      </c>
      <c r="S110" s="6">
        <v>0.59385752561713834</v>
      </c>
      <c r="T110" s="25">
        <v>0.59399999999999997</v>
      </c>
      <c r="U110" s="7">
        <v>61</v>
      </c>
      <c r="V110" s="4">
        <v>18587</v>
      </c>
      <c r="W110" s="4">
        <v>4568</v>
      </c>
      <c r="X110" s="18">
        <v>1</v>
      </c>
      <c r="Y110" s="18">
        <v>4157</v>
      </c>
      <c r="Z110" s="18">
        <v>0</v>
      </c>
      <c r="AA110" s="18">
        <v>1</v>
      </c>
      <c r="AB110" s="18">
        <v>409</v>
      </c>
      <c r="AC110" s="18">
        <v>0</v>
      </c>
      <c r="AD110" s="6">
        <v>0.24576316780545543</v>
      </c>
      <c r="AE110" s="6">
        <v>0.246</v>
      </c>
      <c r="AF110" s="6">
        <v>0.62176347829799639</v>
      </c>
      <c r="AG110" s="6">
        <v>0.621</v>
      </c>
      <c r="AH110" s="7">
        <v>44</v>
      </c>
    </row>
    <row r="111" spans="2:34" x14ac:dyDescent="0.25">
      <c r="B111" s="3">
        <v>107</v>
      </c>
      <c r="C111" s="3" t="s">
        <v>218</v>
      </c>
      <c r="D111" s="3" t="s">
        <v>219</v>
      </c>
      <c r="E111" s="3" t="s">
        <v>704</v>
      </c>
      <c r="F111" s="3">
        <v>6308</v>
      </c>
      <c r="G111" s="3">
        <v>6</v>
      </c>
      <c r="H111" s="3"/>
      <c r="I111" s="4">
        <v>9438</v>
      </c>
      <c r="J111" s="4">
        <v>382</v>
      </c>
      <c r="K111" s="18">
        <v>0</v>
      </c>
      <c r="L111" s="18">
        <v>358</v>
      </c>
      <c r="M111" s="18">
        <v>0</v>
      </c>
      <c r="N111" s="18">
        <v>0</v>
      </c>
      <c r="O111" s="18">
        <v>24</v>
      </c>
      <c r="P111" s="18">
        <v>0</v>
      </c>
      <c r="Q111" s="6">
        <v>4.0474676838313205E-2</v>
      </c>
      <c r="R111" s="3">
        <v>0.04</v>
      </c>
      <c r="S111" s="6">
        <v>0.37378551528999815</v>
      </c>
      <c r="T111" s="25">
        <v>0.374</v>
      </c>
      <c r="U111" s="7">
        <v>312</v>
      </c>
      <c r="V111" s="4">
        <v>9259</v>
      </c>
      <c r="W111" s="4">
        <v>422</v>
      </c>
      <c r="X111" s="18">
        <v>0</v>
      </c>
      <c r="Y111" s="18">
        <v>403</v>
      </c>
      <c r="Z111" s="18">
        <v>1</v>
      </c>
      <c r="AA111" s="18">
        <v>0</v>
      </c>
      <c r="AB111" s="18">
        <v>18</v>
      </c>
      <c r="AC111" s="18">
        <v>0</v>
      </c>
      <c r="AD111" s="6">
        <v>4.5577276163732583E-2</v>
      </c>
      <c r="AE111" s="6">
        <v>4.5999999999999999E-2</v>
      </c>
      <c r="AF111" s="6">
        <v>0.38974363309969928</v>
      </c>
      <c r="AG111" s="6">
        <v>0.38900000000000001</v>
      </c>
      <c r="AH111" s="7">
        <v>294</v>
      </c>
    </row>
    <row r="112" spans="2:34" x14ac:dyDescent="0.25">
      <c r="B112" s="3">
        <v>108</v>
      </c>
      <c r="C112" s="3" t="s">
        <v>220</v>
      </c>
      <c r="D112" s="3" t="s">
        <v>221</v>
      </c>
      <c r="E112" s="3" t="s">
        <v>704</v>
      </c>
      <c r="F112" s="3">
        <v>6309</v>
      </c>
      <c r="G112" s="3">
        <v>6</v>
      </c>
      <c r="H112" s="3"/>
      <c r="I112" s="4">
        <v>4559</v>
      </c>
      <c r="J112" s="4">
        <v>175</v>
      </c>
      <c r="K112" s="18">
        <v>0</v>
      </c>
      <c r="L112" s="18">
        <v>0</v>
      </c>
      <c r="M112" s="18">
        <v>0</v>
      </c>
      <c r="N112" s="18">
        <v>0</v>
      </c>
      <c r="O112" s="18">
        <v>175</v>
      </c>
      <c r="P112" s="18">
        <v>0</v>
      </c>
      <c r="Q112" s="6">
        <v>3.8385610879578855E-2</v>
      </c>
      <c r="R112" s="3">
        <v>3.7999999999999999E-2</v>
      </c>
      <c r="S112" s="6">
        <v>0.37163232844565425</v>
      </c>
      <c r="T112" s="25">
        <v>0.372</v>
      </c>
      <c r="U112" s="7">
        <v>313</v>
      </c>
      <c r="V112" s="4">
        <v>3520</v>
      </c>
      <c r="W112" s="4">
        <v>181</v>
      </c>
      <c r="X112" s="18">
        <v>0</v>
      </c>
      <c r="Y112" s="18">
        <v>1</v>
      </c>
      <c r="Z112" s="18">
        <v>0</v>
      </c>
      <c r="AA112" s="18">
        <v>0</v>
      </c>
      <c r="AB112" s="18">
        <v>180</v>
      </c>
      <c r="AC112" s="18">
        <v>0</v>
      </c>
      <c r="AD112" s="6">
        <v>5.1420454545454547E-2</v>
      </c>
      <c r="AE112" s="6">
        <v>5.0999999999999997E-2</v>
      </c>
      <c r="AF112" s="6">
        <v>0.3955441292296567</v>
      </c>
      <c r="AG112" s="6">
        <v>0.39600000000000002</v>
      </c>
      <c r="AH112" s="7">
        <v>287</v>
      </c>
    </row>
    <row r="113" spans="2:34" x14ac:dyDescent="0.25">
      <c r="B113" s="3">
        <v>109</v>
      </c>
      <c r="C113" s="3" t="s">
        <v>222</v>
      </c>
      <c r="D113" s="3" t="s">
        <v>223</v>
      </c>
      <c r="E113" s="3" t="s">
        <v>704</v>
      </c>
      <c r="F113" s="3">
        <v>6114</v>
      </c>
      <c r="G113" s="3">
        <v>6</v>
      </c>
      <c r="H113" s="3">
        <v>0.503</v>
      </c>
      <c r="I113" s="4">
        <v>13558</v>
      </c>
      <c r="J113" s="4">
        <v>1905</v>
      </c>
      <c r="K113" s="18">
        <v>0</v>
      </c>
      <c r="L113" s="18">
        <v>1878</v>
      </c>
      <c r="M113" s="18">
        <v>0</v>
      </c>
      <c r="N113" s="18">
        <v>0</v>
      </c>
      <c r="O113" s="18">
        <v>27</v>
      </c>
      <c r="P113" s="18">
        <v>0</v>
      </c>
      <c r="Q113" s="6">
        <v>0.14050744947632393</v>
      </c>
      <c r="R113" s="3">
        <v>0.14099999999999999</v>
      </c>
      <c r="S113" s="6">
        <v>0.47688865051982271</v>
      </c>
      <c r="T113" s="25">
        <v>0.47699999999999998</v>
      </c>
      <c r="U113" s="7">
        <v>191</v>
      </c>
      <c r="V113" s="4">
        <v>14194</v>
      </c>
      <c r="W113" s="4">
        <v>1604</v>
      </c>
      <c r="X113" s="18">
        <v>0</v>
      </c>
      <c r="Y113" s="18">
        <v>1578</v>
      </c>
      <c r="Z113" s="18">
        <v>0</v>
      </c>
      <c r="AA113" s="18">
        <v>0</v>
      </c>
      <c r="AB113" s="18">
        <v>26</v>
      </c>
      <c r="AC113" s="18">
        <v>0</v>
      </c>
      <c r="AD113" s="6">
        <v>0.11300549527969564</v>
      </c>
      <c r="AE113" s="6">
        <v>0.113</v>
      </c>
      <c r="AF113" s="6">
        <v>0.46747028124112883</v>
      </c>
      <c r="AG113" s="6">
        <v>0.46800000000000003</v>
      </c>
      <c r="AH113" s="7">
        <v>194</v>
      </c>
    </row>
    <row r="114" spans="2:34" x14ac:dyDescent="0.25">
      <c r="B114" s="3">
        <v>110</v>
      </c>
      <c r="C114" s="3" t="s">
        <v>224</v>
      </c>
      <c r="D114" s="3" t="s">
        <v>225</v>
      </c>
      <c r="E114" s="3" t="s">
        <v>704</v>
      </c>
      <c r="F114" s="3">
        <v>6101</v>
      </c>
      <c r="G114" s="3">
        <v>6</v>
      </c>
      <c r="H114" s="3">
        <v>0.59199999999999997</v>
      </c>
      <c r="I114" s="4">
        <v>257744</v>
      </c>
      <c r="J114" s="4">
        <v>73250</v>
      </c>
      <c r="K114" s="18">
        <v>10</v>
      </c>
      <c r="L114" s="18">
        <v>48816</v>
      </c>
      <c r="M114" s="18">
        <v>23477</v>
      </c>
      <c r="N114" s="18">
        <v>0</v>
      </c>
      <c r="O114" s="18">
        <v>947</v>
      </c>
      <c r="P114" s="18">
        <v>0</v>
      </c>
      <c r="Q114" s="6">
        <v>0.28419672232913279</v>
      </c>
      <c r="R114" s="3">
        <v>0.28399999999999997</v>
      </c>
      <c r="S114" s="6">
        <v>0.62498825967120331</v>
      </c>
      <c r="T114" s="25">
        <v>0.625</v>
      </c>
      <c r="U114" s="7">
        <v>40</v>
      </c>
      <c r="V114" s="4">
        <v>272290</v>
      </c>
      <c r="W114" s="4">
        <v>71712</v>
      </c>
      <c r="X114" s="18">
        <v>105</v>
      </c>
      <c r="Y114" s="18">
        <v>45659</v>
      </c>
      <c r="Z114" s="18">
        <v>24666</v>
      </c>
      <c r="AA114" s="18">
        <v>0</v>
      </c>
      <c r="AB114" s="18">
        <v>1282</v>
      </c>
      <c r="AC114" s="18">
        <v>0</v>
      </c>
      <c r="AD114" s="6">
        <v>0.26336626390980206</v>
      </c>
      <c r="AE114" s="6">
        <v>0.26300000000000001</v>
      </c>
      <c r="AF114" s="6">
        <v>0.64148516513985165</v>
      </c>
      <c r="AG114" s="6">
        <v>0.64200000000000002</v>
      </c>
      <c r="AH114" s="7">
        <v>30</v>
      </c>
    </row>
    <row r="115" spans="2:34" x14ac:dyDescent="0.25">
      <c r="B115" s="3">
        <v>111</v>
      </c>
      <c r="C115" s="3" t="s">
        <v>226</v>
      </c>
      <c r="D115" s="3" t="s">
        <v>227</v>
      </c>
      <c r="E115" s="3" t="s">
        <v>704</v>
      </c>
      <c r="F115" s="3">
        <v>6115</v>
      </c>
      <c r="G115" s="3">
        <v>6</v>
      </c>
      <c r="H115" s="3">
        <v>0.57199999999999995</v>
      </c>
      <c r="I115" s="4">
        <v>63620</v>
      </c>
      <c r="J115" s="4">
        <v>14471</v>
      </c>
      <c r="K115" s="18">
        <v>0</v>
      </c>
      <c r="L115" s="18">
        <v>12289</v>
      </c>
      <c r="M115" s="18">
        <v>1867</v>
      </c>
      <c r="N115" s="18">
        <v>0</v>
      </c>
      <c r="O115" s="18">
        <v>315</v>
      </c>
      <c r="P115" s="18">
        <v>0</v>
      </c>
      <c r="Q115" s="6">
        <v>0.22745991826469664</v>
      </c>
      <c r="R115" s="3">
        <v>0.22700000000000001</v>
      </c>
      <c r="S115" s="6">
        <v>0.56651000071968827</v>
      </c>
      <c r="T115" s="25">
        <v>0.56699999999999995</v>
      </c>
      <c r="U115" s="7">
        <v>96</v>
      </c>
      <c r="V115" s="4">
        <v>65318</v>
      </c>
      <c r="W115" s="4">
        <v>13503</v>
      </c>
      <c r="X115" s="18">
        <v>10</v>
      </c>
      <c r="Y115" s="18">
        <v>10932</v>
      </c>
      <c r="Z115" s="18">
        <v>2176</v>
      </c>
      <c r="AA115" s="18">
        <v>0</v>
      </c>
      <c r="AB115" s="18">
        <v>385</v>
      </c>
      <c r="AC115" s="18">
        <v>0</v>
      </c>
      <c r="AD115" s="6">
        <v>0.20672708901068618</v>
      </c>
      <c r="AE115" s="6">
        <v>0.20699999999999999</v>
      </c>
      <c r="AF115" s="6">
        <v>0.57651960848432837</v>
      </c>
      <c r="AG115" s="6">
        <v>0.57599999999999996</v>
      </c>
      <c r="AH115" s="7">
        <v>87</v>
      </c>
    </row>
    <row r="116" spans="2:34" x14ac:dyDescent="0.25">
      <c r="B116" s="3">
        <v>112</v>
      </c>
      <c r="C116" s="3" t="s">
        <v>228</v>
      </c>
      <c r="D116" s="3" t="s">
        <v>229</v>
      </c>
      <c r="E116" s="3" t="s">
        <v>704</v>
      </c>
      <c r="F116" s="3">
        <v>6116</v>
      </c>
      <c r="G116" s="3">
        <v>6</v>
      </c>
      <c r="H116" s="3">
        <v>0.53600000000000003</v>
      </c>
      <c r="I116" s="4">
        <v>29508</v>
      </c>
      <c r="J116" s="4">
        <v>3485</v>
      </c>
      <c r="K116" s="18">
        <v>0</v>
      </c>
      <c r="L116" s="18">
        <v>3257</v>
      </c>
      <c r="M116" s="18">
        <v>0</v>
      </c>
      <c r="N116" s="18">
        <v>0</v>
      </c>
      <c r="O116" s="18">
        <v>228</v>
      </c>
      <c r="P116" s="18">
        <v>0</v>
      </c>
      <c r="Q116" s="6">
        <v>0.11810356513487867</v>
      </c>
      <c r="R116" s="3">
        <v>0.11799999999999999</v>
      </c>
      <c r="S116" s="6">
        <v>0.45379711105716813</v>
      </c>
      <c r="T116" s="25">
        <v>0.45400000000000001</v>
      </c>
      <c r="U116" s="7">
        <v>216</v>
      </c>
      <c r="V116" s="4">
        <v>31410</v>
      </c>
      <c r="W116" s="4">
        <v>3109</v>
      </c>
      <c r="X116" s="18">
        <v>3</v>
      </c>
      <c r="Y116" s="18">
        <v>2986</v>
      </c>
      <c r="Z116" s="18">
        <v>0</v>
      </c>
      <c r="AA116" s="18">
        <v>0</v>
      </c>
      <c r="AB116" s="18">
        <v>120</v>
      </c>
      <c r="AC116" s="18">
        <v>0</v>
      </c>
      <c r="AD116" s="6">
        <v>9.8981216173193248E-2</v>
      </c>
      <c r="AE116" s="6">
        <v>9.9000000000000005E-2</v>
      </c>
      <c r="AF116" s="6">
        <v>0.45122889207724803</v>
      </c>
      <c r="AG116" s="6">
        <v>0.45100000000000001</v>
      </c>
      <c r="AH116" s="7">
        <v>220</v>
      </c>
    </row>
    <row r="117" spans="2:34" x14ac:dyDescent="0.25">
      <c r="B117" s="3">
        <v>113</v>
      </c>
      <c r="C117" s="3" t="s">
        <v>230</v>
      </c>
      <c r="D117" s="3" t="s">
        <v>231</v>
      </c>
      <c r="E117" s="3" t="s">
        <v>704</v>
      </c>
      <c r="F117" s="3">
        <v>6301</v>
      </c>
      <c r="G117" s="3">
        <v>6</v>
      </c>
      <c r="H117" s="3">
        <v>0.58099999999999996</v>
      </c>
      <c r="I117" s="4">
        <v>75585</v>
      </c>
      <c r="J117" s="4">
        <v>17147</v>
      </c>
      <c r="K117" s="18">
        <v>5</v>
      </c>
      <c r="L117" s="18">
        <v>13584</v>
      </c>
      <c r="M117" s="18">
        <v>3036</v>
      </c>
      <c r="N117" s="18">
        <v>0</v>
      </c>
      <c r="O117" s="18">
        <v>522</v>
      </c>
      <c r="P117" s="18">
        <v>0</v>
      </c>
      <c r="Q117" s="6">
        <v>0.22685718065753788</v>
      </c>
      <c r="R117" s="3">
        <v>0.22700000000000001</v>
      </c>
      <c r="S117" s="6">
        <v>0.56588876294550527</v>
      </c>
      <c r="T117" s="25">
        <v>0.56599999999999995</v>
      </c>
      <c r="U117" s="7">
        <v>97</v>
      </c>
      <c r="V117" s="4">
        <v>80547</v>
      </c>
      <c r="W117" s="4">
        <v>16926</v>
      </c>
      <c r="X117" s="18">
        <v>45</v>
      </c>
      <c r="Y117" s="18">
        <v>12247</v>
      </c>
      <c r="Z117" s="18">
        <v>3971</v>
      </c>
      <c r="AA117" s="18">
        <v>0</v>
      </c>
      <c r="AB117" s="18">
        <v>663</v>
      </c>
      <c r="AC117" s="18">
        <v>0</v>
      </c>
      <c r="AD117" s="6">
        <v>0.21013818019293085</v>
      </c>
      <c r="AE117" s="6">
        <v>0.21</v>
      </c>
      <c r="AF117" s="6">
        <v>0.5799999061623029</v>
      </c>
      <c r="AG117" s="6">
        <v>0.57999999999999996</v>
      </c>
      <c r="AH117" s="7">
        <v>79</v>
      </c>
    </row>
    <row r="118" spans="2:34" x14ac:dyDescent="0.25">
      <c r="B118" s="3">
        <v>114</v>
      </c>
      <c r="C118" s="3" t="s">
        <v>232</v>
      </c>
      <c r="D118" s="3" t="s">
        <v>233</v>
      </c>
      <c r="E118" s="3" t="s">
        <v>704</v>
      </c>
      <c r="F118" s="3">
        <v>6117</v>
      </c>
      <c r="G118" s="3">
        <v>6</v>
      </c>
      <c r="H118" s="3">
        <v>0.505</v>
      </c>
      <c r="I118" s="4">
        <v>49559</v>
      </c>
      <c r="J118" s="4">
        <v>6525</v>
      </c>
      <c r="K118" s="18">
        <v>0</v>
      </c>
      <c r="L118" s="18">
        <v>6127</v>
      </c>
      <c r="M118" s="18">
        <v>0</v>
      </c>
      <c r="N118" s="18">
        <v>0</v>
      </c>
      <c r="O118" s="18">
        <v>398</v>
      </c>
      <c r="P118" s="18">
        <v>0</v>
      </c>
      <c r="Q118" s="6">
        <v>0.13166125224479913</v>
      </c>
      <c r="R118" s="3">
        <v>0.13200000000000001</v>
      </c>
      <c r="S118" s="6">
        <v>0.46777093194241093</v>
      </c>
      <c r="T118" s="25">
        <v>0.46800000000000003</v>
      </c>
      <c r="U118" s="7">
        <v>199</v>
      </c>
      <c r="V118" s="4">
        <v>51910</v>
      </c>
      <c r="W118" s="4">
        <v>6323</v>
      </c>
      <c r="X118" s="18">
        <v>17</v>
      </c>
      <c r="Y118" s="18">
        <v>5871</v>
      </c>
      <c r="Z118" s="18">
        <v>1</v>
      </c>
      <c r="AA118" s="18">
        <v>0</v>
      </c>
      <c r="AB118" s="18">
        <v>434</v>
      </c>
      <c r="AC118" s="18">
        <v>0</v>
      </c>
      <c r="AD118" s="6">
        <v>0.12180697360816799</v>
      </c>
      <c r="AE118" s="6">
        <v>0.122</v>
      </c>
      <c r="AF118" s="6">
        <v>0.4779111742750522</v>
      </c>
      <c r="AG118" s="6">
        <v>0.47799999999999998</v>
      </c>
      <c r="AH118" s="7">
        <v>189</v>
      </c>
    </row>
    <row r="119" spans="2:34" x14ac:dyDescent="0.25">
      <c r="B119" s="3">
        <v>115</v>
      </c>
      <c r="C119" s="3" t="s">
        <v>234</v>
      </c>
      <c r="D119" s="3" t="s">
        <v>235</v>
      </c>
      <c r="E119" s="3" t="s">
        <v>704</v>
      </c>
      <c r="F119" s="3">
        <v>6310</v>
      </c>
      <c r="G119" s="3">
        <v>6</v>
      </c>
      <c r="H119" s="3">
        <v>0.502</v>
      </c>
      <c r="I119" s="4">
        <v>41209</v>
      </c>
      <c r="J119" s="4">
        <v>6628</v>
      </c>
      <c r="K119" s="18">
        <v>0</v>
      </c>
      <c r="L119" s="18">
        <v>6184</v>
      </c>
      <c r="M119" s="18">
        <v>25</v>
      </c>
      <c r="N119" s="18">
        <v>0</v>
      </c>
      <c r="O119" s="18">
        <v>419</v>
      </c>
      <c r="P119" s="18">
        <v>0</v>
      </c>
      <c r="Q119" s="6">
        <v>0.16083865175083112</v>
      </c>
      <c r="R119" s="3">
        <v>0.161</v>
      </c>
      <c r="S119" s="6">
        <v>0.49784388991000739</v>
      </c>
      <c r="T119" s="25">
        <v>0.498</v>
      </c>
      <c r="U119" s="7">
        <v>164</v>
      </c>
      <c r="V119" s="4">
        <v>42235</v>
      </c>
      <c r="W119" s="4">
        <v>6517</v>
      </c>
      <c r="X119" s="18">
        <v>2</v>
      </c>
      <c r="Y119" s="18">
        <v>5922</v>
      </c>
      <c r="Z119" s="18">
        <v>0</v>
      </c>
      <c r="AA119" s="18">
        <v>0</v>
      </c>
      <c r="AB119" s="18">
        <v>593</v>
      </c>
      <c r="AC119" s="18">
        <v>0</v>
      </c>
      <c r="AD119" s="6">
        <v>0.15430330294779213</v>
      </c>
      <c r="AE119" s="6">
        <v>0.154</v>
      </c>
      <c r="AF119" s="6">
        <v>0.51503434950677973</v>
      </c>
      <c r="AG119" s="6">
        <v>0.51500000000000001</v>
      </c>
      <c r="AH119" s="7">
        <v>143</v>
      </c>
    </row>
    <row r="120" spans="2:34" x14ac:dyDescent="0.25">
      <c r="B120" s="3">
        <v>116</v>
      </c>
      <c r="C120" s="3" t="s">
        <v>236</v>
      </c>
      <c r="D120" s="3" t="s">
        <v>237</v>
      </c>
      <c r="E120" s="3" t="s">
        <v>238</v>
      </c>
      <c r="F120" s="3">
        <v>7201</v>
      </c>
      <c r="G120" s="3">
        <v>7</v>
      </c>
      <c r="H120" s="3">
        <v>0.53700000000000003</v>
      </c>
      <c r="I120" s="4">
        <v>42798</v>
      </c>
      <c r="J120" s="4">
        <v>8746</v>
      </c>
      <c r="K120" s="18">
        <v>2</v>
      </c>
      <c r="L120" s="18">
        <v>8267</v>
      </c>
      <c r="M120" s="18">
        <v>90</v>
      </c>
      <c r="N120" s="18">
        <v>0</v>
      </c>
      <c r="O120" s="18">
        <v>387</v>
      </c>
      <c r="P120" s="18">
        <v>0</v>
      </c>
      <c r="Q120" s="6">
        <v>0.20435534370764988</v>
      </c>
      <c r="R120" s="3">
        <v>0.20399999999999999</v>
      </c>
      <c r="S120" s="6">
        <v>0.54269626435947482</v>
      </c>
      <c r="T120" s="25">
        <v>0.54300000000000004</v>
      </c>
      <c r="U120" s="7">
        <v>115</v>
      </c>
      <c r="V120" s="4">
        <v>44389</v>
      </c>
      <c r="W120" s="4">
        <v>8262</v>
      </c>
      <c r="X120" s="18">
        <v>14</v>
      </c>
      <c r="Y120" s="18">
        <v>7906</v>
      </c>
      <c r="Z120" s="18">
        <v>8</v>
      </c>
      <c r="AA120" s="18">
        <v>0</v>
      </c>
      <c r="AB120" s="18">
        <v>334</v>
      </c>
      <c r="AC120" s="18">
        <v>0</v>
      </c>
      <c r="AD120" s="6">
        <v>0.18612719367410846</v>
      </c>
      <c r="AE120" s="6">
        <v>0.186</v>
      </c>
      <c r="AF120" s="6">
        <v>0.55215752473850721</v>
      </c>
      <c r="AG120" s="6">
        <v>0.55200000000000005</v>
      </c>
      <c r="AH120" s="7">
        <v>108</v>
      </c>
    </row>
    <row r="121" spans="2:34" x14ac:dyDescent="0.25">
      <c r="B121" s="3">
        <v>117</v>
      </c>
      <c r="C121" s="3" t="s">
        <v>239</v>
      </c>
      <c r="D121" s="3" t="s">
        <v>240</v>
      </c>
      <c r="E121" s="3" t="s">
        <v>238</v>
      </c>
      <c r="F121" s="3">
        <v>7202</v>
      </c>
      <c r="G121" s="3">
        <v>7</v>
      </c>
      <c r="H121" s="3">
        <v>0.45300000000000001</v>
      </c>
      <c r="I121" s="4">
        <v>9446</v>
      </c>
      <c r="J121" s="4">
        <v>332</v>
      </c>
      <c r="K121" s="18">
        <v>2</v>
      </c>
      <c r="L121" s="18">
        <v>255</v>
      </c>
      <c r="M121" s="18">
        <v>0</v>
      </c>
      <c r="N121" s="18">
        <v>0</v>
      </c>
      <c r="O121" s="18">
        <v>75</v>
      </c>
      <c r="P121" s="18">
        <v>0</v>
      </c>
      <c r="Q121" s="6">
        <v>3.5147152233749736E-2</v>
      </c>
      <c r="R121" s="3">
        <v>3.5000000000000003E-2</v>
      </c>
      <c r="S121" s="6">
        <v>0.36829446995296422</v>
      </c>
      <c r="T121" s="25">
        <v>0.36799999999999999</v>
      </c>
      <c r="U121" s="7">
        <v>320</v>
      </c>
      <c r="V121" s="4">
        <v>9278</v>
      </c>
      <c r="W121" s="4">
        <v>309</v>
      </c>
      <c r="X121" s="18">
        <v>5</v>
      </c>
      <c r="Y121" s="18">
        <v>240</v>
      </c>
      <c r="Z121" s="18">
        <v>0</v>
      </c>
      <c r="AA121" s="18">
        <v>0</v>
      </c>
      <c r="AB121" s="18">
        <v>64</v>
      </c>
      <c r="AC121" s="18">
        <v>0</v>
      </c>
      <c r="AD121" s="6">
        <v>3.3304591506790257E-2</v>
      </c>
      <c r="AE121" s="6">
        <v>3.3000000000000002E-2</v>
      </c>
      <c r="AF121" s="6">
        <v>0.37466234316181002</v>
      </c>
      <c r="AG121" s="6">
        <v>0.375</v>
      </c>
      <c r="AH121" s="7">
        <v>316</v>
      </c>
    </row>
    <row r="122" spans="2:34" x14ac:dyDescent="0.25">
      <c r="B122" s="3">
        <v>118</v>
      </c>
      <c r="C122" s="3" t="s">
        <v>241</v>
      </c>
      <c r="D122" s="3" t="s">
        <v>242</v>
      </c>
      <c r="E122" s="3" t="s">
        <v>238</v>
      </c>
      <c r="F122" s="3">
        <v>7402</v>
      </c>
      <c r="G122" s="3">
        <v>7</v>
      </c>
      <c r="H122" s="3">
        <v>0.42499999999999999</v>
      </c>
      <c r="I122" s="4">
        <v>22637</v>
      </c>
      <c r="J122" s="4">
        <v>1617</v>
      </c>
      <c r="K122" s="18">
        <v>16</v>
      </c>
      <c r="L122" s="18">
        <v>1401</v>
      </c>
      <c r="M122" s="18">
        <v>0</v>
      </c>
      <c r="N122" s="18">
        <v>0</v>
      </c>
      <c r="O122" s="18">
        <v>200</v>
      </c>
      <c r="P122" s="18">
        <v>0</v>
      </c>
      <c r="Q122" s="6">
        <v>7.1431726818924762E-2</v>
      </c>
      <c r="R122" s="3">
        <v>7.0999999999999994E-2</v>
      </c>
      <c r="S122" s="6">
        <v>0.40569274755294371</v>
      </c>
      <c r="T122" s="25">
        <v>0.40600000000000003</v>
      </c>
      <c r="U122" s="7">
        <v>274</v>
      </c>
      <c r="V122" s="4">
        <v>23262</v>
      </c>
      <c r="W122" s="4">
        <v>1580</v>
      </c>
      <c r="X122" s="18">
        <v>16</v>
      </c>
      <c r="Y122" s="18">
        <v>1414</v>
      </c>
      <c r="Z122" s="18">
        <v>0</v>
      </c>
      <c r="AA122" s="18">
        <v>0</v>
      </c>
      <c r="AB122" s="18">
        <v>150</v>
      </c>
      <c r="AC122" s="18">
        <v>0</v>
      </c>
      <c r="AD122" s="6">
        <v>6.7921932765884277E-2</v>
      </c>
      <c r="AE122" s="6">
        <v>6.8000000000000005E-2</v>
      </c>
      <c r="AF122" s="6">
        <v>0.41526581607151197</v>
      </c>
      <c r="AG122" s="6">
        <v>0.41499999999999998</v>
      </c>
      <c r="AH122" s="7">
        <v>258</v>
      </c>
    </row>
    <row r="123" spans="2:34" x14ac:dyDescent="0.25">
      <c r="B123" s="3">
        <v>119</v>
      </c>
      <c r="C123" s="3" t="s">
        <v>243</v>
      </c>
      <c r="D123" s="3" t="s">
        <v>244</v>
      </c>
      <c r="E123" s="3" t="s">
        <v>238</v>
      </c>
      <c r="F123" s="3">
        <v>7102</v>
      </c>
      <c r="G123" s="3">
        <v>7</v>
      </c>
      <c r="H123" s="3">
        <v>0.51700000000000002</v>
      </c>
      <c r="I123" s="4">
        <v>47004</v>
      </c>
      <c r="J123" s="4">
        <v>7399</v>
      </c>
      <c r="K123" s="18">
        <v>2</v>
      </c>
      <c r="L123" s="18">
        <v>5402</v>
      </c>
      <c r="M123" s="18">
        <v>1586</v>
      </c>
      <c r="N123" s="18">
        <v>0</v>
      </c>
      <c r="O123" s="18">
        <v>409</v>
      </c>
      <c r="P123" s="18">
        <v>0</v>
      </c>
      <c r="Q123" s="6">
        <v>0.1574121351374351</v>
      </c>
      <c r="R123" s="3">
        <v>0.157</v>
      </c>
      <c r="S123" s="6">
        <v>0.49431220127995568</v>
      </c>
      <c r="T123" s="25">
        <v>0.49399999999999999</v>
      </c>
      <c r="U123" s="7">
        <v>169</v>
      </c>
      <c r="V123" s="4">
        <v>50601</v>
      </c>
      <c r="W123" s="4">
        <v>6993</v>
      </c>
      <c r="X123" s="18">
        <v>4</v>
      </c>
      <c r="Y123" s="18">
        <v>4852</v>
      </c>
      <c r="Z123" s="18">
        <v>1704</v>
      </c>
      <c r="AA123" s="18">
        <v>0</v>
      </c>
      <c r="AB123" s="18">
        <v>433</v>
      </c>
      <c r="AC123" s="18">
        <v>0</v>
      </c>
      <c r="AD123" s="6">
        <v>0.13819884982510228</v>
      </c>
      <c r="AE123" s="6">
        <v>0.13800000000000001</v>
      </c>
      <c r="AF123" s="6">
        <v>0.49647276189091594</v>
      </c>
      <c r="AG123" s="6">
        <v>0.497</v>
      </c>
      <c r="AH123" s="7">
        <v>166</v>
      </c>
    </row>
    <row r="124" spans="2:34" x14ac:dyDescent="0.25">
      <c r="B124" s="3">
        <v>120</v>
      </c>
      <c r="C124" s="3" t="s">
        <v>245</v>
      </c>
      <c r="D124" s="3" t="s">
        <v>246</v>
      </c>
      <c r="E124" s="3" t="s">
        <v>238</v>
      </c>
      <c r="F124" s="3">
        <v>7103</v>
      </c>
      <c r="G124" s="3">
        <v>7</v>
      </c>
      <c r="H124" s="3">
        <v>0.52600000000000002</v>
      </c>
      <c r="I124" s="4">
        <v>9519</v>
      </c>
      <c r="J124" s="4">
        <v>342</v>
      </c>
      <c r="K124" s="18">
        <v>17</v>
      </c>
      <c r="L124" s="18">
        <v>254</v>
      </c>
      <c r="M124" s="18">
        <v>0</v>
      </c>
      <c r="N124" s="18">
        <v>0</v>
      </c>
      <c r="O124" s="18">
        <v>71</v>
      </c>
      <c r="P124" s="18">
        <v>0</v>
      </c>
      <c r="Q124" s="6">
        <v>3.5928143712574849E-2</v>
      </c>
      <c r="R124" s="3">
        <v>3.5999999999999997E-2</v>
      </c>
      <c r="S124" s="6">
        <v>0.36909943284593566</v>
      </c>
      <c r="T124" s="25">
        <v>0.36899999999999999</v>
      </c>
      <c r="U124" s="7">
        <v>319</v>
      </c>
      <c r="V124" s="4">
        <v>9209</v>
      </c>
      <c r="W124" s="4">
        <v>309</v>
      </c>
      <c r="X124" s="18">
        <v>20</v>
      </c>
      <c r="Y124" s="18">
        <v>241</v>
      </c>
      <c r="Z124" s="18">
        <v>0</v>
      </c>
      <c r="AA124" s="18">
        <v>0</v>
      </c>
      <c r="AB124" s="18">
        <v>48</v>
      </c>
      <c r="AC124" s="18">
        <v>0</v>
      </c>
      <c r="AD124" s="6">
        <v>3.3554131827559994E-2</v>
      </c>
      <c r="AE124" s="6">
        <v>3.4000000000000002E-2</v>
      </c>
      <c r="AF124" s="6">
        <v>0.37582244238780149</v>
      </c>
      <c r="AG124" s="6">
        <v>0.376</v>
      </c>
      <c r="AH124" s="7">
        <v>310</v>
      </c>
    </row>
    <row r="125" spans="2:34" x14ac:dyDescent="0.25">
      <c r="B125" s="3">
        <v>121</v>
      </c>
      <c r="C125" s="3" t="s">
        <v>247</v>
      </c>
      <c r="D125" s="3" t="s">
        <v>248</v>
      </c>
      <c r="E125" s="3" t="s">
        <v>238</v>
      </c>
      <c r="F125" s="3">
        <v>7301</v>
      </c>
      <c r="G125" s="3">
        <v>7</v>
      </c>
      <c r="H125" s="3">
        <v>0.60199999999999998</v>
      </c>
      <c r="I125" s="4">
        <v>159968</v>
      </c>
      <c r="J125" s="4">
        <v>42927</v>
      </c>
      <c r="K125" s="18">
        <v>11</v>
      </c>
      <c r="L125" s="18">
        <v>27444</v>
      </c>
      <c r="M125" s="18">
        <v>14954</v>
      </c>
      <c r="N125" s="18">
        <v>0</v>
      </c>
      <c r="O125" s="18">
        <v>506</v>
      </c>
      <c r="P125" s="18">
        <v>12</v>
      </c>
      <c r="Q125" s="6">
        <v>0.26834741948389679</v>
      </c>
      <c r="R125" s="3">
        <v>0.26800000000000002</v>
      </c>
      <c r="S125" s="6">
        <v>0.6086524851899322</v>
      </c>
      <c r="T125" s="25">
        <v>0.60899999999999999</v>
      </c>
      <c r="U125" s="7">
        <v>49</v>
      </c>
      <c r="V125" s="4">
        <v>169681</v>
      </c>
      <c r="W125" s="4">
        <v>40684</v>
      </c>
      <c r="X125" s="18">
        <v>68</v>
      </c>
      <c r="Y125" s="18">
        <v>23769</v>
      </c>
      <c r="Z125" s="18">
        <v>16223</v>
      </c>
      <c r="AA125" s="18">
        <v>0</v>
      </c>
      <c r="AB125" s="18">
        <v>611</v>
      </c>
      <c r="AC125" s="18">
        <v>13</v>
      </c>
      <c r="AD125" s="6">
        <v>0.23976756384038284</v>
      </c>
      <c r="AE125" s="6">
        <v>0.24</v>
      </c>
      <c r="AF125" s="6">
        <v>0.61480288294204744</v>
      </c>
      <c r="AG125" s="6">
        <v>0.61399999999999999</v>
      </c>
      <c r="AH125" s="7">
        <v>49</v>
      </c>
    </row>
    <row r="126" spans="2:34" x14ac:dyDescent="0.25">
      <c r="B126" s="3">
        <v>122</v>
      </c>
      <c r="C126" s="3" t="s">
        <v>249</v>
      </c>
      <c r="D126" s="3" t="s">
        <v>250</v>
      </c>
      <c r="E126" s="3" t="s">
        <v>238</v>
      </c>
      <c r="F126" s="3">
        <v>7104</v>
      </c>
      <c r="G126" s="3">
        <v>7</v>
      </c>
      <c r="H126" s="3">
        <v>0.39400000000000002</v>
      </c>
      <c r="I126" s="4">
        <v>3990</v>
      </c>
      <c r="J126" s="4">
        <v>225</v>
      </c>
      <c r="K126" s="18">
        <v>0</v>
      </c>
      <c r="L126" s="18">
        <v>205</v>
      </c>
      <c r="M126" s="18">
        <v>0</v>
      </c>
      <c r="N126" s="18">
        <v>0</v>
      </c>
      <c r="O126" s="18">
        <v>20</v>
      </c>
      <c r="P126" s="18">
        <v>0</v>
      </c>
      <c r="Q126" s="6">
        <v>5.6390977443609019E-2</v>
      </c>
      <c r="R126" s="3">
        <v>5.6000000000000001E-2</v>
      </c>
      <c r="S126" s="6">
        <v>0.39019034393155472</v>
      </c>
      <c r="T126" s="25">
        <v>0.39</v>
      </c>
      <c r="U126" s="7">
        <v>297</v>
      </c>
      <c r="V126" s="4">
        <v>4185</v>
      </c>
      <c r="W126" s="4">
        <v>14</v>
      </c>
      <c r="X126" s="18">
        <v>0</v>
      </c>
      <c r="Y126" s="18">
        <v>0</v>
      </c>
      <c r="Z126" s="18">
        <v>0</v>
      </c>
      <c r="AA126" s="18">
        <v>0</v>
      </c>
      <c r="AB126" s="18">
        <v>14</v>
      </c>
      <c r="AC126" s="18">
        <v>0</v>
      </c>
      <c r="AD126" s="6">
        <v>3.3452807646356035E-3</v>
      </c>
      <c r="AE126" s="6">
        <v>3.0000000000000001E-3</v>
      </c>
      <c r="AF126" s="6">
        <v>0.33985936638206543</v>
      </c>
      <c r="AG126" s="6">
        <v>0.34100000000000003</v>
      </c>
      <c r="AH126" s="7">
        <v>345</v>
      </c>
    </row>
    <row r="127" spans="2:34" x14ac:dyDescent="0.25">
      <c r="B127" s="3">
        <v>123</v>
      </c>
      <c r="C127" s="3" t="s">
        <v>251</v>
      </c>
      <c r="D127" s="3" t="s">
        <v>252</v>
      </c>
      <c r="E127" s="3" t="s">
        <v>238</v>
      </c>
      <c r="F127" s="3">
        <v>7302</v>
      </c>
      <c r="G127" s="3">
        <v>7</v>
      </c>
      <c r="H127" s="3">
        <v>0.53300000000000003</v>
      </c>
      <c r="I127" s="4">
        <v>10775</v>
      </c>
      <c r="J127" s="4">
        <v>749</v>
      </c>
      <c r="K127" s="18">
        <v>3</v>
      </c>
      <c r="L127" s="18">
        <v>686</v>
      </c>
      <c r="M127" s="18">
        <v>0</v>
      </c>
      <c r="N127" s="18">
        <v>0</v>
      </c>
      <c r="O127" s="18">
        <v>60</v>
      </c>
      <c r="P127" s="18">
        <v>0</v>
      </c>
      <c r="Q127" s="6">
        <v>6.9512761020881664E-2</v>
      </c>
      <c r="R127" s="3">
        <v>7.0000000000000007E-2</v>
      </c>
      <c r="S127" s="6">
        <v>0.40371488184994042</v>
      </c>
      <c r="T127" s="25">
        <v>0.40400000000000003</v>
      </c>
      <c r="U127" s="7">
        <v>279</v>
      </c>
      <c r="V127" s="4">
        <v>10230</v>
      </c>
      <c r="W127" s="4">
        <v>586</v>
      </c>
      <c r="X127" s="18">
        <v>7</v>
      </c>
      <c r="Y127" s="18">
        <v>547</v>
      </c>
      <c r="Z127" s="18">
        <v>0</v>
      </c>
      <c r="AA127" s="18">
        <v>1</v>
      </c>
      <c r="AB127" s="18">
        <v>31</v>
      </c>
      <c r="AC127" s="18">
        <v>0</v>
      </c>
      <c r="AD127" s="6">
        <v>5.7282502443792765E-2</v>
      </c>
      <c r="AE127" s="6">
        <v>5.7000000000000002E-2</v>
      </c>
      <c r="AF127" s="6">
        <v>0.40250472458560566</v>
      </c>
      <c r="AG127" s="6">
        <v>0.40300000000000002</v>
      </c>
      <c r="AH127" s="7">
        <v>275</v>
      </c>
    </row>
    <row r="128" spans="2:34" x14ac:dyDescent="0.25">
      <c r="B128" s="3">
        <v>124</v>
      </c>
      <c r="C128" s="3" t="s">
        <v>253</v>
      </c>
      <c r="D128" s="3" t="s">
        <v>254</v>
      </c>
      <c r="E128" s="3" t="s">
        <v>238</v>
      </c>
      <c r="F128" s="3">
        <v>7303</v>
      </c>
      <c r="G128" s="3">
        <v>7</v>
      </c>
      <c r="H128" s="3">
        <v>0.52600000000000002</v>
      </c>
      <c r="I128" s="4">
        <v>6892</v>
      </c>
      <c r="J128" s="4">
        <v>1196</v>
      </c>
      <c r="K128" s="18">
        <v>0</v>
      </c>
      <c r="L128" s="18">
        <v>1149</v>
      </c>
      <c r="M128" s="18">
        <v>16</v>
      </c>
      <c r="N128" s="18">
        <v>0</v>
      </c>
      <c r="O128" s="18">
        <v>31</v>
      </c>
      <c r="P128" s="18">
        <v>0</v>
      </c>
      <c r="Q128" s="6">
        <v>0.17353453279164249</v>
      </c>
      <c r="R128" s="3">
        <v>0.17399999999999999</v>
      </c>
      <c r="S128" s="6">
        <v>0.51092945282396729</v>
      </c>
      <c r="T128" s="25">
        <v>0.51100000000000001</v>
      </c>
      <c r="U128" s="7">
        <v>147</v>
      </c>
      <c r="V128" s="4">
        <v>6989</v>
      </c>
      <c r="W128" s="4">
        <v>1016</v>
      </c>
      <c r="X128" s="18">
        <v>0</v>
      </c>
      <c r="Y128" s="18">
        <v>970</v>
      </c>
      <c r="Z128" s="18">
        <v>18</v>
      </c>
      <c r="AA128" s="18">
        <v>0</v>
      </c>
      <c r="AB128" s="18">
        <v>28</v>
      </c>
      <c r="AC128" s="18">
        <v>0</v>
      </c>
      <c r="AD128" s="6">
        <v>0.14537129775361282</v>
      </c>
      <c r="AE128" s="6">
        <v>0.14499999999999999</v>
      </c>
      <c r="AF128" s="6">
        <v>0.50459345647285636</v>
      </c>
      <c r="AG128" s="6">
        <v>0.505</v>
      </c>
      <c r="AH128" s="7">
        <v>153</v>
      </c>
    </row>
    <row r="129" spans="2:34" x14ac:dyDescent="0.25">
      <c r="B129" s="3">
        <v>125</v>
      </c>
      <c r="C129" s="3" t="s">
        <v>255</v>
      </c>
      <c r="D129" s="3" t="s">
        <v>256</v>
      </c>
      <c r="E129" s="3" t="s">
        <v>238</v>
      </c>
      <c r="F129" s="3">
        <v>7401</v>
      </c>
      <c r="G129" s="3">
        <v>7</v>
      </c>
      <c r="H129" s="3">
        <v>0.54700000000000004</v>
      </c>
      <c r="I129" s="4">
        <v>96744</v>
      </c>
      <c r="J129" s="4">
        <v>18660</v>
      </c>
      <c r="K129" s="18">
        <v>16</v>
      </c>
      <c r="L129" s="18">
        <v>12634</v>
      </c>
      <c r="M129" s="18">
        <v>5250</v>
      </c>
      <c r="N129" s="18">
        <v>0</v>
      </c>
      <c r="O129" s="18">
        <v>760</v>
      </c>
      <c r="P129" s="18">
        <v>0</v>
      </c>
      <c r="Q129" s="6">
        <v>0.19288017861572812</v>
      </c>
      <c r="R129" s="3">
        <v>0.193</v>
      </c>
      <c r="S129" s="6">
        <v>0.53086888552095812</v>
      </c>
      <c r="T129" s="25">
        <v>0.53100000000000003</v>
      </c>
      <c r="U129" s="7">
        <v>125</v>
      </c>
      <c r="V129" s="4">
        <v>103303</v>
      </c>
      <c r="W129" s="4">
        <v>17681</v>
      </c>
      <c r="X129" s="18">
        <v>46</v>
      </c>
      <c r="Y129" s="18">
        <v>11123</v>
      </c>
      <c r="Z129" s="18">
        <v>5790</v>
      </c>
      <c r="AA129" s="18">
        <v>0</v>
      </c>
      <c r="AB129" s="18">
        <v>722</v>
      </c>
      <c r="AC129" s="18">
        <v>0</v>
      </c>
      <c r="AD129" s="6">
        <v>0.17115669438448061</v>
      </c>
      <c r="AE129" s="6">
        <v>0.17100000000000001</v>
      </c>
      <c r="AF129" s="6">
        <v>0.534756036348635</v>
      </c>
      <c r="AG129" s="6">
        <v>0.53500000000000003</v>
      </c>
      <c r="AH129" s="7">
        <v>126</v>
      </c>
    </row>
    <row r="130" spans="2:34" x14ac:dyDescent="0.25">
      <c r="B130" s="3">
        <v>126</v>
      </c>
      <c r="C130" s="3" t="s">
        <v>257</v>
      </c>
      <c r="D130" s="3" t="s">
        <v>258</v>
      </c>
      <c r="E130" s="3" t="s">
        <v>238</v>
      </c>
      <c r="F130" s="3">
        <v>7403</v>
      </c>
      <c r="G130" s="3">
        <v>7</v>
      </c>
      <c r="H130" s="3">
        <v>0.42399999999999999</v>
      </c>
      <c r="I130" s="4">
        <v>33299</v>
      </c>
      <c r="J130" s="4">
        <v>3614</v>
      </c>
      <c r="K130" s="18">
        <v>2</v>
      </c>
      <c r="L130" s="18">
        <v>3180</v>
      </c>
      <c r="M130" s="18">
        <v>12</v>
      </c>
      <c r="N130" s="18">
        <v>0</v>
      </c>
      <c r="O130" s="18">
        <v>420</v>
      </c>
      <c r="P130" s="18">
        <v>0</v>
      </c>
      <c r="Q130" s="6">
        <v>0.10853178774137362</v>
      </c>
      <c r="R130" s="3">
        <v>0.109</v>
      </c>
      <c r="S130" s="6">
        <v>0.44393154167458626</v>
      </c>
      <c r="T130" s="25">
        <v>0.44400000000000001</v>
      </c>
      <c r="U130" s="7">
        <v>226</v>
      </c>
      <c r="V130" s="4">
        <v>33467</v>
      </c>
      <c r="W130" s="4">
        <v>1617</v>
      </c>
      <c r="X130" s="18">
        <v>25</v>
      </c>
      <c r="Y130" s="18">
        <v>1136</v>
      </c>
      <c r="Z130" s="18">
        <v>31</v>
      </c>
      <c r="AA130" s="18">
        <v>0</v>
      </c>
      <c r="AB130" s="18">
        <v>425</v>
      </c>
      <c r="AC130" s="18">
        <v>0</v>
      </c>
      <c r="AD130" s="6">
        <v>4.8316251830161056E-2</v>
      </c>
      <c r="AE130" s="6">
        <v>4.8000000000000001E-2</v>
      </c>
      <c r="AF130" s="6">
        <v>0.39206383155168228</v>
      </c>
      <c r="AG130" s="6">
        <v>0.39300000000000002</v>
      </c>
      <c r="AH130" s="7">
        <v>290</v>
      </c>
    </row>
    <row r="131" spans="2:34" x14ac:dyDescent="0.25">
      <c r="B131" s="3">
        <v>127</v>
      </c>
      <c r="C131" s="3" t="s">
        <v>238</v>
      </c>
      <c r="D131" s="3" t="s">
        <v>259</v>
      </c>
      <c r="E131" s="3" t="s">
        <v>238</v>
      </c>
      <c r="F131" s="3">
        <v>7105</v>
      </c>
      <c r="G131" s="3">
        <v>7</v>
      </c>
      <c r="H131" s="3">
        <v>0.44500000000000001</v>
      </c>
      <c r="I131" s="4">
        <v>61081</v>
      </c>
      <c r="J131" s="4">
        <v>5133</v>
      </c>
      <c r="K131" s="18">
        <v>41</v>
      </c>
      <c r="L131" s="18">
        <v>3896</v>
      </c>
      <c r="M131" s="18">
        <v>933</v>
      </c>
      <c r="N131" s="18">
        <v>0</v>
      </c>
      <c r="O131" s="18">
        <v>251</v>
      </c>
      <c r="P131" s="18">
        <v>12</v>
      </c>
      <c r="Q131" s="6">
        <v>8.4035952260113622E-2</v>
      </c>
      <c r="R131" s="3">
        <v>8.4000000000000005E-2</v>
      </c>
      <c r="S131" s="6">
        <v>0.4186838416300091</v>
      </c>
      <c r="T131" s="25">
        <v>0.41899999999999998</v>
      </c>
      <c r="U131" s="7">
        <v>254</v>
      </c>
      <c r="V131" s="4">
        <v>66867</v>
      </c>
      <c r="W131" s="4">
        <v>4843</v>
      </c>
      <c r="X131" s="18">
        <v>55</v>
      </c>
      <c r="Y131" s="18">
        <v>3340</v>
      </c>
      <c r="Z131" s="18">
        <v>1241</v>
      </c>
      <c r="AA131" s="18">
        <v>0</v>
      </c>
      <c r="AB131" s="18">
        <v>195</v>
      </c>
      <c r="AC131" s="18">
        <v>12</v>
      </c>
      <c r="AD131" s="6">
        <v>7.2427355795833523E-2</v>
      </c>
      <c r="AE131" s="6">
        <v>7.1999999999999995E-2</v>
      </c>
      <c r="AF131" s="6">
        <v>0.41990621297547792</v>
      </c>
      <c r="AG131" s="6">
        <v>0.42099999999999999</v>
      </c>
      <c r="AH131" s="7">
        <v>250</v>
      </c>
    </row>
    <row r="132" spans="2:34" x14ac:dyDescent="0.25">
      <c r="B132" s="3">
        <v>128</v>
      </c>
      <c r="C132" s="3" t="s">
        <v>260</v>
      </c>
      <c r="D132" s="3" t="s">
        <v>261</v>
      </c>
      <c r="E132" s="3" t="s">
        <v>238</v>
      </c>
      <c r="F132" s="3">
        <v>7304</v>
      </c>
      <c r="G132" s="3">
        <v>7</v>
      </c>
      <c r="H132" s="3">
        <v>0.51100000000000001</v>
      </c>
      <c r="I132" s="4">
        <v>48949</v>
      </c>
      <c r="J132" s="4">
        <v>5870</v>
      </c>
      <c r="K132" s="18">
        <v>0</v>
      </c>
      <c r="L132" s="18">
        <v>5628</v>
      </c>
      <c r="M132" s="18">
        <v>59</v>
      </c>
      <c r="N132" s="18">
        <v>0</v>
      </c>
      <c r="O132" s="18">
        <v>183</v>
      </c>
      <c r="P132" s="18">
        <v>0</v>
      </c>
      <c r="Q132" s="6">
        <v>0.11992073382500153</v>
      </c>
      <c r="R132" s="3">
        <v>0.12</v>
      </c>
      <c r="S132" s="6">
        <v>0.45567005513591646</v>
      </c>
      <c r="T132" s="25">
        <v>0.45600000000000002</v>
      </c>
      <c r="U132" s="7">
        <v>211</v>
      </c>
      <c r="V132" s="4">
        <v>51539</v>
      </c>
      <c r="W132" s="4">
        <v>5703</v>
      </c>
      <c r="X132" s="18">
        <v>140</v>
      </c>
      <c r="Y132" s="18">
        <v>5324</v>
      </c>
      <c r="Z132" s="18">
        <v>48</v>
      </c>
      <c r="AA132" s="18">
        <v>0</v>
      </c>
      <c r="AB132" s="18">
        <v>191</v>
      </c>
      <c r="AC132" s="18">
        <v>0</v>
      </c>
      <c r="AD132" s="6">
        <v>0.11065406779332156</v>
      </c>
      <c r="AE132" s="6">
        <v>0.111</v>
      </c>
      <c r="AF132" s="6">
        <v>0.46515008278914582</v>
      </c>
      <c r="AG132" s="6">
        <v>0.46500000000000002</v>
      </c>
      <c r="AH132" s="7">
        <v>198</v>
      </c>
    </row>
    <row r="133" spans="2:34" x14ac:dyDescent="0.25">
      <c r="B133" s="3">
        <v>129</v>
      </c>
      <c r="C133" s="3" t="s">
        <v>262</v>
      </c>
      <c r="D133" s="3" t="s">
        <v>263</v>
      </c>
      <c r="E133" s="3" t="s">
        <v>238</v>
      </c>
      <c r="F133" s="3">
        <v>7404</v>
      </c>
      <c r="G133" s="3">
        <v>7</v>
      </c>
      <c r="H133" s="3">
        <v>0.52</v>
      </c>
      <c r="I133" s="4">
        <v>45323</v>
      </c>
      <c r="J133" s="4">
        <v>9548</v>
      </c>
      <c r="K133" s="18">
        <v>0</v>
      </c>
      <c r="L133" s="18">
        <v>9070</v>
      </c>
      <c r="M133" s="18">
        <v>146</v>
      </c>
      <c r="N133" s="18">
        <v>0</v>
      </c>
      <c r="O133" s="18">
        <v>332</v>
      </c>
      <c r="P133" s="18">
        <v>0</v>
      </c>
      <c r="Q133" s="6">
        <v>0.21066566643867352</v>
      </c>
      <c r="R133" s="3">
        <v>0.21099999999999999</v>
      </c>
      <c r="S133" s="6">
        <v>0.54920027340294053</v>
      </c>
      <c r="T133" s="25">
        <v>0.54900000000000004</v>
      </c>
      <c r="U133" s="7">
        <v>111</v>
      </c>
      <c r="V133" s="4">
        <v>45347</v>
      </c>
      <c r="W133" s="4">
        <v>7931</v>
      </c>
      <c r="X133" s="18">
        <v>109</v>
      </c>
      <c r="Y133" s="18">
        <v>7496</v>
      </c>
      <c r="Z133" s="18">
        <v>47</v>
      </c>
      <c r="AA133" s="18">
        <v>0</v>
      </c>
      <c r="AB133" s="18">
        <v>279</v>
      </c>
      <c r="AC133" s="18">
        <v>0</v>
      </c>
      <c r="AD133" s="6">
        <v>0.17489580347101241</v>
      </c>
      <c r="AE133" s="6">
        <v>0.17499999999999999</v>
      </c>
      <c r="AF133" s="6">
        <v>0.53939643325260089</v>
      </c>
      <c r="AG133" s="6">
        <v>0.53900000000000003</v>
      </c>
      <c r="AH133" s="7">
        <v>124</v>
      </c>
    </row>
    <row r="134" spans="2:34" x14ac:dyDescent="0.25">
      <c r="B134" s="3">
        <v>130</v>
      </c>
      <c r="C134" s="3" t="s">
        <v>264</v>
      </c>
      <c r="D134" s="3" t="s">
        <v>265</v>
      </c>
      <c r="E134" s="3" t="s">
        <v>238</v>
      </c>
      <c r="F134" s="3">
        <v>7106</v>
      </c>
      <c r="G134" s="3">
        <v>7</v>
      </c>
      <c r="H134" s="3">
        <v>0.54400000000000004</v>
      </c>
      <c r="I134" s="4">
        <v>9229</v>
      </c>
      <c r="J134" s="4">
        <v>349</v>
      </c>
      <c r="K134" s="18">
        <v>14</v>
      </c>
      <c r="L134" s="18">
        <v>246</v>
      </c>
      <c r="M134" s="18">
        <v>0</v>
      </c>
      <c r="N134" s="18">
        <v>0</v>
      </c>
      <c r="O134" s="18">
        <v>83</v>
      </c>
      <c r="P134" s="18">
        <v>6</v>
      </c>
      <c r="Q134" s="6">
        <v>3.7815581319752954E-2</v>
      </c>
      <c r="R134" s="3">
        <v>3.7999999999999999E-2</v>
      </c>
      <c r="S134" s="6">
        <v>0.37104480264544071</v>
      </c>
      <c r="T134" s="25">
        <v>0.371</v>
      </c>
      <c r="U134" s="7">
        <v>316</v>
      </c>
      <c r="V134" s="4">
        <v>9331</v>
      </c>
      <c r="W134" s="4">
        <v>305</v>
      </c>
      <c r="X134" s="18">
        <v>16</v>
      </c>
      <c r="Y134" s="18">
        <v>230</v>
      </c>
      <c r="Z134" s="18">
        <v>0</v>
      </c>
      <c r="AA134" s="18">
        <v>0</v>
      </c>
      <c r="AB134" s="18">
        <v>53</v>
      </c>
      <c r="AC134" s="18">
        <v>6</v>
      </c>
      <c r="AD134" s="6">
        <v>3.2686743114350013E-2</v>
      </c>
      <c r="AE134" s="6">
        <v>3.3000000000000002E-2</v>
      </c>
      <c r="AF134" s="6">
        <v>0.37466234316181002</v>
      </c>
      <c r="AG134" s="6">
        <v>0.375</v>
      </c>
      <c r="AH134" s="7">
        <v>315</v>
      </c>
    </row>
    <row r="135" spans="2:34" x14ac:dyDescent="0.25">
      <c r="B135" s="3">
        <v>131</v>
      </c>
      <c r="C135" s="3" t="s">
        <v>266</v>
      </c>
      <c r="D135" s="3" t="s">
        <v>267</v>
      </c>
      <c r="E135" s="3" t="s">
        <v>238</v>
      </c>
      <c r="F135" s="3">
        <v>7203</v>
      </c>
      <c r="G135" s="3">
        <v>7</v>
      </c>
      <c r="H135" s="3">
        <v>0.45400000000000001</v>
      </c>
      <c r="I135" s="4">
        <v>8578</v>
      </c>
      <c r="J135" s="4">
        <v>1429</v>
      </c>
      <c r="K135" s="18">
        <v>0</v>
      </c>
      <c r="L135" s="18">
        <v>1272</v>
      </c>
      <c r="M135" s="18">
        <v>0</v>
      </c>
      <c r="N135" s="18">
        <v>0</v>
      </c>
      <c r="O135" s="18">
        <v>157</v>
      </c>
      <c r="P135" s="18">
        <v>0</v>
      </c>
      <c r="Q135" s="6">
        <v>0.16658894847283748</v>
      </c>
      <c r="R135" s="3">
        <v>0.16700000000000001</v>
      </c>
      <c r="S135" s="6">
        <v>0.50377068374872336</v>
      </c>
      <c r="T135" s="25">
        <v>0.504</v>
      </c>
      <c r="U135" s="7">
        <v>158</v>
      </c>
      <c r="V135" s="4">
        <v>8361</v>
      </c>
      <c r="W135" s="4">
        <v>1206</v>
      </c>
      <c r="X135" s="18">
        <v>0</v>
      </c>
      <c r="Y135" s="18">
        <v>1097</v>
      </c>
      <c r="Z135" s="18">
        <v>0</v>
      </c>
      <c r="AA135" s="18">
        <v>0</v>
      </c>
      <c r="AB135" s="18">
        <v>109</v>
      </c>
      <c r="AC135" s="18">
        <v>0</v>
      </c>
      <c r="AD135" s="6">
        <v>0.14424111948331539</v>
      </c>
      <c r="AE135" s="6">
        <v>0.14399999999999999</v>
      </c>
      <c r="AF135" s="6">
        <v>0.50343335724686489</v>
      </c>
      <c r="AG135" s="6">
        <v>0.504</v>
      </c>
      <c r="AH135" s="7">
        <v>155</v>
      </c>
    </row>
    <row r="136" spans="2:34" x14ac:dyDescent="0.25">
      <c r="B136" s="3">
        <v>132</v>
      </c>
      <c r="C136" s="3" t="s">
        <v>268</v>
      </c>
      <c r="D136" s="3" t="s">
        <v>269</v>
      </c>
      <c r="E136" s="3" t="s">
        <v>238</v>
      </c>
      <c r="F136" s="3">
        <v>7107</v>
      </c>
      <c r="G136" s="3">
        <v>7</v>
      </c>
      <c r="H136" s="3"/>
      <c r="I136" s="4">
        <v>9181</v>
      </c>
      <c r="J136" s="4">
        <v>445</v>
      </c>
      <c r="K136" s="18">
        <v>9</v>
      </c>
      <c r="L136" s="18">
        <v>372</v>
      </c>
      <c r="M136" s="18">
        <v>1</v>
      </c>
      <c r="N136" s="18">
        <v>0</v>
      </c>
      <c r="O136" s="18">
        <v>62</v>
      </c>
      <c r="P136" s="18">
        <v>1</v>
      </c>
      <c r="Q136" s="6">
        <v>4.8469665613767567E-2</v>
      </c>
      <c r="R136" s="3">
        <v>4.8000000000000001E-2</v>
      </c>
      <c r="S136" s="6">
        <v>0.38202589878770976</v>
      </c>
      <c r="T136" s="25">
        <v>0.38200000000000001</v>
      </c>
      <c r="U136" s="7">
        <v>307</v>
      </c>
      <c r="V136" s="4">
        <v>8625</v>
      </c>
      <c r="W136" s="4">
        <v>415</v>
      </c>
      <c r="X136" s="18">
        <v>17</v>
      </c>
      <c r="Y136" s="18">
        <v>351</v>
      </c>
      <c r="Z136" s="18">
        <v>0</v>
      </c>
      <c r="AA136" s="18">
        <v>0</v>
      </c>
      <c r="AB136" s="18">
        <v>46</v>
      </c>
      <c r="AC136" s="18">
        <v>1</v>
      </c>
      <c r="AD136" s="6">
        <v>4.811594202898551E-2</v>
      </c>
      <c r="AE136" s="6">
        <v>4.8000000000000001E-2</v>
      </c>
      <c r="AF136" s="6">
        <v>0.39206383155168228</v>
      </c>
      <c r="AG136" s="6">
        <v>0.39200000000000002</v>
      </c>
      <c r="AH136" s="7">
        <v>292</v>
      </c>
    </row>
    <row r="137" spans="2:34" x14ac:dyDescent="0.25">
      <c r="B137" s="3">
        <v>133</v>
      </c>
      <c r="C137" s="3" t="s">
        <v>270</v>
      </c>
      <c r="D137" s="3" t="s">
        <v>271</v>
      </c>
      <c r="E137" s="3" t="s">
        <v>238</v>
      </c>
      <c r="F137" s="3">
        <v>7305</v>
      </c>
      <c r="G137" s="3">
        <v>7</v>
      </c>
      <c r="H137" s="3">
        <v>0.44700000000000001</v>
      </c>
      <c r="I137" s="4">
        <v>11266</v>
      </c>
      <c r="J137" s="4">
        <v>1452</v>
      </c>
      <c r="K137" s="18">
        <v>3</v>
      </c>
      <c r="L137" s="18">
        <v>1277</v>
      </c>
      <c r="M137" s="18">
        <v>50</v>
      </c>
      <c r="N137" s="18">
        <v>0</v>
      </c>
      <c r="O137" s="18">
        <v>122</v>
      </c>
      <c r="P137" s="18">
        <v>0</v>
      </c>
      <c r="Q137" s="6">
        <v>0.12888336587963783</v>
      </c>
      <c r="R137" s="3">
        <v>0.129</v>
      </c>
      <c r="S137" s="6">
        <v>0.46490778233646385</v>
      </c>
      <c r="T137" s="25">
        <v>0.46500000000000002</v>
      </c>
      <c r="U137" s="7">
        <v>201</v>
      </c>
      <c r="V137" s="4">
        <v>11632</v>
      </c>
      <c r="W137" s="4">
        <v>1478</v>
      </c>
      <c r="X137" s="18">
        <v>5</v>
      </c>
      <c r="Y137" s="18">
        <v>1239</v>
      </c>
      <c r="Z137" s="18">
        <v>62</v>
      </c>
      <c r="AA137" s="18">
        <v>0</v>
      </c>
      <c r="AB137" s="18">
        <v>172</v>
      </c>
      <c r="AC137" s="18">
        <v>0</v>
      </c>
      <c r="AD137" s="6">
        <v>0.12706327372764786</v>
      </c>
      <c r="AE137" s="6">
        <v>0.127</v>
      </c>
      <c r="AF137" s="6">
        <v>0.48371167040500962</v>
      </c>
      <c r="AG137" s="6">
        <v>0.48399999999999999</v>
      </c>
      <c r="AH137" s="7">
        <v>184</v>
      </c>
    </row>
    <row r="138" spans="2:34" x14ac:dyDescent="0.25">
      <c r="B138" s="3">
        <v>134</v>
      </c>
      <c r="C138" s="3" t="s">
        <v>272</v>
      </c>
      <c r="D138" s="3" t="s">
        <v>273</v>
      </c>
      <c r="E138" s="3" t="s">
        <v>238</v>
      </c>
      <c r="F138" s="3">
        <v>7405</v>
      </c>
      <c r="G138" s="3">
        <v>7</v>
      </c>
      <c r="H138" s="3">
        <v>0.41799999999999998</v>
      </c>
      <c r="I138" s="4">
        <v>22310</v>
      </c>
      <c r="J138" s="4">
        <v>3002</v>
      </c>
      <c r="K138" s="18">
        <v>0</v>
      </c>
      <c r="L138" s="18">
        <v>2859</v>
      </c>
      <c r="M138" s="18">
        <v>3</v>
      </c>
      <c r="N138" s="18">
        <v>0</v>
      </c>
      <c r="O138" s="18">
        <v>140</v>
      </c>
      <c r="P138" s="18">
        <v>0</v>
      </c>
      <c r="Q138" s="6">
        <v>0.13455849394890185</v>
      </c>
      <c r="R138" s="3">
        <v>0.13500000000000001</v>
      </c>
      <c r="S138" s="6">
        <v>0.47075710032837126</v>
      </c>
      <c r="T138" s="25">
        <v>0.47099999999999997</v>
      </c>
      <c r="U138" s="7">
        <v>197</v>
      </c>
      <c r="V138" s="4">
        <v>21397</v>
      </c>
      <c r="W138" s="4">
        <v>692</v>
      </c>
      <c r="X138" s="18">
        <v>2</v>
      </c>
      <c r="Y138" s="18">
        <v>611</v>
      </c>
      <c r="Z138" s="18">
        <v>6</v>
      </c>
      <c r="AA138" s="18">
        <v>0</v>
      </c>
      <c r="AB138" s="18">
        <v>73</v>
      </c>
      <c r="AC138" s="18">
        <v>0</v>
      </c>
      <c r="AD138" s="6">
        <v>3.2340982380707574E-2</v>
      </c>
      <c r="AE138" s="6">
        <v>3.2000000000000001E-2</v>
      </c>
      <c r="AF138" s="6">
        <v>0.37350224393581855</v>
      </c>
      <c r="AG138" s="6">
        <v>0.374</v>
      </c>
      <c r="AH138" s="7">
        <v>318</v>
      </c>
    </row>
    <row r="139" spans="2:34" x14ac:dyDescent="0.25">
      <c r="B139" s="3">
        <v>135</v>
      </c>
      <c r="C139" s="3" t="s">
        <v>274</v>
      </c>
      <c r="D139" s="3" t="s">
        <v>275</v>
      </c>
      <c r="E139" s="3" t="s">
        <v>238</v>
      </c>
      <c r="F139" s="3">
        <v>7108</v>
      </c>
      <c r="G139" s="3">
        <v>7</v>
      </c>
      <c r="H139" s="3">
        <v>0.45600000000000002</v>
      </c>
      <c r="I139" s="4">
        <v>14276</v>
      </c>
      <c r="J139" s="4">
        <v>762</v>
      </c>
      <c r="K139" s="18">
        <v>0</v>
      </c>
      <c r="L139" s="18">
        <v>637</v>
      </c>
      <c r="M139" s="18">
        <v>0</v>
      </c>
      <c r="N139" s="18">
        <v>0</v>
      </c>
      <c r="O139" s="18">
        <v>125</v>
      </c>
      <c r="P139" s="18">
        <v>0</v>
      </c>
      <c r="Q139" s="6">
        <v>5.3376295881199215E-2</v>
      </c>
      <c r="R139" s="3">
        <v>5.2999999999999999E-2</v>
      </c>
      <c r="S139" s="6">
        <v>0.38708313103914821</v>
      </c>
      <c r="T139" s="25">
        <v>0.38700000000000001</v>
      </c>
      <c r="U139" s="7">
        <v>300</v>
      </c>
      <c r="V139" s="4">
        <v>15042</v>
      </c>
      <c r="W139" s="4">
        <v>665</v>
      </c>
      <c r="X139" s="18">
        <v>1</v>
      </c>
      <c r="Y139" s="18">
        <v>570</v>
      </c>
      <c r="Z139" s="18">
        <v>0</v>
      </c>
      <c r="AA139" s="18">
        <v>0</v>
      </c>
      <c r="AB139" s="18">
        <v>94</v>
      </c>
      <c r="AC139" s="18">
        <v>0</v>
      </c>
      <c r="AD139" s="6">
        <v>4.4209546602845366E-2</v>
      </c>
      <c r="AE139" s="6">
        <v>4.3999999999999997E-2</v>
      </c>
      <c r="AF139" s="6">
        <v>0.38742343464771634</v>
      </c>
      <c r="AG139" s="6">
        <v>0.38800000000000001</v>
      </c>
      <c r="AH139" s="7">
        <v>297</v>
      </c>
    </row>
    <row r="140" spans="2:34" x14ac:dyDescent="0.25">
      <c r="B140" s="3">
        <v>136</v>
      </c>
      <c r="C140" s="3" t="s">
        <v>276</v>
      </c>
      <c r="D140" s="3" t="s">
        <v>277</v>
      </c>
      <c r="E140" s="3" t="s">
        <v>238</v>
      </c>
      <c r="F140" s="3">
        <v>7306</v>
      </c>
      <c r="G140" s="3">
        <v>7</v>
      </c>
      <c r="H140" s="3">
        <v>0.45200000000000001</v>
      </c>
      <c r="I140" s="4">
        <v>17233</v>
      </c>
      <c r="J140" s="4">
        <v>1812</v>
      </c>
      <c r="K140" s="18">
        <v>30</v>
      </c>
      <c r="L140" s="18">
        <v>1598</v>
      </c>
      <c r="M140" s="18">
        <v>8</v>
      </c>
      <c r="N140" s="18">
        <v>0</v>
      </c>
      <c r="O140" s="18">
        <v>171</v>
      </c>
      <c r="P140" s="18">
        <v>5</v>
      </c>
      <c r="Q140" s="6">
        <v>0.10514710149132478</v>
      </c>
      <c r="R140" s="3">
        <v>0.105</v>
      </c>
      <c r="S140" s="6">
        <v>0.44044296733093452</v>
      </c>
      <c r="T140" s="25">
        <v>0.44</v>
      </c>
      <c r="U140" s="7">
        <v>232</v>
      </c>
      <c r="V140" s="4">
        <v>16742</v>
      </c>
      <c r="W140" s="4">
        <v>1678</v>
      </c>
      <c r="X140" s="18">
        <v>106</v>
      </c>
      <c r="Y140" s="18">
        <v>1454</v>
      </c>
      <c r="Z140" s="18">
        <v>13</v>
      </c>
      <c r="AA140" s="18">
        <v>0</v>
      </c>
      <c r="AB140" s="18">
        <v>100</v>
      </c>
      <c r="AC140" s="18">
        <v>5</v>
      </c>
      <c r="AD140" s="6">
        <v>0.10022697407717118</v>
      </c>
      <c r="AE140" s="6">
        <v>0.1</v>
      </c>
      <c r="AF140" s="6">
        <v>0.45238899130323951</v>
      </c>
      <c r="AG140" s="6">
        <v>0.45300000000000001</v>
      </c>
      <c r="AH140" s="7">
        <v>214</v>
      </c>
    </row>
    <row r="141" spans="2:34" x14ac:dyDescent="0.25">
      <c r="B141" s="3">
        <v>137</v>
      </c>
      <c r="C141" s="3" t="s">
        <v>278</v>
      </c>
      <c r="D141" s="3" t="s">
        <v>279</v>
      </c>
      <c r="E141" s="3" t="s">
        <v>238</v>
      </c>
      <c r="F141" s="3">
        <v>7307</v>
      </c>
      <c r="G141" s="3">
        <v>7</v>
      </c>
      <c r="H141" s="3">
        <v>0.48499999999999999</v>
      </c>
      <c r="I141" s="4">
        <v>19427</v>
      </c>
      <c r="J141" s="4">
        <v>259</v>
      </c>
      <c r="K141" s="18">
        <v>0</v>
      </c>
      <c r="L141" s="18">
        <v>192</v>
      </c>
      <c r="M141" s="18">
        <v>8</v>
      </c>
      <c r="N141" s="18">
        <v>0</v>
      </c>
      <c r="O141" s="18">
        <v>55</v>
      </c>
      <c r="P141" s="18">
        <v>4</v>
      </c>
      <c r="Q141" s="6">
        <v>1.3331960673289751E-2</v>
      </c>
      <c r="R141" s="3">
        <v>1.2999999999999999E-2</v>
      </c>
      <c r="S141" s="6">
        <v>0.34580969235250841</v>
      </c>
      <c r="T141" s="25">
        <v>0.34599999999999997</v>
      </c>
      <c r="U141" s="7">
        <v>341</v>
      </c>
      <c r="V141" s="4">
        <v>19692</v>
      </c>
      <c r="W141" s="4">
        <v>233</v>
      </c>
      <c r="X141" s="18">
        <v>0</v>
      </c>
      <c r="Y141" s="18">
        <v>173</v>
      </c>
      <c r="Z141" s="18">
        <v>15</v>
      </c>
      <c r="AA141" s="18">
        <v>0</v>
      </c>
      <c r="AB141" s="18">
        <v>41</v>
      </c>
      <c r="AC141" s="18">
        <v>4</v>
      </c>
      <c r="AD141" s="6">
        <v>1.1832216128377007E-2</v>
      </c>
      <c r="AE141" s="6">
        <v>1.2E-2</v>
      </c>
      <c r="AF141" s="6">
        <v>0.35030025941598886</v>
      </c>
      <c r="AG141" s="6">
        <v>0.35</v>
      </c>
      <c r="AH141" s="7">
        <v>341</v>
      </c>
    </row>
    <row r="142" spans="2:34" x14ac:dyDescent="0.25">
      <c r="B142" s="3">
        <v>138</v>
      </c>
      <c r="C142" s="3" t="s">
        <v>280</v>
      </c>
      <c r="D142" s="3" t="s">
        <v>281</v>
      </c>
      <c r="E142" s="3" t="s">
        <v>238</v>
      </c>
      <c r="F142" s="3">
        <v>7109</v>
      </c>
      <c r="G142" s="3">
        <v>7</v>
      </c>
      <c r="H142" s="3">
        <v>0.57199999999999995</v>
      </c>
      <c r="I142" s="4">
        <v>47380</v>
      </c>
      <c r="J142" s="4">
        <v>5161</v>
      </c>
      <c r="K142" s="18">
        <v>7</v>
      </c>
      <c r="L142" s="18">
        <v>4617</v>
      </c>
      <c r="M142" s="18">
        <v>52</v>
      </c>
      <c r="N142" s="18">
        <v>0</v>
      </c>
      <c r="O142" s="18">
        <v>480</v>
      </c>
      <c r="P142" s="18">
        <v>5</v>
      </c>
      <c r="Q142" s="6">
        <v>0.10892781764457576</v>
      </c>
      <c r="R142" s="3">
        <v>0.109</v>
      </c>
      <c r="S142" s="6">
        <v>0.44433972714808767</v>
      </c>
      <c r="T142" s="25">
        <v>0.44400000000000001</v>
      </c>
      <c r="U142" s="7">
        <v>225</v>
      </c>
      <c r="V142" s="4">
        <v>47590</v>
      </c>
      <c r="W142" s="4">
        <v>4996</v>
      </c>
      <c r="X142" s="18">
        <v>39</v>
      </c>
      <c r="Y142" s="18">
        <v>4575</v>
      </c>
      <c r="Z142" s="18">
        <v>7</v>
      </c>
      <c r="AA142" s="18">
        <v>0</v>
      </c>
      <c r="AB142" s="18">
        <v>370</v>
      </c>
      <c r="AC142" s="18">
        <v>5</v>
      </c>
      <c r="AD142" s="6">
        <v>0.10498003782307207</v>
      </c>
      <c r="AE142" s="6">
        <v>0.105</v>
      </c>
      <c r="AF142" s="6">
        <v>0.45818948743319693</v>
      </c>
      <c r="AG142" s="6">
        <v>0.45800000000000002</v>
      </c>
      <c r="AH142" s="7">
        <v>208</v>
      </c>
    </row>
    <row r="143" spans="2:34" x14ac:dyDescent="0.25">
      <c r="B143" s="3">
        <v>139</v>
      </c>
      <c r="C143" s="3" t="s">
        <v>282</v>
      </c>
      <c r="D143" s="3" t="s">
        <v>283</v>
      </c>
      <c r="E143" s="3" t="s">
        <v>238</v>
      </c>
      <c r="F143" s="3">
        <v>7406</v>
      </c>
      <c r="G143" s="3">
        <v>7</v>
      </c>
      <c r="H143" s="3">
        <v>0.51400000000000001</v>
      </c>
      <c r="I143" s="4">
        <v>49559</v>
      </c>
      <c r="J143" s="4">
        <v>4619</v>
      </c>
      <c r="K143" s="18">
        <v>0</v>
      </c>
      <c r="L143" s="18">
        <v>4377</v>
      </c>
      <c r="M143" s="18">
        <v>53</v>
      </c>
      <c r="N143" s="18">
        <v>0</v>
      </c>
      <c r="O143" s="18">
        <v>189</v>
      </c>
      <c r="P143" s="18">
        <v>0</v>
      </c>
      <c r="Q143" s="6">
        <v>9.3202042010532907E-2</v>
      </c>
      <c r="R143" s="3">
        <v>9.2999999999999999E-2</v>
      </c>
      <c r="S143" s="6">
        <v>0.42813127136872137</v>
      </c>
      <c r="T143" s="25">
        <v>0.42799999999999999</v>
      </c>
      <c r="U143" s="7">
        <v>244</v>
      </c>
      <c r="V143" s="4">
        <v>50985</v>
      </c>
      <c r="W143" s="4">
        <v>4043</v>
      </c>
      <c r="X143" s="18">
        <v>60</v>
      </c>
      <c r="Y143" s="18">
        <v>3775</v>
      </c>
      <c r="Z143" s="18">
        <v>4</v>
      </c>
      <c r="AA143" s="18">
        <v>0</v>
      </c>
      <c r="AB143" s="18">
        <v>204</v>
      </c>
      <c r="AC143" s="18">
        <v>0</v>
      </c>
      <c r="AD143" s="6">
        <v>7.9297832695890955E-2</v>
      </c>
      <c r="AE143" s="6">
        <v>7.9000000000000001E-2</v>
      </c>
      <c r="AF143" s="6">
        <v>0.42802690755741835</v>
      </c>
      <c r="AG143" s="6">
        <v>0.42899999999999999</v>
      </c>
      <c r="AH143" s="7">
        <v>241</v>
      </c>
    </row>
    <row r="144" spans="2:34" x14ac:dyDescent="0.25">
      <c r="B144" s="3">
        <v>140</v>
      </c>
      <c r="C144" s="3" t="s">
        <v>284</v>
      </c>
      <c r="D144" s="3" t="s">
        <v>285</v>
      </c>
      <c r="E144" s="3" t="s">
        <v>238</v>
      </c>
      <c r="F144" s="3">
        <v>7110</v>
      </c>
      <c r="G144" s="3">
        <v>7</v>
      </c>
      <c r="H144" s="3"/>
      <c r="I144" s="4">
        <v>11230</v>
      </c>
      <c r="J144" s="4">
        <v>669</v>
      </c>
      <c r="K144" s="18">
        <v>9</v>
      </c>
      <c r="L144" s="18">
        <v>573</v>
      </c>
      <c r="M144" s="18">
        <v>0</v>
      </c>
      <c r="N144" s="18">
        <v>0</v>
      </c>
      <c r="O144" s="18">
        <v>87</v>
      </c>
      <c r="P144" s="18">
        <v>0</v>
      </c>
      <c r="Q144" s="6">
        <v>5.9572573463935886E-2</v>
      </c>
      <c r="R144" s="3">
        <v>0.06</v>
      </c>
      <c r="S144" s="6">
        <v>0.39346959448194668</v>
      </c>
      <c r="T144" s="25">
        <v>0.39300000000000002</v>
      </c>
      <c r="U144" s="7">
        <v>291</v>
      </c>
      <c r="V144" s="4">
        <v>10294</v>
      </c>
      <c r="W144" s="4">
        <v>631</v>
      </c>
      <c r="X144" s="18">
        <v>18</v>
      </c>
      <c r="Y144" s="18">
        <v>550</v>
      </c>
      <c r="Z144" s="18">
        <v>0</v>
      </c>
      <c r="AA144" s="18">
        <v>0</v>
      </c>
      <c r="AB144" s="18">
        <v>63</v>
      </c>
      <c r="AC144" s="18">
        <v>0</v>
      </c>
      <c r="AD144" s="6">
        <v>6.1297843403924614E-2</v>
      </c>
      <c r="AE144" s="6">
        <v>6.0999999999999999E-2</v>
      </c>
      <c r="AF144" s="6">
        <v>0.4071451214895716</v>
      </c>
      <c r="AG144" s="6">
        <v>0.40799999999999997</v>
      </c>
      <c r="AH144" s="7">
        <v>271</v>
      </c>
    </row>
    <row r="145" spans="2:34" x14ac:dyDescent="0.25">
      <c r="B145" s="3">
        <v>141</v>
      </c>
      <c r="C145" s="3" t="s">
        <v>286</v>
      </c>
      <c r="D145" s="3" t="s">
        <v>287</v>
      </c>
      <c r="E145" s="3" t="s">
        <v>238</v>
      </c>
      <c r="F145" s="3">
        <v>7101</v>
      </c>
      <c r="G145" s="3">
        <v>7</v>
      </c>
      <c r="H145" s="3">
        <v>0.56999999999999995</v>
      </c>
      <c r="I145" s="4">
        <v>232131</v>
      </c>
      <c r="J145" s="4">
        <v>68312</v>
      </c>
      <c r="K145" s="18">
        <v>31</v>
      </c>
      <c r="L145" s="18">
        <v>50720</v>
      </c>
      <c r="M145" s="18">
        <v>16638</v>
      </c>
      <c r="N145" s="18">
        <v>0</v>
      </c>
      <c r="O145" s="18">
        <v>877</v>
      </c>
      <c r="P145" s="18">
        <v>46</v>
      </c>
      <c r="Q145" s="6">
        <v>0.29428210794766746</v>
      </c>
      <c r="R145" s="3">
        <v>0.29399999999999998</v>
      </c>
      <c r="S145" s="6">
        <v>0.63538320174719243</v>
      </c>
      <c r="T145" s="25">
        <v>0.63500000000000001</v>
      </c>
      <c r="U145" s="7">
        <v>34</v>
      </c>
      <c r="V145" s="4">
        <v>241064</v>
      </c>
      <c r="W145" s="4">
        <v>66161</v>
      </c>
      <c r="X145" s="18">
        <v>113</v>
      </c>
      <c r="Y145" s="18">
        <v>45923</v>
      </c>
      <c r="Z145" s="18">
        <v>18801</v>
      </c>
      <c r="AA145" s="18">
        <v>0</v>
      </c>
      <c r="AB145" s="18">
        <v>1278</v>
      </c>
      <c r="AC145" s="18">
        <v>46</v>
      </c>
      <c r="AD145" s="6">
        <v>0.27445408688149203</v>
      </c>
      <c r="AE145" s="6">
        <v>0.27400000000000002</v>
      </c>
      <c r="AF145" s="6">
        <v>0.65424625662575797</v>
      </c>
      <c r="AG145" s="6">
        <v>0.65500000000000003</v>
      </c>
      <c r="AH145" s="7">
        <v>26</v>
      </c>
    </row>
    <row r="146" spans="2:34" x14ac:dyDescent="0.25">
      <c r="B146" s="3">
        <v>142</v>
      </c>
      <c r="C146" s="3" t="s">
        <v>288</v>
      </c>
      <c r="D146" s="3" t="s">
        <v>289</v>
      </c>
      <c r="E146" s="3" t="s">
        <v>238</v>
      </c>
      <c r="F146" s="3">
        <v>7308</v>
      </c>
      <c r="G146" s="3">
        <v>7</v>
      </c>
      <c r="H146" s="3">
        <v>0.47</v>
      </c>
      <c r="I146" s="4">
        <v>30113</v>
      </c>
      <c r="J146" s="4">
        <v>2156</v>
      </c>
      <c r="K146" s="18">
        <v>0</v>
      </c>
      <c r="L146" s="18">
        <v>1752</v>
      </c>
      <c r="M146" s="18">
        <v>9</v>
      </c>
      <c r="N146" s="18">
        <v>0</v>
      </c>
      <c r="O146" s="18">
        <v>393</v>
      </c>
      <c r="P146" s="18">
        <v>2</v>
      </c>
      <c r="Q146" s="6">
        <v>7.1596984690997248E-2</v>
      </c>
      <c r="R146" s="3">
        <v>7.1999999999999995E-2</v>
      </c>
      <c r="S146" s="6">
        <v>0.40586307777855624</v>
      </c>
      <c r="T146" s="25">
        <v>0.40600000000000003</v>
      </c>
      <c r="U146" s="7">
        <v>273</v>
      </c>
      <c r="V146" s="4">
        <v>31639</v>
      </c>
      <c r="W146" s="4">
        <v>2209</v>
      </c>
      <c r="X146" s="18">
        <v>66</v>
      </c>
      <c r="Y146" s="18">
        <v>1650</v>
      </c>
      <c r="Z146" s="18">
        <v>21</v>
      </c>
      <c r="AA146" s="18">
        <v>0</v>
      </c>
      <c r="AB146" s="18">
        <v>470</v>
      </c>
      <c r="AC146" s="18">
        <v>2</v>
      </c>
      <c r="AD146" s="6">
        <v>6.981889440247796E-2</v>
      </c>
      <c r="AE146" s="6">
        <v>7.0000000000000007E-2</v>
      </c>
      <c r="AF146" s="6">
        <v>0.41758601452349497</v>
      </c>
      <c r="AG146" s="6">
        <v>0.41799999999999998</v>
      </c>
      <c r="AH146" s="7">
        <v>254</v>
      </c>
    </row>
    <row r="147" spans="2:34" x14ac:dyDescent="0.25">
      <c r="B147" s="3">
        <v>143</v>
      </c>
      <c r="C147" s="3" t="s">
        <v>290</v>
      </c>
      <c r="D147" s="3" t="s">
        <v>291</v>
      </c>
      <c r="E147" s="3" t="s">
        <v>238</v>
      </c>
      <c r="F147" s="3">
        <v>7309</v>
      </c>
      <c r="G147" s="3">
        <v>7</v>
      </c>
      <c r="H147" s="3"/>
      <c r="I147" s="4">
        <v>4716</v>
      </c>
      <c r="J147" s="4">
        <v>597</v>
      </c>
      <c r="K147" s="18">
        <v>0</v>
      </c>
      <c r="L147" s="18">
        <v>371</v>
      </c>
      <c r="M147" s="18">
        <v>0</v>
      </c>
      <c r="N147" s="18">
        <v>0</v>
      </c>
      <c r="O147" s="18">
        <v>226</v>
      </c>
      <c r="P147" s="18">
        <v>0</v>
      </c>
      <c r="Q147" s="6">
        <v>0.12659033078880408</v>
      </c>
      <c r="R147" s="3">
        <v>0.127</v>
      </c>
      <c r="S147" s="6">
        <v>0.46254436581983388</v>
      </c>
      <c r="T147" s="25">
        <v>0.46300000000000002</v>
      </c>
      <c r="U147" s="7">
        <v>202</v>
      </c>
      <c r="V147" s="4">
        <v>4329</v>
      </c>
      <c r="W147" s="4">
        <v>441</v>
      </c>
      <c r="X147" s="18">
        <v>0</v>
      </c>
      <c r="Y147" s="18">
        <v>291</v>
      </c>
      <c r="Z147" s="18">
        <v>0</v>
      </c>
      <c r="AA147" s="18">
        <v>0</v>
      </c>
      <c r="AB147" s="18">
        <v>150</v>
      </c>
      <c r="AC147" s="18">
        <v>0</v>
      </c>
      <c r="AD147" s="6">
        <v>0.10187110187110188</v>
      </c>
      <c r="AE147" s="6">
        <v>0.10199999999999999</v>
      </c>
      <c r="AF147" s="6">
        <v>0.45470918975522245</v>
      </c>
      <c r="AG147" s="6">
        <v>0.45500000000000002</v>
      </c>
      <c r="AH147" s="7">
        <v>213</v>
      </c>
    </row>
    <row r="148" spans="2:34" x14ac:dyDescent="0.25">
      <c r="B148" s="3">
        <v>144</v>
      </c>
      <c r="C148" s="3" t="s">
        <v>292</v>
      </c>
      <c r="D148" s="3" t="s">
        <v>293</v>
      </c>
      <c r="E148" s="3" t="s">
        <v>238</v>
      </c>
      <c r="F148" s="3">
        <v>7407</v>
      </c>
      <c r="G148" s="3">
        <v>7</v>
      </c>
      <c r="H148" s="3">
        <v>0.34799999999999998</v>
      </c>
      <c r="I148" s="4">
        <v>17919</v>
      </c>
      <c r="J148" s="4">
        <v>1263</v>
      </c>
      <c r="K148" s="18">
        <v>0</v>
      </c>
      <c r="L148" s="18">
        <v>1202</v>
      </c>
      <c r="M148" s="18">
        <v>3</v>
      </c>
      <c r="N148" s="18">
        <v>0</v>
      </c>
      <c r="O148" s="18">
        <v>58</v>
      </c>
      <c r="P148" s="18">
        <v>0</v>
      </c>
      <c r="Q148" s="6">
        <v>7.0483843964506951E-2</v>
      </c>
      <c r="R148" s="3">
        <v>7.0000000000000007E-2</v>
      </c>
      <c r="S148" s="6">
        <v>0.40471577079279003</v>
      </c>
      <c r="T148" s="25">
        <v>0.40500000000000003</v>
      </c>
      <c r="U148" s="7">
        <v>275</v>
      </c>
      <c r="V148" s="4">
        <v>17913</v>
      </c>
      <c r="W148" s="4">
        <v>1205</v>
      </c>
      <c r="X148" s="18">
        <v>21</v>
      </c>
      <c r="Y148" s="18">
        <v>1128</v>
      </c>
      <c r="Z148" s="18">
        <v>7</v>
      </c>
      <c r="AA148" s="18">
        <v>0</v>
      </c>
      <c r="AB148" s="18">
        <v>49</v>
      </c>
      <c r="AC148" s="18">
        <v>0</v>
      </c>
      <c r="AD148" s="6">
        <v>6.7269580751409597E-2</v>
      </c>
      <c r="AE148" s="6">
        <v>6.7000000000000004E-2</v>
      </c>
      <c r="AF148" s="6">
        <v>0.4141057168455205</v>
      </c>
      <c r="AG148" s="6">
        <v>0.41499999999999998</v>
      </c>
      <c r="AH148" s="7">
        <v>259</v>
      </c>
    </row>
    <row r="149" spans="2:34" x14ac:dyDescent="0.25">
      <c r="B149" s="3">
        <v>145</v>
      </c>
      <c r="C149" s="3" t="s">
        <v>294</v>
      </c>
      <c r="D149" s="3" t="s">
        <v>295</v>
      </c>
      <c r="E149" s="3" t="s">
        <v>238</v>
      </c>
      <c r="F149" s="3">
        <v>7408</v>
      </c>
      <c r="G149" s="3">
        <v>7</v>
      </c>
      <c r="H149" s="3">
        <v>0.45200000000000001</v>
      </c>
      <c r="I149" s="4">
        <v>20035</v>
      </c>
      <c r="J149" s="4">
        <v>991</v>
      </c>
      <c r="K149" s="18">
        <v>2</v>
      </c>
      <c r="L149" s="18">
        <v>749</v>
      </c>
      <c r="M149" s="18">
        <v>0</v>
      </c>
      <c r="N149" s="18">
        <v>0</v>
      </c>
      <c r="O149" s="18">
        <v>239</v>
      </c>
      <c r="P149" s="18">
        <v>1</v>
      </c>
      <c r="Q149" s="6">
        <v>4.9463438981781883E-2</v>
      </c>
      <c r="R149" s="3">
        <v>4.9000000000000002E-2</v>
      </c>
      <c r="S149" s="6">
        <v>0.38305017460500568</v>
      </c>
      <c r="T149" s="25">
        <v>0.38300000000000001</v>
      </c>
      <c r="U149" s="7">
        <v>305</v>
      </c>
      <c r="V149" s="4">
        <v>19658</v>
      </c>
      <c r="W149" s="4">
        <v>828</v>
      </c>
      <c r="X149" s="18">
        <v>3</v>
      </c>
      <c r="Y149" s="18">
        <v>680</v>
      </c>
      <c r="Z149" s="18">
        <v>0</v>
      </c>
      <c r="AA149" s="18">
        <v>0</v>
      </c>
      <c r="AB149" s="18">
        <v>144</v>
      </c>
      <c r="AC149" s="18">
        <v>1</v>
      </c>
      <c r="AD149" s="6">
        <v>4.2120256384169295E-2</v>
      </c>
      <c r="AE149" s="6">
        <v>4.2000000000000003E-2</v>
      </c>
      <c r="AF149" s="6">
        <v>0.38510323619573339</v>
      </c>
      <c r="AG149" s="6">
        <v>0.38500000000000001</v>
      </c>
      <c r="AH149" s="7">
        <v>300</v>
      </c>
    </row>
    <row r="150" spans="2:34" x14ac:dyDescent="0.25">
      <c r="B150" s="3">
        <v>146</v>
      </c>
      <c r="C150" s="3" t="s">
        <v>296</v>
      </c>
      <c r="D150" s="3" t="s">
        <v>297</v>
      </c>
      <c r="E150" s="3" t="s">
        <v>298</v>
      </c>
      <c r="F150" s="3">
        <v>16102</v>
      </c>
      <c r="G150" s="3">
        <v>16</v>
      </c>
      <c r="H150" s="3">
        <v>0.46800000000000003</v>
      </c>
      <c r="I150" s="4">
        <v>23863</v>
      </c>
      <c r="J150" s="4">
        <v>3293</v>
      </c>
      <c r="K150" s="18">
        <v>0</v>
      </c>
      <c r="L150" s="18">
        <v>3105</v>
      </c>
      <c r="M150" s="18">
        <v>0</v>
      </c>
      <c r="N150" s="18">
        <v>0</v>
      </c>
      <c r="O150" s="18">
        <v>188</v>
      </c>
      <c r="P150" s="18">
        <v>0</v>
      </c>
      <c r="Q150" s="6">
        <v>0.13799606084733687</v>
      </c>
      <c r="R150" s="3">
        <v>0.13800000000000001</v>
      </c>
      <c r="S150" s="6">
        <v>0.47430017841612432</v>
      </c>
      <c r="T150" s="25">
        <v>0.47399999999999998</v>
      </c>
      <c r="U150" s="7">
        <v>195</v>
      </c>
      <c r="V150" s="4">
        <v>22732</v>
      </c>
      <c r="W150" s="4">
        <v>3103</v>
      </c>
      <c r="X150" s="18">
        <v>94</v>
      </c>
      <c r="Y150" s="18">
        <v>2891</v>
      </c>
      <c r="Z150" s="18">
        <v>0</v>
      </c>
      <c r="AA150" s="18">
        <v>0</v>
      </c>
      <c r="AB150" s="18">
        <v>118</v>
      </c>
      <c r="AC150" s="18">
        <v>0</v>
      </c>
      <c r="AD150" s="6">
        <v>0.13650360724969207</v>
      </c>
      <c r="AE150" s="6">
        <v>0.13700000000000001</v>
      </c>
      <c r="AF150" s="6">
        <v>0.49531266266492446</v>
      </c>
      <c r="AG150" s="6">
        <v>0.495</v>
      </c>
      <c r="AH150" s="7">
        <v>169</v>
      </c>
    </row>
    <row r="151" spans="2:34" x14ac:dyDescent="0.25">
      <c r="B151" s="3">
        <v>147</v>
      </c>
      <c r="C151" s="3" t="s">
        <v>299</v>
      </c>
      <c r="D151" s="3" t="s">
        <v>300</v>
      </c>
      <c r="E151" s="3" t="s">
        <v>298</v>
      </c>
      <c r="F151" s="3">
        <v>16101</v>
      </c>
      <c r="G151" s="3">
        <v>16</v>
      </c>
      <c r="H151" s="3">
        <v>0.55400000000000005</v>
      </c>
      <c r="I151" s="4">
        <v>190382</v>
      </c>
      <c r="J151" s="4">
        <v>57012</v>
      </c>
      <c r="K151" s="18">
        <v>15</v>
      </c>
      <c r="L151" s="18">
        <v>34916</v>
      </c>
      <c r="M151" s="18">
        <v>21380</v>
      </c>
      <c r="N151" s="18">
        <v>0</v>
      </c>
      <c r="O151" s="18">
        <v>688</v>
      </c>
      <c r="P151" s="18">
        <v>13</v>
      </c>
      <c r="Q151" s="6">
        <v>0.29946108350579359</v>
      </c>
      <c r="R151" s="3">
        <v>0.29899999999999999</v>
      </c>
      <c r="S151" s="6">
        <v>0.64072113853770518</v>
      </c>
      <c r="T151" s="25">
        <v>0.64100000000000001</v>
      </c>
      <c r="U151" s="7">
        <v>31</v>
      </c>
      <c r="V151" s="4">
        <v>202826</v>
      </c>
      <c r="W151" s="4">
        <v>52713</v>
      </c>
      <c r="X151" s="18">
        <v>136</v>
      </c>
      <c r="Y151" s="18">
        <v>30240</v>
      </c>
      <c r="Z151" s="18">
        <v>21769</v>
      </c>
      <c r="AA151" s="18">
        <v>2</v>
      </c>
      <c r="AB151" s="18">
        <v>553</v>
      </c>
      <c r="AC151" s="18">
        <v>13</v>
      </c>
      <c r="AD151" s="6">
        <v>0.25989271592399399</v>
      </c>
      <c r="AE151" s="6">
        <v>0.26</v>
      </c>
      <c r="AF151" s="6">
        <v>0.63800486746187712</v>
      </c>
      <c r="AG151" s="6">
        <v>0.63800000000000001</v>
      </c>
      <c r="AH151" s="7">
        <v>33</v>
      </c>
    </row>
    <row r="152" spans="2:34" x14ac:dyDescent="0.25">
      <c r="B152" s="3">
        <v>148</v>
      </c>
      <c r="C152" s="3" t="s">
        <v>301</v>
      </c>
      <c r="D152" s="3" t="s">
        <v>302</v>
      </c>
      <c r="E152" s="3" t="s">
        <v>298</v>
      </c>
      <c r="F152" s="3">
        <v>16103</v>
      </c>
      <c r="G152" s="3">
        <v>16</v>
      </c>
      <c r="H152" s="3">
        <v>0.48499999999999999</v>
      </c>
      <c r="I152" s="4">
        <v>32688</v>
      </c>
      <c r="J152" s="4">
        <v>3799</v>
      </c>
      <c r="K152" s="18">
        <v>0</v>
      </c>
      <c r="L152" s="18">
        <v>3386</v>
      </c>
      <c r="M152" s="18">
        <v>285</v>
      </c>
      <c r="N152" s="18">
        <v>0</v>
      </c>
      <c r="O152" s="18">
        <v>128</v>
      </c>
      <c r="P152" s="18">
        <v>0</v>
      </c>
      <c r="Q152" s="6">
        <v>0.11622001957905041</v>
      </c>
      <c r="R152" s="3">
        <v>0.11600000000000001</v>
      </c>
      <c r="S152" s="6">
        <v>0.4518557527699511</v>
      </c>
      <c r="T152" s="25">
        <v>0.45200000000000001</v>
      </c>
      <c r="U152" s="7">
        <v>218</v>
      </c>
      <c r="V152" s="4">
        <v>35176</v>
      </c>
      <c r="W152" s="4">
        <v>4903</v>
      </c>
      <c r="X152" s="18">
        <v>0</v>
      </c>
      <c r="Y152" s="18">
        <v>2949</v>
      </c>
      <c r="Z152" s="18">
        <v>1856</v>
      </c>
      <c r="AA152" s="18">
        <v>0</v>
      </c>
      <c r="AB152" s="18">
        <v>98</v>
      </c>
      <c r="AC152" s="18">
        <v>0</v>
      </c>
      <c r="AD152" s="6">
        <v>0.13938480782351603</v>
      </c>
      <c r="AE152" s="6">
        <v>0.13900000000000001</v>
      </c>
      <c r="AF152" s="6">
        <v>0.49763286111690747</v>
      </c>
      <c r="AG152" s="6">
        <v>0.498</v>
      </c>
      <c r="AH152" s="7">
        <v>162</v>
      </c>
    </row>
    <row r="153" spans="2:34" x14ac:dyDescent="0.25">
      <c r="B153" s="3">
        <v>149</v>
      </c>
      <c r="C153" s="3" t="s">
        <v>303</v>
      </c>
      <c r="D153" s="3" t="s">
        <v>304</v>
      </c>
      <c r="E153" s="3" t="s">
        <v>298</v>
      </c>
      <c r="F153" s="3">
        <v>16202</v>
      </c>
      <c r="G153" s="3">
        <v>16</v>
      </c>
      <c r="H153" s="3"/>
      <c r="I153" s="4">
        <v>5495</v>
      </c>
      <c r="J153" s="4">
        <v>649</v>
      </c>
      <c r="K153" s="18">
        <v>21</v>
      </c>
      <c r="L153" s="18">
        <v>521</v>
      </c>
      <c r="M153" s="18">
        <v>0</v>
      </c>
      <c r="N153" s="18">
        <v>0</v>
      </c>
      <c r="O153" s="18">
        <v>107</v>
      </c>
      <c r="P153" s="18">
        <v>0</v>
      </c>
      <c r="Q153" s="6">
        <v>0.1181073703366697</v>
      </c>
      <c r="R153" s="3">
        <v>0.11799999999999999</v>
      </c>
      <c r="S153" s="6">
        <v>0.45380103305417463</v>
      </c>
      <c r="T153" s="25">
        <v>0.45400000000000001</v>
      </c>
      <c r="U153" s="7">
        <v>215</v>
      </c>
      <c r="V153" s="4">
        <v>5238</v>
      </c>
      <c r="W153" s="4">
        <v>552</v>
      </c>
      <c r="X153" s="18">
        <v>24</v>
      </c>
      <c r="Y153" s="18">
        <v>453</v>
      </c>
      <c r="Z153" s="18">
        <v>0</v>
      </c>
      <c r="AA153" s="18">
        <v>0</v>
      </c>
      <c r="AB153" s="18">
        <v>75</v>
      </c>
      <c r="AC153" s="18">
        <v>0</v>
      </c>
      <c r="AD153" s="6">
        <v>0.10538373424971363</v>
      </c>
      <c r="AE153" s="6">
        <v>0.105</v>
      </c>
      <c r="AF153" s="6">
        <v>0.45818948743319693</v>
      </c>
      <c r="AG153" s="6">
        <v>0.45900000000000002</v>
      </c>
      <c r="AH153" s="7">
        <v>207</v>
      </c>
    </row>
    <row r="154" spans="2:34" x14ac:dyDescent="0.25">
      <c r="B154" s="3">
        <v>150</v>
      </c>
      <c r="C154" s="3" t="s">
        <v>305</v>
      </c>
      <c r="D154" s="3" t="s">
        <v>306</v>
      </c>
      <c r="E154" s="3" t="s">
        <v>298</v>
      </c>
      <c r="F154" s="3">
        <v>16203</v>
      </c>
      <c r="G154" s="3">
        <v>16</v>
      </c>
      <c r="H154" s="3">
        <v>0.497</v>
      </c>
      <c r="I154" s="4">
        <v>15895</v>
      </c>
      <c r="J154" s="4">
        <v>2566</v>
      </c>
      <c r="K154" s="18">
        <v>5</v>
      </c>
      <c r="L154" s="18">
        <v>2491</v>
      </c>
      <c r="M154" s="18">
        <v>0</v>
      </c>
      <c r="N154" s="18">
        <v>0</v>
      </c>
      <c r="O154" s="18">
        <v>70</v>
      </c>
      <c r="P154" s="18">
        <v>0</v>
      </c>
      <c r="Q154" s="6">
        <v>0.16143441333752753</v>
      </c>
      <c r="R154" s="3">
        <v>0.161</v>
      </c>
      <c r="S154" s="6">
        <v>0.4984579375447778</v>
      </c>
      <c r="T154" s="25">
        <v>0.498</v>
      </c>
      <c r="U154" s="7">
        <v>162</v>
      </c>
      <c r="V154" s="4">
        <v>16894</v>
      </c>
      <c r="W154" s="4">
        <v>2419</v>
      </c>
      <c r="X154" s="18">
        <v>69</v>
      </c>
      <c r="Y154" s="18">
        <v>2303</v>
      </c>
      <c r="Z154" s="18">
        <v>0</v>
      </c>
      <c r="AA154" s="18">
        <v>0</v>
      </c>
      <c r="AB154" s="18">
        <v>47</v>
      </c>
      <c r="AC154" s="18">
        <v>0</v>
      </c>
      <c r="AD154" s="6">
        <v>0.14318693027110216</v>
      </c>
      <c r="AE154" s="6">
        <v>0.14299999999999999</v>
      </c>
      <c r="AF154" s="6">
        <v>0.50227325802087341</v>
      </c>
      <c r="AG154" s="6">
        <v>0.503</v>
      </c>
      <c r="AH154" s="7">
        <v>156</v>
      </c>
    </row>
    <row r="155" spans="2:34" x14ac:dyDescent="0.25">
      <c r="B155" s="3">
        <v>151</v>
      </c>
      <c r="C155" s="3" t="s">
        <v>307</v>
      </c>
      <c r="D155" s="3" t="s">
        <v>308</v>
      </c>
      <c r="E155" s="3" t="s">
        <v>298</v>
      </c>
      <c r="F155" s="3">
        <v>16302</v>
      </c>
      <c r="G155" s="3">
        <v>16</v>
      </c>
      <c r="H155" s="3">
        <v>0.45300000000000001</v>
      </c>
      <c r="I155" s="4">
        <v>29766</v>
      </c>
      <c r="J155" s="4">
        <v>1313</v>
      </c>
      <c r="K155" s="18">
        <v>17</v>
      </c>
      <c r="L155" s="18">
        <v>1097</v>
      </c>
      <c r="M155" s="18">
        <v>0</v>
      </c>
      <c r="N155" s="18">
        <v>0</v>
      </c>
      <c r="O155" s="18">
        <v>199</v>
      </c>
      <c r="P155" s="18">
        <v>0</v>
      </c>
      <c r="Q155" s="6">
        <v>4.4110730363501979E-2</v>
      </c>
      <c r="R155" s="3">
        <v>4.3999999999999997E-2</v>
      </c>
      <c r="S155" s="6">
        <v>0.37753317226704736</v>
      </c>
      <c r="T155" s="25">
        <v>0.378</v>
      </c>
      <c r="U155" s="7">
        <v>310</v>
      </c>
      <c r="V155" s="4">
        <v>28908</v>
      </c>
      <c r="W155" s="4">
        <v>1237</v>
      </c>
      <c r="X155" s="18">
        <v>20</v>
      </c>
      <c r="Y155" s="18">
        <v>1110</v>
      </c>
      <c r="Z155" s="18">
        <v>3</v>
      </c>
      <c r="AA155" s="18">
        <v>0</v>
      </c>
      <c r="AB155" s="18">
        <v>104</v>
      </c>
      <c r="AC155" s="18">
        <v>0</v>
      </c>
      <c r="AD155" s="6">
        <v>4.2790922927909231E-2</v>
      </c>
      <c r="AE155" s="6">
        <v>4.2999999999999997E-2</v>
      </c>
      <c r="AF155" s="6">
        <v>0.38626333542172486</v>
      </c>
      <c r="AG155" s="6">
        <v>0.38600000000000001</v>
      </c>
      <c r="AH155" s="7">
        <v>299</v>
      </c>
    </row>
    <row r="156" spans="2:34" x14ac:dyDescent="0.25">
      <c r="B156" s="3">
        <v>152</v>
      </c>
      <c r="C156" s="3" t="s">
        <v>309</v>
      </c>
      <c r="D156" s="3" t="s">
        <v>310</v>
      </c>
      <c r="E156" s="3" t="s">
        <v>298</v>
      </c>
      <c r="F156" s="3">
        <v>16104</v>
      </c>
      <c r="G156" s="3">
        <v>16</v>
      </c>
      <c r="H156" s="3">
        <v>0.48199999999999998</v>
      </c>
      <c r="I156" s="4">
        <v>13186</v>
      </c>
      <c r="J156" s="4">
        <v>503</v>
      </c>
      <c r="K156" s="18">
        <v>10</v>
      </c>
      <c r="L156" s="18">
        <v>400</v>
      </c>
      <c r="M156" s="18">
        <v>0</v>
      </c>
      <c r="N156" s="18">
        <v>0</v>
      </c>
      <c r="O156" s="18">
        <v>93</v>
      </c>
      <c r="P156" s="18">
        <v>0</v>
      </c>
      <c r="Q156" s="6">
        <v>3.8146519035340512E-2</v>
      </c>
      <c r="R156" s="3">
        <v>3.7999999999999999E-2</v>
      </c>
      <c r="S156" s="6">
        <v>0.37138589801991706</v>
      </c>
      <c r="T156" s="25">
        <v>0.371</v>
      </c>
      <c r="U156" s="7">
        <v>315</v>
      </c>
      <c r="V156" s="4">
        <v>12234</v>
      </c>
      <c r="W156" s="4">
        <v>448</v>
      </c>
      <c r="X156" s="18">
        <v>10</v>
      </c>
      <c r="Y156" s="18">
        <v>394</v>
      </c>
      <c r="Z156" s="18">
        <v>0</v>
      </c>
      <c r="AA156" s="18">
        <v>0</v>
      </c>
      <c r="AB156" s="18">
        <v>44</v>
      </c>
      <c r="AC156" s="18">
        <v>0</v>
      </c>
      <c r="AD156" s="6">
        <v>3.6619257806114108E-2</v>
      </c>
      <c r="AE156" s="6">
        <v>3.6999999999999998E-2</v>
      </c>
      <c r="AF156" s="6">
        <v>0.37930274006577591</v>
      </c>
      <c r="AG156" s="6">
        <v>0.379</v>
      </c>
      <c r="AH156" s="7">
        <v>307</v>
      </c>
    </row>
    <row r="157" spans="2:34" x14ac:dyDescent="0.25">
      <c r="B157" s="3">
        <v>153</v>
      </c>
      <c r="C157" s="3" t="s">
        <v>311</v>
      </c>
      <c r="D157" s="3" t="s">
        <v>312</v>
      </c>
      <c r="E157" s="3" t="s">
        <v>298</v>
      </c>
      <c r="F157" s="3">
        <v>16204</v>
      </c>
      <c r="G157" s="3">
        <v>16</v>
      </c>
      <c r="H157" s="3">
        <v>0.46400000000000002</v>
      </c>
      <c r="I157" s="4">
        <v>5763</v>
      </c>
      <c r="J157" s="4">
        <v>337</v>
      </c>
      <c r="K157" s="18">
        <v>2</v>
      </c>
      <c r="L157" s="18">
        <v>308</v>
      </c>
      <c r="M157" s="18">
        <v>0</v>
      </c>
      <c r="N157" s="18">
        <v>0</v>
      </c>
      <c r="O157" s="18">
        <v>27</v>
      </c>
      <c r="P157" s="18">
        <v>0</v>
      </c>
      <c r="Q157" s="6">
        <v>5.8476487940308866E-2</v>
      </c>
      <c r="R157" s="3">
        <v>5.8000000000000003E-2</v>
      </c>
      <c r="S157" s="6">
        <v>0.39233986618405259</v>
      </c>
      <c r="T157" s="25">
        <v>0.39200000000000002</v>
      </c>
      <c r="U157" s="7">
        <v>293</v>
      </c>
      <c r="V157" s="4">
        <v>5370</v>
      </c>
      <c r="W157" s="4">
        <v>277</v>
      </c>
      <c r="X157" s="18">
        <v>2</v>
      </c>
      <c r="Y157" s="18">
        <v>260</v>
      </c>
      <c r="Z157" s="18">
        <v>0</v>
      </c>
      <c r="AA157" s="18">
        <v>0</v>
      </c>
      <c r="AB157" s="18">
        <v>15</v>
      </c>
      <c r="AC157" s="18">
        <v>0</v>
      </c>
      <c r="AD157" s="6">
        <v>5.1582867783985104E-2</v>
      </c>
      <c r="AE157" s="6">
        <v>5.1999999999999998E-2</v>
      </c>
      <c r="AF157" s="6">
        <v>0.39670422845564823</v>
      </c>
      <c r="AG157" s="6">
        <v>0.39600000000000002</v>
      </c>
      <c r="AH157" s="7">
        <v>285</v>
      </c>
    </row>
    <row r="158" spans="2:34" x14ac:dyDescent="0.25">
      <c r="B158" s="3">
        <v>154</v>
      </c>
      <c r="C158" s="3" t="s">
        <v>313</v>
      </c>
      <c r="D158" s="3" t="s">
        <v>314</v>
      </c>
      <c r="E158" s="3" t="s">
        <v>298</v>
      </c>
      <c r="F158" s="3">
        <v>16303</v>
      </c>
      <c r="G158" s="3">
        <v>16</v>
      </c>
      <c r="H158" s="3">
        <v>0.40200000000000002</v>
      </c>
      <c r="I158" s="4">
        <v>12797</v>
      </c>
      <c r="J158" s="4">
        <v>351</v>
      </c>
      <c r="K158" s="18">
        <v>13</v>
      </c>
      <c r="L158" s="18">
        <v>253</v>
      </c>
      <c r="M158" s="18">
        <v>0</v>
      </c>
      <c r="N158" s="18">
        <v>0</v>
      </c>
      <c r="O158" s="18">
        <v>85</v>
      </c>
      <c r="P158" s="18">
        <v>0</v>
      </c>
      <c r="Q158" s="6">
        <v>2.7428303508634837E-2</v>
      </c>
      <c r="R158" s="3">
        <v>2.7E-2</v>
      </c>
      <c r="S158" s="6">
        <v>0.3603387022286807</v>
      </c>
      <c r="T158" s="25">
        <v>0.36</v>
      </c>
      <c r="U158" s="7">
        <v>330</v>
      </c>
      <c r="V158" s="4">
        <v>11541</v>
      </c>
      <c r="W158" s="4">
        <v>279</v>
      </c>
      <c r="X158" s="18">
        <v>15</v>
      </c>
      <c r="Y158" s="18">
        <v>219</v>
      </c>
      <c r="Z158" s="18">
        <v>0</v>
      </c>
      <c r="AA158" s="18">
        <v>0</v>
      </c>
      <c r="AB158" s="18">
        <v>45</v>
      </c>
      <c r="AC158" s="18">
        <v>0</v>
      </c>
      <c r="AD158" s="6">
        <v>2.4174681570054587E-2</v>
      </c>
      <c r="AE158" s="6">
        <v>2.4E-2</v>
      </c>
      <c r="AF158" s="6">
        <v>0.36422145012788665</v>
      </c>
      <c r="AG158" s="6">
        <v>0.36499999999999999</v>
      </c>
      <c r="AH158" s="7">
        <v>325</v>
      </c>
    </row>
    <row r="159" spans="2:34" x14ac:dyDescent="0.25">
      <c r="B159" s="3">
        <v>155</v>
      </c>
      <c r="C159" s="3" t="s">
        <v>315</v>
      </c>
      <c r="D159" s="3" t="s">
        <v>316</v>
      </c>
      <c r="E159" s="3" t="s">
        <v>298</v>
      </c>
      <c r="F159" s="3">
        <v>16105</v>
      </c>
      <c r="G159" s="3">
        <v>16</v>
      </c>
      <c r="H159" s="3">
        <v>0.441</v>
      </c>
      <c r="I159" s="4">
        <v>8930</v>
      </c>
      <c r="J159" s="4">
        <v>744</v>
      </c>
      <c r="K159" s="18">
        <v>33</v>
      </c>
      <c r="L159" s="18">
        <v>648</v>
      </c>
      <c r="M159" s="18">
        <v>0</v>
      </c>
      <c r="N159" s="18">
        <v>0</v>
      </c>
      <c r="O159" s="18">
        <v>63</v>
      </c>
      <c r="P159" s="18">
        <v>0</v>
      </c>
      <c r="Q159" s="6">
        <v>8.3314669652855541E-2</v>
      </c>
      <c r="R159" s="3">
        <v>8.3000000000000004E-2</v>
      </c>
      <c r="S159" s="6">
        <v>0.41794042028684425</v>
      </c>
      <c r="T159" s="25">
        <v>0.41799999999999998</v>
      </c>
      <c r="U159" s="7">
        <v>255</v>
      </c>
      <c r="V159" s="4">
        <v>8600</v>
      </c>
      <c r="W159" s="4">
        <v>669</v>
      </c>
      <c r="X159" s="18">
        <v>33</v>
      </c>
      <c r="Y159" s="18">
        <v>599</v>
      </c>
      <c r="Z159" s="18">
        <v>0</v>
      </c>
      <c r="AA159" s="18">
        <v>0</v>
      </c>
      <c r="AB159" s="18">
        <v>37</v>
      </c>
      <c r="AC159" s="18">
        <v>0</v>
      </c>
      <c r="AD159" s="6">
        <v>7.779069767441861E-2</v>
      </c>
      <c r="AE159" s="6">
        <v>7.8E-2</v>
      </c>
      <c r="AF159" s="6">
        <v>0.42686680833142682</v>
      </c>
      <c r="AG159" s="6">
        <v>0.42699999999999999</v>
      </c>
      <c r="AH159" s="7">
        <v>243</v>
      </c>
    </row>
    <row r="160" spans="2:34" x14ac:dyDescent="0.25">
      <c r="B160" s="3">
        <v>156</v>
      </c>
      <c r="C160" s="3" t="s">
        <v>317</v>
      </c>
      <c r="D160" s="3" t="s">
        <v>318</v>
      </c>
      <c r="E160" s="3" t="s">
        <v>298</v>
      </c>
      <c r="F160" s="3">
        <v>16106</v>
      </c>
      <c r="G160" s="3">
        <v>16</v>
      </c>
      <c r="H160" s="3">
        <v>0.52300000000000002</v>
      </c>
      <c r="I160" s="4">
        <v>12502</v>
      </c>
      <c r="J160" s="4">
        <v>1931</v>
      </c>
      <c r="K160" s="18">
        <v>16</v>
      </c>
      <c r="L160" s="18">
        <v>1608</v>
      </c>
      <c r="M160" s="18">
        <v>11</v>
      </c>
      <c r="N160" s="18">
        <v>0</v>
      </c>
      <c r="O160" s="18">
        <v>296</v>
      </c>
      <c r="P160" s="18">
        <v>0</v>
      </c>
      <c r="Q160" s="6">
        <v>0.15445528715405535</v>
      </c>
      <c r="R160" s="3">
        <v>0.154</v>
      </c>
      <c r="S160" s="6">
        <v>0.49126459708540199</v>
      </c>
      <c r="T160" s="25">
        <v>0.49099999999999999</v>
      </c>
      <c r="U160" s="7">
        <v>173</v>
      </c>
      <c r="V160" s="4">
        <v>12110</v>
      </c>
      <c r="W160" s="4">
        <v>1560</v>
      </c>
      <c r="X160" s="18">
        <v>18</v>
      </c>
      <c r="Y160" s="18">
        <v>1355</v>
      </c>
      <c r="Z160" s="18">
        <v>24</v>
      </c>
      <c r="AA160" s="18">
        <v>0</v>
      </c>
      <c r="AB160" s="18">
        <v>163</v>
      </c>
      <c r="AC160" s="18">
        <v>0</v>
      </c>
      <c r="AD160" s="6">
        <v>0.12881915772089184</v>
      </c>
      <c r="AE160" s="6">
        <v>0.129</v>
      </c>
      <c r="AF160" s="6">
        <v>0.48603186885699257</v>
      </c>
      <c r="AG160" s="6">
        <v>0.48599999999999999</v>
      </c>
      <c r="AH160" s="7">
        <v>182</v>
      </c>
    </row>
    <row r="161" spans="2:34" x14ac:dyDescent="0.25">
      <c r="B161" s="3">
        <v>157</v>
      </c>
      <c r="C161" s="3" t="s">
        <v>319</v>
      </c>
      <c r="D161" s="3" t="s">
        <v>320</v>
      </c>
      <c r="E161" s="3" t="s">
        <v>298</v>
      </c>
      <c r="F161" s="3">
        <v>16205</v>
      </c>
      <c r="G161" s="3">
        <v>16</v>
      </c>
      <c r="H161" s="3"/>
      <c r="I161" s="4">
        <v>5203</v>
      </c>
      <c r="J161" s="4">
        <v>244</v>
      </c>
      <c r="K161" s="18">
        <v>0</v>
      </c>
      <c r="L161" s="18">
        <v>209</v>
      </c>
      <c r="M161" s="18">
        <v>0</v>
      </c>
      <c r="N161" s="18">
        <v>0</v>
      </c>
      <c r="O161" s="18">
        <v>35</v>
      </c>
      <c r="P161" s="18">
        <v>0</v>
      </c>
      <c r="Q161" s="6">
        <v>4.6896021526042671E-2</v>
      </c>
      <c r="R161" s="3">
        <v>4.7E-2</v>
      </c>
      <c r="S161" s="6">
        <v>0.38040395395001703</v>
      </c>
      <c r="T161" s="25">
        <v>0.38</v>
      </c>
      <c r="U161" s="7">
        <v>308</v>
      </c>
      <c r="V161" s="4">
        <v>4891</v>
      </c>
      <c r="W161" s="4">
        <v>210</v>
      </c>
      <c r="X161" s="18">
        <v>13</v>
      </c>
      <c r="Y161" s="18">
        <v>168</v>
      </c>
      <c r="Z161" s="18">
        <v>0</v>
      </c>
      <c r="AA161" s="18">
        <v>0</v>
      </c>
      <c r="AB161" s="18">
        <v>29</v>
      </c>
      <c r="AC161" s="18">
        <v>0</v>
      </c>
      <c r="AD161" s="6">
        <v>4.293600490697199E-2</v>
      </c>
      <c r="AE161" s="6">
        <v>4.2999999999999997E-2</v>
      </c>
      <c r="AF161" s="6">
        <v>0.38626333542172486</v>
      </c>
      <c r="AG161" s="6">
        <v>0.38600000000000001</v>
      </c>
      <c r="AH161" s="7">
        <v>298</v>
      </c>
    </row>
    <row r="162" spans="2:34" x14ac:dyDescent="0.25">
      <c r="B162" s="3">
        <v>158</v>
      </c>
      <c r="C162" s="3" t="s">
        <v>321</v>
      </c>
      <c r="D162" s="3" t="s">
        <v>322</v>
      </c>
      <c r="E162" s="3" t="s">
        <v>298</v>
      </c>
      <c r="F162" s="3">
        <v>16107</v>
      </c>
      <c r="G162" s="3">
        <v>16</v>
      </c>
      <c r="H162" s="3">
        <v>0.495</v>
      </c>
      <c r="I162" s="4">
        <v>19165</v>
      </c>
      <c r="J162" s="4">
        <v>2886</v>
      </c>
      <c r="K162" s="18">
        <v>0</v>
      </c>
      <c r="L162" s="18">
        <v>2623</v>
      </c>
      <c r="M162" s="18">
        <v>0</v>
      </c>
      <c r="N162" s="18">
        <v>0</v>
      </c>
      <c r="O162" s="18">
        <v>263</v>
      </c>
      <c r="P162" s="18">
        <v>0</v>
      </c>
      <c r="Q162" s="6">
        <v>0.15058700756587529</v>
      </c>
      <c r="R162" s="3">
        <v>0.151</v>
      </c>
      <c r="S162" s="6">
        <v>0.48727758619917821</v>
      </c>
      <c r="T162" s="25">
        <v>0.48699999999999999</v>
      </c>
      <c r="U162" s="7">
        <v>179</v>
      </c>
      <c r="V162" s="4">
        <v>19182</v>
      </c>
      <c r="W162" s="4">
        <v>2653</v>
      </c>
      <c r="X162" s="18">
        <v>25</v>
      </c>
      <c r="Y162" s="18">
        <v>2433</v>
      </c>
      <c r="Z162" s="18">
        <v>0</v>
      </c>
      <c r="AA162" s="18">
        <v>0</v>
      </c>
      <c r="AB162" s="18">
        <v>195</v>
      </c>
      <c r="AC162" s="18">
        <v>0</v>
      </c>
      <c r="AD162" s="6">
        <v>0.13830674590762174</v>
      </c>
      <c r="AE162" s="6">
        <v>0.13800000000000001</v>
      </c>
      <c r="AF162" s="6">
        <v>0.49647276189091594</v>
      </c>
      <c r="AG162" s="6">
        <v>0.497</v>
      </c>
      <c r="AH162" s="7">
        <v>165</v>
      </c>
    </row>
    <row r="163" spans="2:34" x14ac:dyDescent="0.25">
      <c r="B163" s="3">
        <v>159</v>
      </c>
      <c r="C163" s="3" t="s">
        <v>323</v>
      </c>
      <c r="D163" s="3" t="s">
        <v>324</v>
      </c>
      <c r="E163" s="3" t="s">
        <v>298</v>
      </c>
      <c r="F163" s="3">
        <v>16201</v>
      </c>
      <c r="G163" s="3">
        <v>16</v>
      </c>
      <c r="H163" s="3">
        <v>0.43</v>
      </c>
      <c r="I163" s="4">
        <v>11746</v>
      </c>
      <c r="J163" s="4">
        <v>952</v>
      </c>
      <c r="K163" s="18">
        <v>3</v>
      </c>
      <c r="L163" s="18">
        <v>917</v>
      </c>
      <c r="M163" s="18">
        <v>0</v>
      </c>
      <c r="N163" s="18">
        <v>0</v>
      </c>
      <c r="O163" s="18">
        <v>32</v>
      </c>
      <c r="P163" s="18">
        <v>0</v>
      </c>
      <c r="Q163" s="6">
        <v>8.1048867699642438E-2</v>
      </c>
      <c r="R163" s="3">
        <v>8.1000000000000003E-2</v>
      </c>
      <c r="S163" s="6">
        <v>0.41560507278996439</v>
      </c>
      <c r="T163" s="25">
        <v>0.41599999999999998</v>
      </c>
      <c r="U163" s="7">
        <v>262</v>
      </c>
      <c r="V163" s="4">
        <v>12234</v>
      </c>
      <c r="W163" s="4">
        <v>940</v>
      </c>
      <c r="X163" s="18">
        <v>31</v>
      </c>
      <c r="Y163" s="18">
        <v>884</v>
      </c>
      <c r="Z163" s="18">
        <v>0</v>
      </c>
      <c r="AA163" s="18">
        <v>0</v>
      </c>
      <c r="AB163" s="18">
        <v>25</v>
      </c>
      <c r="AC163" s="18">
        <v>0</v>
      </c>
      <c r="AD163" s="6">
        <v>7.6835049861042989E-2</v>
      </c>
      <c r="AE163" s="6">
        <v>7.6999999999999999E-2</v>
      </c>
      <c r="AF163" s="6">
        <v>0.42570670910543534</v>
      </c>
      <c r="AG163" s="6">
        <v>0.42599999999999999</v>
      </c>
      <c r="AH163" s="7">
        <v>244</v>
      </c>
    </row>
    <row r="164" spans="2:34" x14ac:dyDescent="0.25">
      <c r="B164" s="3">
        <v>160</v>
      </c>
      <c r="C164" s="3" t="s">
        <v>325</v>
      </c>
      <c r="D164" s="3" t="s">
        <v>326</v>
      </c>
      <c r="E164" s="3" t="s">
        <v>298</v>
      </c>
      <c r="F164" s="3">
        <v>16206</v>
      </c>
      <c r="G164" s="3">
        <v>16</v>
      </c>
      <c r="H164" s="3">
        <v>0.52800000000000002</v>
      </c>
      <c r="I164" s="4">
        <v>6508</v>
      </c>
      <c r="J164" s="4">
        <v>535</v>
      </c>
      <c r="K164" s="18">
        <v>12</v>
      </c>
      <c r="L164" s="18">
        <v>462</v>
      </c>
      <c r="M164" s="18">
        <v>0</v>
      </c>
      <c r="N164" s="18">
        <v>0</v>
      </c>
      <c r="O164" s="18">
        <v>61</v>
      </c>
      <c r="P164" s="18">
        <v>0</v>
      </c>
      <c r="Q164" s="6">
        <v>8.2206515058389676E-2</v>
      </c>
      <c r="R164" s="3">
        <v>8.2000000000000003E-2</v>
      </c>
      <c r="S164" s="6">
        <v>0.41679825247527896</v>
      </c>
      <c r="T164" s="25">
        <v>0.41699999999999998</v>
      </c>
      <c r="U164" s="7">
        <v>259</v>
      </c>
      <c r="V164" s="4">
        <v>6290</v>
      </c>
      <c r="W164" s="4">
        <v>451</v>
      </c>
      <c r="X164" s="18">
        <v>12</v>
      </c>
      <c r="Y164" s="18">
        <v>391</v>
      </c>
      <c r="Z164" s="18">
        <v>0</v>
      </c>
      <c r="AA164" s="18">
        <v>0</v>
      </c>
      <c r="AB164" s="18">
        <v>48</v>
      </c>
      <c r="AC164" s="18">
        <v>0</v>
      </c>
      <c r="AD164" s="6">
        <v>7.1701112877583462E-2</v>
      </c>
      <c r="AE164" s="6">
        <v>7.1999999999999995E-2</v>
      </c>
      <c r="AF164" s="6">
        <v>0.41990621297547792</v>
      </c>
      <c r="AG164" s="6">
        <v>0.42</v>
      </c>
      <c r="AH164" s="7">
        <v>251</v>
      </c>
    </row>
    <row r="165" spans="2:34" x14ac:dyDescent="0.25">
      <c r="B165" s="3">
        <v>161</v>
      </c>
      <c r="C165" s="3" t="s">
        <v>327</v>
      </c>
      <c r="D165" s="3" t="s">
        <v>328</v>
      </c>
      <c r="E165" s="3" t="s">
        <v>298</v>
      </c>
      <c r="F165" s="3">
        <v>16301</v>
      </c>
      <c r="G165" s="3">
        <v>16</v>
      </c>
      <c r="H165" s="3">
        <v>0.54500000000000004</v>
      </c>
      <c r="I165" s="4">
        <v>55847</v>
      </c>
      <c r="J165" s="4">
        <v>8052</v>
      </c>
      <c r="K165" s="18">
        <v>8</v>
      </c>
      <c r="L165" s="18">
        <v>5963</v>
      </c>
      <c r="M165" s="18">
        <v>1777</v>
      </c>
      <c r="N165" s="18">
        <v>0</v>
      </c>
      <c r="O165" s="18">
        <v>304</v>
      </c>
      <c r="P165" s="18">
        <v>0</v>
      </c>
      <c r="Q165" s="6">
        <v>0.14417963364191452</v>
      </c>
      <c r="R165" s="3">
        <v>0.14399999999999999</v>
      </c>
      <c r="S165" s="6">
        <v>0.48067354711549942</v>
      </c>
      <c r="T165" s="25">
        <v>0.48099999999999998</v>
      </c>
      <c r="U165" s="7">
        <v>187</v>
      </c>
      <c r="V165" s="4">
        <v>56886</v>
      </c>
      <c r="W165" s="4">
        <v>7615</v>
      </c>
      <c r="X165" s="18">
        <v>18</v>
      </c>
      <c r="Y165" s="18">
        <v>5558</v>
      </c>
      <c r="Z165" s="18">
        <v>1801</v>
      </c>
      <c r="AA165" s="18">
        <v>0</v>
      </c>
      <c r="AB165" s="18">
        <v>238</v>
      </c>
      <c r="AC165" s="18">
        <v>0</v>
      </c>
      <c r="AD165" s="6">
        <v>0.133864219667405</v>
      </c>
      <c r="AE165" s="6">
        <v>0.13400000000000001</v>
      </c>
      <c r="AF165" s="6">
        <v>0.49183236498695004</v>
      </c>
      <c r="AG165" s="6">
        <v>0.49199999999999999</v>
      </c>
      <c r="AH165" s="7">
        <v>173</v>
      </c>
    </row>
    <row r="166" spans="2:34" x14ac:dyDescent="0.25">
      <c r="B166" s="3">
        <v>162</v>
      </c>
      <c r="C166" s="3" t="s">
        <v>329</v>
      </c>
      <c r="D166" s="3" t="s">
        <v>330</v>
      </c>
      <c r="E166" s="3" t="s">
        <v>298</v>
      </c>
      <c r="F166" s="3">
        <v>16304</v>
      </c>
      <c r="G166" s="3">
        <v>16</v>
      </c>
      <c r="H166" s="3">
        <v>0.41099999999999998</v>
      </c>
      <c r="I166" s="4">
        <v>5245</v>
      </c>
      <c r="J166" s="4">
        <v>634</v>
      </c>
      <c r="K166" s="18">
        <v>13</v>
      </c>
      <c r="L166" s="18">
        <v>548</v>
      </c>
      <c r="M166" s="18">
        <v>0</v>
      </c>
      <c r="N166" s="18">
        <v>0</v>
      </c>
      <c r="O166" s="18">
        <v>73</v>
      </c>
      <c r="P166" s="18">
        <v>0</v>
      </c>
      <c r="Q166" s="6">
        <v>0.12087702573879885</v>
      </c>
      <c r="R166" s="3">
        <v>0.121</v>
      </c>
      <c r="S166" s="6">
        <v>0.45665569905947562</v>
      </c>
      <c r="T166" s="25">
        <v>0.45700000000000002</v>
      </c>
      <c r="U166" s="7">
        <v>208</v>
      </c>
      <c r="V166" s="4">
        <v>4761</v>
      </c>
      <c r="W166" s="4">
        <v>570</v>
      </c>
      <c r="X166" s="18">
        <v>13</v>
      </c>
      <c r="Y166" s="18">
        <v>510</v>
      </c>
      <c r="Z166" s="18">
        <v>0</v>
      </c>
      <c r="AA166" s="18">
        <v>0</v>
      </c>
      <c r="AB166" s="18">
        <v>47</v>
      </c>
      <c r="AC166" s="18">
        <v>0</v>
      </c>
      <c r="AD166" s="6">
        <v>0.11972274732199117</v>
      </c>
      <c r="AE166" s="6">
        <v>0.12</v>
      </c>
      <c r="AF166" s="6">
        <v>0.4755909758230692</v>
      </c>
      <c r="AG166" s="6">
        <v>0.47499999999999998</v>
      </c>
      <c r="AH166" s="7">
        <v>190</v>
      </c>
    </row>
    <row r="167" spans="2:34" x14ac:dyDescent="0.25">
      <c r="B167" s="3">
        <v>163</v>
      </c>
      <c r="C167" s="3" t="s">
        <v>331</v>
      </c>
      <c r="D167" s="3" t="s">
        <v>332</v>
      </c>
      <c r="E167" s="3" t="s">
        <v>298</v>
      </c>
      <c r="F167" s="3">
        <v>16108</v>
      </c>
      <c r="G167" s="3">
        <v>16</v>
      </c>
      <c r="H167" s="3">
        <v>0.47499999999999998</v>
      </c>
      <c r="I167" s="4">
        <v>17405</v>
      </c>
      <c r="J167" s="4">
        <v>1084</v>
      </c>
      <c r="K167" s="18">
        <v>22</v>
      </c>
      <c r="L167" s="18">
        <v>954</v>
      </c>
      <c r="M167" s="18">
        <v>0</v>
      </c>
      <c r="N167" s="18">
        <v>0</v>
      </c>
      <c r="O167" s="18">
        <v>108</v>
      </c>
      <c r="P167" s="18">
        <v>0</v>
      </c>
      <c r="Q167" s="6">
        <v>6.2280953748922722E-2</v>
      </c>
      <c r="R167" s="3">
        <v>6.2E-2</v>
      </c>
      <c r="S167" s="6">
        <v>0.39626110461820263</v>
      </c>
      <c r="T167" s="25">
        <v>0.39600000000000002</v>
      </c>
      <c r="U167" s="7">
        <v>289</v>
      </c>
      <c r="V167" s="4">
        <v>16614</v>
      </c>
      <c r="W167" s="4">
        <v>944</v>
      </c>
      <c r="X167" s="18">
        <v>41</v>
      </c>
      <c r="Y167" s="18">
        <v>840</v>
      </c>
      <c r="Z167" s="18">
        <v>0</v>
      </c>
      <c r="AA167" s="18">
        <v>0</v>
      </c>
      <c r="AB167" s="18">
        <v>63</v>
      </c>
      <c r="AC167" s="18">
        <v>0</v>
      </c>
      <c r="AD167" s="6">
        <v>5.6819549777296259E-2</v>
      </c>
      <c r="AE167" s="6">
        <v>5.7000000000000002E-2</v>
      </c>
      <c r="AF167" s="6">
        <v>0.40250472458560566</v>
      </c>
      <c r="AG167" s="6">
        <v>0.40300000000000002</v>
      </c>
      <c r="AH167" s="7">
        <v>274</v>
      </c>
    </row>
    <row r="168" spans="2:34" x14ac:dyDescent="0.25">
      <c r="B168" s="3">
        <v>164</v>
      </c>
      <c r="C168" s="3" t="s">
        <v>333</v>
      </c>
      <c r="D168" s="3" t="s">
        <v>334</v>
      </c>
      <c r="E168" s="3" t="s">
        <v>298</v>
      </c>
      <c r="F168" s="3">
        <v>16305</v>
      </c>
      <c r="G168" s="3">
        <v>16</v>
      </c>
      <c r="H168" s="3">
        <v>0.58399999999999996</v>
      </c>
      <c r="I168" s="4">
        <v>15099</v>
      </c>
      <c r="J168" s="4">
        <v>530</v>
      </c>
      <c r="K168" s="18">
        <v>0</v>
      </c>
      <c r="L168" s="18">
        <v>433</v>
      </c>
      <c r="M168" s="18">
        <v>0</v>
      </c>
      <c r="N168" s="18">
        <v>0</v>
      </c>
      <c r="O168" s="18">
        <v>95</v>
      </c>
      <c r="P168" s="18">
        <v>2</v>
      </c>
      <c r="Q168" s="6">
        <v>3.5101662361745813E-2</v>
      </c>
      <c r="R168" s="3">
        <v>3.5000000000000003E-2</v>
      </c>
      <c r="S168" s="6">
        <v>0.36824758383453404</v>
      </c>
      <c r="T168" s="25">
        <v>0.36799999999999999</v>
      </c>
      <c r="U168" s="7">
        <v>321</v>
      </c>
      <c r="V168" s="4">
        <v>12414</v>
      </c>
      <c r="W168" s="4">
        <v>470</v>
      </c>
      <c r="X168" s="18">
        <v>5</v>
      </c>
      <c r="Y168" s="18">
        <v>396</v>
      </c>
      <c r="Z168" s="18">
        <v>0</v>
      </c>
      <c r="AA168" s="18">
        <v>0</v>
      </c>
      <c r="AB168" s="18">
        <v>67</v>
      </c>
      <c r="AC168" s="18">
        <v>2</v>
      </c>
      <c r="AD168" s="6">
        <v>3.7860480103109391E-2</v>
      </c>
      <c r="AE168" s="6">
        <v>3.7999999999999999E-2</v>
      </c>
      <c r="AF168" s="6">
        <v>0.38046283929176744</v>
      </c>
      <c r="AG168" s="6">
        <v>0.38100000000000001</v>
      </c>
      <c r="AH168" s="7">
        <v>304</v>
      </c>
    </row>
    <row r="169" spans="2:34" x14ac:dyDescent="0.25">
      <c r="B169" s="3">
        <v>165</v>
      </c>
      <c r="C169" s="3" t="s">
        <v>335</v>
      </c>
      <c r="D169" s="3" t="s">
        <v>336</v>
      </c>
      <c r="E169" s="3" t="s">
        <v>298</v>
      </c>
      <c r="F169" s="3">
        <v>16207</v>
      </c>
      <c r="G169" s="3">
        <v>16</v>
      </c>
      <c r="H169" s="3">
        <v>0.35</v>
      </c>
      <c r="I169" s="4">
        <v>6124</v>
      </c>
      <c r="J169" s="4">
        <v>397</v>
      </c>
      <c r="K169" s="18">
        <v>0</v>
      </c>
      <c r="L169" s="18">
        <v>353</v>
      </c>
      <c r="M169" s="18">
        <v>0</v>
      </c>
      <c r="N169" s="18">
        <v>0</v>
      </c>
      <c r="O169" s="18">
        <v>44</v>
      </c>
      <c r="P169" s="18">
        <v>0</v>
      </c>
      <c r="Q169" s="6">
        <v>6.4826910516002617E-2</v>
      </c>
      <c r="R169" s="3">
        <v>6.5000000000000002E-2</v>
      </c>
      <c r="S169" s="6">
        <v>0.39888520587945048</v>
      </c>
      <c r="T169" s="25">
        <v>0.39900000000000002</v>
      </c>
      <c r="U169" s="7">
        <v>288</v>
      </c>
      <c r="V169" s="4">
        <v>5752</v>
      </c>
      <c r="W169" s="4">
        <v>385</v>
      </c>
      <c r="X169" s="18">
        <v>0</v>
      </c>
      <c r="Y169" s="18">
        <v>335</v>
      </c>
      <c r="Z169" s="18">
        <v>0</v>
      </c>
      <c r="AA169" s="18">
        <v>1</v>
      </c>
      <c r="AB169" s="18">
        <v>49</v>
      </c>
      <c r="AC169" s="18">
        <v>0</v>
      </c>
      <c r="AD169" s="6">
        <v>6.6933240611961056E-2</v>
      </c>
      <c r="AE169" s="6">
        <v>6.7000000000000004E-2</v>
      </c>
      <c r="AF169" s="6">
        <v>0.4141057168455205</v>
      </c>
      <c r="AG169" s="6">
        <v>0.41399999999999998</v>
      </c>
      <c r="AH169" s="7">
        <v>261</v>
      </c>
    </row>
    <row r="170" spans="2:34" x14ac:dyDescent="0.25">
      <c r="B170" s="3">
        <v>166</v>
      </c>
      <c r="C170" s="3" t="s">
        <v>337</v>
      </c>
      <c r="D170" s="3" t="s">
        <v>338</v>
      </c>
      <c r="E170" s="3" t="s">
        <v>298</v>
      </c>
      <c r="F170" s="3">
        <v>16109</v>
      </c>
      <c r="G170" s="3">
        <v>16</v>
      </c>
      <c r="H170" s="3">
        <v>0.43</v>
      </c>
      <c r="I170" s="4">
        <v>18680</v>
      </c>
      <c r="J170" s="4">
        <v>2782</v>
      </c>
      <c r="K170" s="18">
        <v>12</v>
      </c>
      <c r="L170" s="18">
        <v>2591</v>
      </c>
      <c r="M170" s="18">
        <v>10</v>
      </c>
      <c r="N170" s="18">
        <v>0</v>
      </c>
      <c r="O170" s="18">
        <v>169</v>
      </c>
      <c r="P170" s="18">
        <v>0</v>
      </c>
      <c r="Q170" s="6">
        <v>0.14892933618843682</v>
      </c>
      <c r="R170" s="3">
        <v>0.14899999999999999</v>
      </c>
      <c r="S170" s="6">
        <v>0.48556903497453979</v>
      </c>
      <c r="T170" s="25">
        <v>0.48599999999999999</v>
      </c>
      <c r="U170" s="7">
        <v>183</v>
      </c>
      <c r="V170" s="4">
        <v>18784</v>
      </c>
      <c r="W170" s="4">
        <v>2708</v>
      </c>
      <c r="X170" s="18">
        <v>90</v>
      </c>
      <c r="Y170" s="18">
        <v>2414</v>
      </c>
      <c r="Z170" s="18">
        <v>92</v>
      </c>
      <c r="AA170" s="18">
        <v>1</v>
      </c>
      <c r="AB170" s="18">
        <v>111</v>
      </c>
      <c r="AC170" s="18">
        <v>0</v>
      </c>
      <c r="AD170" s="6">
        <v>0.14416524701873934</v>
      </c>
      <c r="AE170" s="6">
        <v>0.14399999999999999</v>
      </c>
      <c r="AF170" s="6">
        <v>0.50343335724686489</v>
      </c>
      <c r="AG170" s="6">
        <v>0.504</v>
      </c>
      <c r="AH170" s="7">
        <v>154</v>
      </c>
    </row>
    <row r="171" spans="2:34" x14ac:dyDescent="0.25">
      <c r="B171" s="3">
        <v>167</v>
      </c>
      <c r="C171" s="3" t="s">
        <v>339</v>
      </c>
      <c r="D171" s="3" t="s">
        <v>340</v>
      </c>
      <c r="E171" s="3" t="s">
        <v>341</v>
      </c>
      <c r="F171" s="3">
        <v>8314</v>
      </c>
      <c r="G171" s="3">
        <v>8</v>
      </c>
      <c r="H171" s="3">
        <v>0.36699999999999999</v>
      </c>
      <c r="I171" s="4">
        <v>6016</v>
      </c>
      <c r="J171" s="4">
        <v>175</v>
      </c>
      <c r="K171" s="18">
        <v>11</v>
      </c>
      <c r="L171" s="18">
        <v>0</v>
      </c>
      <c r="M171" s="18">
        <v>0</v>
      </c>
      <c r="N171" s="18">
        <v>0</v>
      </c>
      <c r="O171" s="18">
        <v>164</v>
      </c>
      <c r="P171" s="18">
        <v>0</v>
      </c>
      <c r="Q171" s="6">
        <v>2.9089095744680851E-2</v>
      </c>
      <c r="R171" s="3">
        <v>2.9000000000000001E-2</v>
      </c>
      <c r="S171" s="6">
        <v>0.36205047010220887</v>
      </c>
      <c r="T171" s="25">
        <v>0.36199999999999999</v>
      </c>
      <c r="U171" s="7">
        <v>328</v>
      </c>
      <c r="V171" s="4">
        <v>6803</v>
      </c>
      <c r="W171" s="4">
        <v>166</v>
      </c>
      <c r="X171" s="18">
        <v>14</v>
      </c>
      <c r="Y171" s="18">
        <v>0</v>
      </c>
      <c r="Z171" s="18">
        <v>0</v>
      </c>
      <c r="AA171" s="18">
        <v>0</v>
      </c>
      <c r="AB171" s="18">
        <v>152</v>
      </c>
      <c r="AC171" s="18">
        <v>0</v>
      </c>
      <c r="AD171" s="6">
        <v>2.4400999559018081E-2</v>
      </c>
      <c r="AE171" s="6">
        <v>2.4E-2</v>
      </c>
      <c r="AF171" s="6">
        <v>0.36422145012788665</v>
      </c>
      <c r="AG171" s="6">
        <v>0.36499999999999999</v>
      </c>
      <c r="AH171" s="7">
        <v>326</v>
      </c>
    </row>
    <row r="172" spans="2:34" x14ac:dyDescent="0.25">
      <c r="B172" s="3">
        <v>168</v>
      </c>
      <c r="C172" s="3" t="s">
        <v>342</v>
      </c>
      <c r="D172" s="3" t="s">
        <v>343</v>
      </c>
      <c r="E172" s="3" t="s">
        <v>341</v>
      </c>
      <c r="F172" s="3">
        <v>8302</v>
      </c>
      <c r="G172" s="3">
        <v>8</v>
      </c>
      <c r="H172" s="3">
        <v>0.50700000000000001</v>
      </c>
      <c r="I172" s="4">
        <v>4373</v>
      </c>
      <c r="J172" s="4">
        <v>129</v>
      </c>
      <c r="K172" s="18">
        <v>36</v>
      </c>
      <c r="L172" s="18">
        <v>0</v>
      </c>
      <c r="M172" s="18">
        <v>0</v>
      </c>
      <c r="N172" s="18">
        <v>0</v>
      </c>
      <c r="O172" s="18">
        <v>93</v>
      </c>
      <c r="P172" s="18">
        <v>0</v>
      </c>
      <c r="Q172" s="6">
        <v>2.9499199634118452E-2</v>
      </c>
      <c r="R172" s="3">
        <v>2.9000000000000001E-2</v>
      </c>
      <c r="S172" s="6">
        <v>0.36247316154278275</v>
      </c>
      <c r="T172" s="25">
        <v>0.36199999999999999</v>
      </c>
      <c r="U172" s="7">
        <v>326</v>
      </c>
      <c r="V172" s="4">
        <v>4322</v>
      </c>
      <c r="W172" s="4">
        <v>80</v>
      </c>
      <c r="X172" s="18">
        <v>39</v>
      </c>
      <c r="Y172" s="18">
        <v>0</v>
      </c>
      <c r="Z172" s="18">
        <v>0</v>
      </c>
      <c r="AA172" s="18">
        <v>0</v>
      </c>
      <c r="AB172" s="18">
        <v>41</v>
      </c>
      <c r="AC172" s="18">
        <v>0</v>
      </c>
      <c r="AD172" s="6">
        <v>1.8509949097639981E-2</v>
      </c>
      <c r="AE172" s="6">
        <v>1.9E-2</v>
      </c>
      <c r="AF172" s="6">
        <v>0.35842095399792923</v>
      </c>
      <c r="AG172" s="6">
        <v>0.35799999999999998</v>
      </c>
      <c r="AH172" s="7">
        <v>333</v>
      </c>
    </row>
    <row r="173" spans="2:34" x14ac:dyDescent="0.25">
      <c r="B173" s="3">
        <v>169</v>
      </c>
      <c r="C173" s="3" t="s">
        <v>344</v>
      </c>
      <c r="D173" s="3" t="s">
        <v>345</v>
      </c>
      <c r="E173" s="3" t="s">
        <v>341</v>
      </c>
      <c r="F173" s="3">
        <v>8202</v>
      </c>
      <c r="G173" s="3">
        <v>8</v>
      </c>
      <c r="H173" s="3">
        <v>0.499</v>
      </c>
      <c r="I173" s="4">
        <v>37163</v>
      </c>
      <c r="J173" s="4">
        <v>8050</v>
      </c>
      <c r="K173" s="18">
        <v>0</v>
      </c>
      <c r="L173" s="18">
        <v>7815</v>
      </c>
      <c r="M173" s="18">
        <v>0</v>
      </c>
      <c r="N173" s="18">
        <v>0</v>
      </c>
      <c r="O173" s="18">
        <v>235</v>
      </c>
      <c r="P173" s="18">
        <v>0</v>
      </c>
      <c r="Q173" s="6">
        <v>0.21661329817291392</v>
      </c>
      <c r="R173" s="3">
        <v>0.217</v>
      </c>
      <c r="S173" s="6">
        <v>0.55533045916927581</v>
      </c>
      <c r="T173" s="25">
        <v>0.55500000000000005</v>
      </c>
      <c r="U173" s="7">
        <v>105</v>
      </c>
      <c r="V173" s="4">
        <v>38890</v>
      </c>
      <c r="W173" s="4">
        <v>7588</v>
      </c>
      <c r="X173" s="18">
        <v>3</v>
      </c>
      <c r="Y173" s="18">
        <v>7388</v>
      </c>
      <c r="Z173" s="18">
        <v>0</v>
      </c>
      <c r="AA173" s="18">
        <v>0</v>
      </c>
      <c r="AB173" s="18">
        <v>197</v>
      </c>
      <c r="AC173" s="18">
        <v>0</v>
      </c>
      <c r="AD173" s="6">
        <v>0.19511442530213421</v>
      </c>
      <c r="AE173" s="6">
        <v>0.19500000000000001</v>
      </c>
      <c r="AF173" s="6">
        <v>0.56259841777243058</v>
      </c>
      <c r="AG173" s="6">
        <v>0.56299999999999994</v>
      </c>
      <c r="AH173" s="7">
        <v>99</v>
      </c>
    </row>
    <row r="174" spans="2:34" x14ac:dyDescent="0.25">
      <c r="B174" s="3">
        <v>170</v>
      </c>
      <c r="C174" s="3" t="s">
        <v>346</v>
      </c>
      <c r="D174" s="3" t="s">
        <v>347</v>
      </c>
      <c r="E174" s="3" t="s">
        <v>341</v>
      </c>
      <c r="F174" s="3">
        <v>8303</v>
      </c>
      <c r="G174" s="3">
        <v>8</v>
      </c>
      <c r="H174" s="3">
        <v>0.44600000000000001</v>
      </c>
      <c r="I174" s="4">
        <v>31256</v>
      </c>
      <c r="J174" s="4">
        <v>5229</v>
      </c>
      <c r="K174" s="18">
        <v>0</v>
      </c>
      <c r="L174" s="18">
        <v>4826</v>
      </c>
      <c r="M174" s="18">
        <v>17</v>
      </c>
      <c r="N174" s="18">
        <v>0</v>
      </c>
      <c r="O174" s="18">
        <v>386</v>
      </c>
      <c r="P174" s="18">
        <v>0</v>
      </c>
      <c r="Q174" s="6">
        <v>0.16729587919119529</v>
      </c>
      <c r="R174" s="3">
        <v>0.16700000000000001</v>
      </c>
      <c r="S174" s="6">
        <v>0.50449931269232684</v>
      </c>
      <c r="T174" s="25">
        <v>0.504</v>
      </c>
      <c r="U174" s="7">
        <v>157</v>
      </c>
      <c r="V174" s="4">
        <v>31023</v>
      </c>
      <c r="W174" s="4">
        <v>4987</v>
      </c>
      <c r="X174" s="18">
        <v>39</v>
      </c>
      <c r="Y174" s="18">
        <v>4634</v>
      </c>
      <c r="Z174" s="18">
        <v>38</v>
      </c>
      <c r="AA174" s="18">
        <v>0</v>
      </c>
      <c r="AB174" s="18">
        <v>276</v>
      </c>
      <c r="AC174" s="18">
        <v>0</v>
      </c>
      <c r="AD174" s="6">
        <v>0.16075170035135222</v>
      </c>
      <c r="AE174" s="6">
        <v>0.161</v>
      </c>
      <c r="AF174" s="6">
        <v>0.52315504408872016</v>
      </c>
      <c r="AG174" s="6">
        <v>0.52300000000000002</v>
      </c>
      <c r="AH174" s="7">
        <v>134</v>
      </c>
    </row>
    <row r="175" spans="2:34" x14ac:dyDescent="0.25">
      <c r="B175" s="3">
        <v>171</v>
      </c>
      <c r="C175" s="3" t="s">
        <v>348</v>
      </c>
      <c r="D175" s="3" t="s">
        <v>349</v>
      </c>
      <c r="E175" s="3" t="s">
        <v>341</v>
      </c>
      <c r="F175" s="3">
        <v>8203</v>
      </c>
      <c r="G175" s="3">
        <v>8</v>
      </c>
      <c r="H175" s="3">
        <v>0.54300000000000004</v>
      </c>
      <c r="I175" s="4">
        <v>34640</v>
      </c>
      <c r="J175" s="4">
        <v>5011</v>
      </c>
      <c r="K175" s="18">
        <v>0</v>
      </c>
      <c r="L175" s="18">
        <v>4643</v>
      </c>
      <c r="M175" s="18">
        <v>0</v>
      </c>
      <c r="N175" s="18">
        <v>0</v>
      </c>
      <c r="O175" s="18">
        <v>368</v>
      </c>
      <c r="P175" s="18">
        <v>0</v>
      </c>
      <c r="Q175" s="6">
        <v>0.14465935334872979</v>
      </c>
      <c r="R175" s="3">
        <v>0.14499999999999999</v>
      </c>
      <c r="S175" s="6">
        <v>0.48116799113119385</v>
      </c>
      <c r="T175" s="25">
        <v>0.48099999999999998</v>
      </c>
      <c r="U175" s="7">
        <v>186</v>
      </c>
      <c r="V175" s="4">
        <v>37349</v>
      </c>
      <c r="W175" s="4">
        <v>4844</v>
      </c>
      <c r="X175" s="18">
        <v>41</v>
      </c>
      <c r="Y175" s="18">
        <v>4553</v>
      </c>
      <c r="Z175" s="18">
        <v>0</v>
      </c>
      <c r="AA175" s="18">
        <v>0</v>
      </c>
      <c r="AB175" s="18">
        <v>250</v>
      </c>
      <c r="AC175" s="18">
        <v>0</v>
      </c>
      <c r="AD175" s="6">
        <v>0.12969557417869287</v>
      </c>
      <c r="AE175" s="6">
        <v>0.13</v>
      </c>
      <c r="AF175" s="6">
        <v>0.48719196808298409</v>
      </c>
      <c r="AG175" s="6">
        <v>0.48699999999999999</v>
      </c>
      <c r="AH175" s="7">
        <v>179</v>
      </c>
    </row>
    <row r="176" spans="2:34" x14ac:dyDescent="0.25">
      <c r="B176" s="3">
        <v>172</v>
      </c>
      <c r="C176" s="3" t="s">
        <v>350</v>
      </c>
      <c r="D176" s="3" t="s">
        <v>351</v>
      </c>
      <c r="E176" s="3" t="s">
        <v>341</v>
      </c>
      <c r="F176" s="3">
        <v>8103</v>
      </c>
      <c r="G176" s="3">
        <v>8</v>
      </c>
      <c r="H176" s="3">
        <v>0.60699999999999998</v>
      </c>
      <c r="I176" s="4">
        <v>85822</v>
      </c>
      <c r="J176" s="4">
        <v>26035</v>
      </c>
      <c r="K176" s="18">
        <v>1</v>
      </c>
      <c r="L176" s="18">
        <v>17888</v>
      </c>
      <c r="M176" s="18">
        <v>8013</v>
      </c>
      <c r="N176" s="18">
        <v>0</v>
      </c>
      <c r="O176" s="18">
        <v>133</v>
      </c>
      <c r="P176" s="18">
        <v>0</v>
      </c>
      <c r="Q176" s="6">
        <v>0.30336044370907228</v>
      </c>
      <c r="R176" s="3">
        <v>0.30299999999999999</v>
      </c>
      <c r="S176" s="6">
        <v>0.64474018401396416</v>
      </c>
      <c r="T176" s="25">
        <v>0.64500000000000002</v>
      </c>
      <c r="U176" s="7">
        <v>27</v>
      </c>
      <c r="V176" s="4">
        <v>91805</v>
      </c>
      <c r="W176" s="4">
        <v>25365</v>
      </c>
      <c r="X176" s="18">
        <v>9</v>
      </c>
      <c r="Y176" s="18">
        <v>16648</v>
      </c>
      <c r="Z176" s="18">
        <v>8557</v>
      </c>
      <c r="AA176" s="18">
        <v>0</v>
      </c>
      <c r="AB176" s="18">
        <v>151</v>
      </c>
      <c r="AC176" s="18">
        <v>0</v>
      </c>
      <c r="AD176" s="6">
        <v>0.27629214095092858</v>
      </c>
      <c r="AE176" s="6">
        <v>0.27600000000000002</v>
      </c>
      <c r="AF176" s="6">
        <v>0.65656645507774092</v>
      </c>
      <c r="AG176" s="6">
        <v>0.65700000000000003</v>
      </c>
      <c r="AH176" s="7">
        <v>22</v>
      </c>
    </row>
    <row r="177" spans="2:34" x14ac:dyDescent="0.25">
      <c r="B177" s="3">
        <v>173</v>
      </c>
      <c r="C177" s="3" t="s">
        <v>352</v>
      </c>
      <c r="D177" s="3" t="s">
        <v>353</v>
      </c>
      <c r="E177" s="3" t="s">
        <v>341</v>
      </c>
      <c r="F177" s="3">
        <v>8101</v>
      </c>
      <c r="G177" s="3">
        <v>8</v>
      </c>
      <c r="H177" s="3">
        <v>0.627</v>
      </c>
      <c r="I177" s="4">
        <v>230375</v>
      </c>
      <c r="J177" s="4">
        <v>77298</v>
      </c>
      <c r="K177" s="18">
        <v>129</v>
      </c>
      <c r="L177" s="18">
        <v>50864</v>
      </c>
      <c r="M177" s="18">
        <v>25613</v>
      </c>
      <c r="N177" s="18">
        <v>0</v>
      </c>
      <c r="O177" s="18">
        <v>692</v>
      </c>
      <c r="P177" s="18">
        <v>0</v>
      </c>
      <c r="Q177" s="6">
        <v>0.33553119913185026</v>
      </c>
      <c r="R177" s="3">
        <v>0.33600000000000002</v>
      </c>
      <c r="S177" s="6">
        <v>0.67789837466817304</v>
      </c>
      <c r="T177" s="25">
        <v>0.67800000000000005</v>
      </c>
      <c r="U177" s="7">
        <v>16</v>
      </c>
      <c r="V177" s="4">
        <v>239443</v>
      </c>
      <c r="W177" s="4">
        <v>75118</v>
      </c>
      <c r="X177" s="18">
        <v>444</v>
      </c>
      <c r="Y177" s="18">
        <v>47509</v>
      </c>
      <c r="Z177" s="18">
        <v>26527</v>
      </c>
      <c r="AA177" s="18">
        <v>1</v>
      </c>
      <c r="AB177" s="18">
        <v>637</v>
      </c>
      <c r="AC177" s="18">
        <v>0</v>
      </c>
      <c r="AD177" s="6">
        <v>0.31371975793821494</v>
      </c>
      <c r="AE177" s="6">
        <v>0.314</v>
      </c>
      <c r="AF177" s="6">
        <v>0.70065022566541735</v>
      </c>
      <c r="AG177" s="6">
        <v>0.7</v>
      </c>
      <c r="AH177" s="7">
        <v>11</v>
      </c>
    </row>
    <row r="178" spans="2:34" x14ac:dyDescent="0.25">
      <c r="B178" s="3">
        <v>174</v>
      </c>
      <c r="C178" s="3" t="s">
        <v>354</v>
      </c>
      <c r="D178" s="3" t="s">
        <v>355</v>
      </c>
      <c r="E178" s="3" t="s">
        <v>341</v>
      </c>
      <c r="F178" s="3">
        <v>8204</v>
      </c>
      <c r="G178" s="3">
        <v>8</v>
      </c>
      <c r="H178" s="3">
        <v>0.52800000000000002</v>
      </c>
      <c r="I178" s="4">
        <v>5905</v>
      </c>
      <c r="J178" s="4">
        <v>1032</v>
      </c>
      <c r="K178" s="18">
        <v>3</v>
      </c>
      <c r="L178" s="18">
        <v>996</v>
      </c>
      <c r="M178" s="18">
        <v>0</v>
      </c>
      <c r="N178" s="18">
        <v>0</v>
      </c>
      <c r="O178" s="18">
        <v>33</v>
      </c>
      <c r="P178" s="18">
        <v>0</v>
      </c>
      <c r="Q178" s="6">
        <v>0.17476714648602878</v>
      </c>
      <c r="R178" s="3">
        <v>0.17499999999999999</v>
      </c>
      <c r="S178" s="6">
        <v>0.5121998998291537</v>
      </c>
      <c r="T178" s="25">
        <v>0.51200000000000001</v>
      </c>
      <c r="U178" s="7">
        <v>143</v>
      </c>
      <c r="V178" s="4">
        <v>6351</v>
      </c>
      <c r="W178" s="4">
        <v>979</v>
      </c>
      <c r="X178" s="18">
        <v>7</v>
      </c>
      <c r="Y178" s="18">
        <v>951</v>
      </c>
      <c r="Z178" s="18">
        <v>0</v>
      </c>
      <c r="AA178" s="18">
        <v>0</v>
      </c>
      <c r="AB178" s="18">
        <v>21</v>
      </c>
      <c r="AC178" s="18">
        <v>0</v>
      </c>
      <c r="AD178" s="6">
        <v>0.15414895292079989</v>
      </c>
      <c r="AE178" s="6">
        <v>0.154</v>
      </c>
      <c r="AF178" s="6">
        <v>0.51503434950677973</v>
      </c>
      <c r="AG178" s="6">
        <v>0.51500000000000001</v>
      </c>
      <c r="AH178" s="7">
        <v>144</v>
      </c>
    </row>
    <row r="179" spans="2:34" x14ac:dyDescent="0.25">
      <c r="B179" s="3">
        <v>175</v>
      </c>
      <c r="C179" s="3" t="s">
        <v>356</v>
      </c>
      <c r="D179" s="3" t="s">
        <v>357</v>
      </c>
      <c r="E179" s="3" t="s">
        <v>341</v>
      </c>
      <c r="F179" s="3">
        <v>8102</v>
      </c>
      <c r="G179" s="3">
        <v>8</v>
      </c>
      <c r="H179" s="3">
        <v>0.55900000000000005</v>
      </c>
      <c r="I179" s="4">
        <v>123648</v>
      </c>
      <c r="J179" s="4">
        <v>36514</v>
      </c>
      <c r="K179" s="18">
        <v>42</v>
      </c>
      <c r="L179" s="18">
        <v>36143</v>
      </c>
      <c r="M179" s="18">
        <v>0</v>
      </c>
      <c r="N179" s="18">
        <v>0</v>
      </c>
      <c r="O179" s="18">
        <v>329</v>
      </c>
      <c r="P179" s="18">
        <v>0</v>
      </c>
      <c r="Q179" s="6">
        <v>0.29530603002070394</v>
      </c>
      <c r="R179" s="3">
        <v>0.29499999999999998</v>
      </c>
      <c r="S179" s="6">
        <v>0.63643855164080287</v>
      </c>
      <c r="T179" s="25">
        <v>0.63600000000000001</v>
      </c>
      <c r="U179" s="7">
        <v>32</v>
      </c>
      <c r="V179" s="4">
        <v>128253</v>
      </c>
      <c r="W179" s="4">
        <v>35593</v>
      </c>
      <c r="X179" s="18">
        <v>90</v>
      </c>
      <c r="Y179" s="18">
        <v>35035</v>
      </c>
      <c r="Z179" s="18">
        <v>0</v>
      </c>
      <c r="AA179" s="18">
        <v>0</v>
      </c>
      <c r="AB179" s="18">
        <v>468</v>
      </c>
      <c r="AC179" s="18">
        <v>0</v>
      </c>
      <c r="AD179" s="6">
        <v>0.2775217733698237</v>
      </c>
      <c r="AE179" s="6">
        <v>0.27800000000000002</v>
      </c>
      <c r="AF179" s="6">
        <v>0.65888665352972398</v>
      </c>
      <c r="AG179" s="6">
        <v>0.65800000000000003</v>
      </c>
      <c r="AH179" s="7">
        <v>20</v>
      </c>
    </row>
    <row r="180" spans="2:34" x14ac:dyDescent="0.25">
      <c r="B180" s="3">
        <v>176</v>
      </c>
      <c r="C180" s="3" t="s">
        <v>358</v>
      </c>
      <c r="D180" s="3" t="s">
        <v>359</v>
      </c>
      <c r="E180" s="3" t="s">
        <v>341</v>
      </c>
      <c r="F180" s="3">
        <v>8205</v>
      </c>
      <c r="G180" s="3">
        <v>8</v>
      </c>
      <c r="H180" s="3">
        <v>0.55100000000000005</v>
      </c>
      <c r="I180" s="4">
        <v>31119</v>
      </c>
      <c r="J180" s="4">
        <v>7732</v>
      </c>
      <c r="K180" s="18">
        <v>92</v>
      </c>
      <c r="L180" s="18">
        <v>7541</v>
      </c>
      <c r="M180" s="18">
        <v>0</v>
      </c>
      <c r="N180" s="18">
        <v>0</v>
      </c>
      <c r="O180" s="18">
        <v>99</v>
      </c>
      <c r="P180" s="18">
        <v>0</v>
      </c>
      <c r="Q180" s="6">
        <v>0.24846556765962916</v>
      </c>
      <c r="R180" s="3">
        <v>0.248</v>
      </c>
      <c r="S180" s="6">
        <v>0.58816038841806006</v>
      </c>
      <c r="T180" s="25">
        <v>0.58799999999999997</v>
      </c>
      <c r="U180" s="7">
        <v>68</v>
      </c>
      <c r="V180" s="4">
        <v>33938</v>
      </c>
      <c r="W180" s="4">
        <v>7355</v>
      </c>
      <c r="X180" s="18">
        <v>178</v>
      </c>
      <c r="Y180" s="18">
        <v>7063</v>
      </c>
      <c r="Z180" s="18">
        <v>0</v>
      </c>
      <c r="AA180" s="18">
        <v>0</v>
      </c>
      <c r="AB180" s="18">
        <v>114</v>
      </c>
      <c r="AC180" s="18">
        <v>0</v>
      </c>
      <c r="AD180" s="6">
        <v>0.2167187223760976</v>
      </c>
      <c r="AE180" s="6">
        <v>0.217</v>
      </c>
      <c r="AF180" s="6">
        <v>0.58812060074424333</v>
      </c>
      <c r="AG180" s="6">
        <v>0.58799999999999997</v>
      </c>
      <c r="AH180" s="7">
        <v>69</v>
      </c>
    </row>
    <row r="181" spans="2:34" x14ac:dyDescent="0.25">
      <c r="B181" s="3">
        <v>177</v>
      </c>
      <c r="C181" s="3" t="s">
        <v>360</v>
      </c>
      <c r="D181" s="3" t="s">
        <v>361</v>
      </c>
      <c r="E181" s="3" t="s">
        <v>341</v>
      </c>
      <c r="F181" s="3">
        <v>8104</v>
      </c>
      <c r="G181" s="3">
        <v>8</v>
      </c>
      <c r="H181" s="3">
        <v>0.45700000000000002</v>
      </c>
      <c r="I181" s="4">
        <v>12958</v>
      </c>
      <c r="J181" s="4">
        <v>1029</v>
      </c>
      <c r="K181" s="18">
        <v>46</v>
      </c>
      <c r="L181" s="18">
        <v>713</v>
      </c>
      <c r="M181" s="18">
        <v>0</v>
      </c>
      <c r="N181" s="18">
        <v>0</v>
      </c>
      <c r="O181" s="18">
        <v>270</v>
      </c>
      <c r="P181" s="18">
        <v>0</v>
      </c>
      <c r="Q181" s="6">
        <v>7.9410402839944438E-2</v>
      </c>
      <c r="R181" s="3">
        <v>7.9000000000000001E-2</v>
      </c>
      <c r="S181" s="6">
        <v>0.41391631759960223</v>
      </c>
      <c r="T181" s="25">
        <v>0.41399999999999998</v>
      </c>
      <c r="U181" s="7">
        <v>264</v>
      </c>
      <c r="V181" s="4">
        <v>11868</v>
      </c>
      <c r="W181" s="4">
        <v>882</v>
      </c>
      <c r="X181" s="18">
        <v>76</v>
      </c>
      <c r="Y181" s="18">
        <v>627</v>
      </c>
      <c r="Z181" s="18">
        <v>0</v>
      </c>
      <c r="AA181" s="18">
        <v>0</v>
      </c>
      <c r="AB181" s="18">
        <v>179</v>
      </c>
      <c r="AC181" s="18">
        <v>0</v>
      </c>
      <c r="AD181" s="6">
        <v>7.4317492416582406E-2</v>
      </c>
      <c r="AE181" s="6">
        <v>7.3999999999999996E-2</v>
      </c>
      <c r="AF181" s="6">
        <v>0.42222641142746087</v>
      </c>
      <c r="AG181" s="6">
        <v>0.42299999999999999</v>
      </c>
      <c r="AH181" s="7">
        <v>248</v>
      </c>
    </row>
    <row r="182" spans="2:34" x14ac:dyDescent="0.25">
      <c r="B182" s="3">
        <v>178</v>
      </c>
      <c r="C182" s="3" t="s">
        <v>362</v>
      </c>
      <c r="D182" s="3" t="s">
        <v>363</v>
      </c>
      <c r="E182" s="3" t="s">
        <v>341</v>
      </c>
      <c r="F182" s="3">
        <v>8112</v>
      </c>
      <c r="G182" s="3">
        <v>8</v>
      </c>
      <c r="H182" s="3">
        <v>0.57599999999999996</v>
      </c>
      <c r="I182" s="4">
        <v>87731</v>
      </c>
      <c r="J182" s="4">
        <v>16873</v>
      </c>
      <c r="K182" s="18">
        <v>0</v>
      </c>
      <c r="L182" s="18">
        <v>16552</v>
      </c>
      <c r="M182" s="18">
        <v>152</v>
      </c>
      <c r="N182" s="18">
        <v>0</v>
      </c>
      <c r="O182" s="18">
        <v>169</v>
      </c>
      <c r="P182" s="18">
        <v>0</v>
      </c>
      <c r="Q182" s="6">
        <v>0.19232654363907856</v>
      </c>
      <c r="R182" s="3">
        <v>0.192</v>
      </c>
      <c r="S182" s="6">
        <v>0.5302982575121552</v>
      </c>
      <c r="T182" s="25">
        <v>0.53</v>
      </c>
      <c r="U182" s="7">
        <v>126</v>
      </c>
      <c r="V182" s="4">
        <v>97902</v>
      </c>
      <c r="W182" s="4">
        <v>17893</v>
      </c>
      <c r="X182" s="18">
        <v>0</v>
      </c>
      <c r="Y182" s="18">
        <v>14815</v>
      </c>
      <c r="Z182" s="18">
        <v>2879</v>
      </c>
      <c r="AA182" s="18">
        <v>0</v>
      </c>
      <c r="AB182" s="18">
        <v>199</v>
      </c>
      <c r="AC182" s="18">
        <v>0</v>
      </c>
      <c r="AD182" s="6">
        <v>0.18276439705011133</v>
      </c>
      <c r="AE182" s="6">
        <v>0.183</v>
      </c>
      <c r="AF182" s="6">
        <v>0.54867722706053279</v>
      </c>
      <c r="AG182" s="6">
        <v>0.54800000000000004</v>
      </c>
      <c r="AH182" s="7">
        <v>113</v>
      </c>
    </row>
    <row r="183" spans="2:34" x14ac:dyDescent="0.25">
      <c r="B183" s="3">
        <v>179</v>
      </c>
      <c r="C183" s="3" t="s">
        <v>364</v>
      </c>
      <c r="D183" s="3" t="s">
        <v>365</v>
      </c>
      <c r="E183" s="3" t="s">
        <v>341</v>
      </c>
      <c r="F183" s="3">
        <v>8105</v>
      </c>
      <c r="G183" s="3">
        <v>8</v>
      </c>
      <c r="H183" s="3">
        <v>0.495</v>
      </c>
      <c r="I183" s="4">
        <v>25795</v>
      </c>
      <c r="J183" s="4">
        <v>5919</v>
      </c>
      <c r="K183" s="18">
        <v>1</v>
      </c>
      <c r="L183" s="18">
        <v>5625</v>
      </c>
      <c r="M183" s="18">
        <v>48</v>
      </c>
      <c r="N183" s="18">
        <v>0</v>
      </c>
      <c r="O183" s="18">
        <v>245</v>
      </c>
      <c r="P183" s="18">
        <v>0</v>
      </c>
      <c r="Q183" s="6">
        <v>0.22946307423919365</v>
      </c>
      <c r="R183" s="3">
        <v>0.22900000000000001</v>
      </c>
      <c r="S183" s="6">
        <v>0.56857464069595265</v>
      </c>
      <c r="T183" s="25">
        <v>0.56899999999999995</v>
      </c>
      <c r="U183" s="7">
        <v>92</v>
      </c>
      <c r="V183" s="4">
        <v>26632</v>
      </c>
      <c r="W183" s="4">
        <v>5606</v>
      </c>
      <c r="X183" s="18">
        <v>1</v>
      </c>
      <c r="Y183" s="18">
        <v>5415</v>
      </c>
      <c r="Z183" s="18">
        <v>0</v>
      </c>
      <c r="AA183" s="18">
        <v>0</v>
      </c>
      <c r="AB183" s="18">
        <v>190</v>
      </c>
      <c r="AC183" s="18">
        <v>0</v>
      </c>
      <c r="AD183" s="6">
        <v>0.21049864824271552</v>
      </c>
      <c r="AE183" s="6">
        <v>0.21</v>
      </c>
      <c r="AF183" s="6">
        <v>0.5799999061623029</v>
      </c>
      <c r="AG183" s="6">
        <v>0.58099999999999996</v>
      </c>
      <c r="AH183" s="7">
        <v>78</v>
      </c>
    </row>
    <row r="184" spans="2:34" x14ac:dyDescent="0.25">
      <c r="B184" s="3">
        <v>180</v>
      </c>
      <c r="C184" s="3" t="s">
        <v>366</v>
      </c>
      <c r="D184" s="3" t="s">
        <v>367</v>
      </c>
      <c r="E184" s="3" t="s">
        <v>341</v>
      </c>
      <c r="F184" s="3">
        <v>8304</v>
      </c>
      <c r="G184" s="3">
        <v>8</v>
      </c>
      <c r="H184" s="3">
        <v>0.47899999999999998</v>
      </c>
      <c r="I184" s="4">
        <v>23706</v>
      </c>
      <c r="J184" s="4">
        <v>4045</v>
      </c>
      <c r="K184" s="18">
        <v>97</v>
      </c>
      <c r="L184" s="18">
        <v>3792</v>
      </c>
      <c r="M184" s="18">
        <v>21</v>
      </c>
      <c r="N184" s="18">
        <v>0</v>
      </c>
      <c r="O184" s="18">
        <v>135</v>
      </c>
      <c r="P184" s="18">
        <v>0</v>
      </c>
      <c r="Q184" s="6">
        <v>0.17063190753395766</v>
      </c>
      <c r="R184" s="3">
        <v>0.17100000000000001</v>
      </c>
      <c r="S184" s="6">
        <v>0.50793773564396316</v>
      </c>
      <c r="T184" s="25">
        <v>0.50800000000000001</v>
      </c>
      <c r="U184" s="7">
        <v>155</v>
      </c>
      <c r="V184" s="4">
        <v>23913</v>
      </c>
      <c r="W184" s="4">
        <v>3902</v>
      </c>
      <c r="X184" s="18">
        <v>140</v>
      </c>
      <c r="Y184" s="18">
        <v>3674</v>
      </c>
      <c r="Z184" s="18">
        <v>2</v>
      </c>
      <c r="AA184" s="18">
        <v>1</v>
      </c>
      <c r="AB184" s="18">
        <v>85</v>
      </c>
      <c r="AC184" s="18">
        <v>0</v>
      </c>
      <c r="AD184" s="6">
        <v>0.16317484213607661</v>
      </c>
      <c r="AE184" s="6">
        <v>0.16300000000000001</v>
      </c>
      <c r="AF184" s="6">
        <v>0.5254752425407031</v>
      </c>
      <c r="AG184" s="6">
        <v>0.52600000000000002</v>
      </c>
      <c r="AH184" s="7">
        <v>132</v>
      </c>
    </row>
    <row r="185" spans="2:34" x14ac:dyDescent="0.25">
      <c r="B185" s="3">
        <v>181</v>
      </c>
      <c r="C185" s="3" t="s">
        <v>368</v>
      </c>
      <c r="D185" s="3" t="s">
        <v>369</v>
      </c>
      <c r="E185" s="3" t="s">
        <v>341</v>
      </c>
      <c r="F185" s="3">
        <v>8201</v>
      </c>
      <c r="G185" s="3">
        <v>8</v>
      </c>
      <c r="H185" s="3">
        <v>0.52900000000000003</v>
      </c>
      <c r="I185" s="4">
        <v>25246</v>
      </c>
      <c r="J185" s="4">
        <v>5857</v>
      </c>
      <c r="K185" s="18">
        <v>65</v>
      </c>
      <c r="L185" s="18">
        <v>5641</v>
      </c>
      <c r="M185" s="18">
        <v>0</v>
      </c>
      <c r="N185" s="18">
        <v>0</v>
      </c>
      <c r="O185" s="18">
        <v>151</v>
      </c>
      <c r="P185" s="18">
        <v>0</v>
      </c>
      <c r="Q185" s="6">
        <v>0.23199714806305949</v>
      </c>
      <c r="R185" s="3">
        <v>0.23200000000000001</v>
      </c>
      <c r="S185" s="6">
        <v>0.57118649428407475</v>
      </c>
      <c r="T185" s="25">
        <v>0.57099999999999995</v>
      </c>
      <c r="U185" s="7">
        <v>87</v>
      </c>
      <c r="V185" s="4">
        <v>27146</v>
      </c>
      <c r="W185" s="4">
        <v>5563</v>
      </c>
      <c r="X185" s="18">
        <v>121</v>
      </c>
      <c r="Y185" s="18">
        <v>5322</v>
      </c>
      <c r="Z185" s="18">
        <v>0</v>
      </c>
      <c r="AA185" s="18">
        <v>0</v>
      </c>
      <c r="AB185" s="18">
        <v>120</v>
      </c>
      <c r="AC185" s="18">
        <v>0</v>
      </c>
      <c r="AD185" s="6">
        <v>0.20492890296912988</v>
      </c>
      <c r="AE185" s="6">
        <v>0.20499999999999999</v>
      </c>
      <c r="AF185" s="6">
        <v>0.57419941003234543</v>
      </c>
      <c r="AG185" s="6">
        <v>0.57399999999999995</v>
      </c>
      <c r="AH185" s="7">
        <v>89</v>
      </c>
    </row>
    <row r="186" spans="2:34" x14ac:dyDescent="0.25">
      <c r="B186" s="3">
        <v>182</v>
      </c>
      <c r="C186" s="3" t="s">
        <v>370</v>
      </c>
      <c r="D186" s="3" t="s">
        <v>371</v>
      </c>
      <c r="E186" s="3" t="s">
        <v>341</v>
      </c>
      <c r="F186" s="3">
        <v>8206</v>
      </c>
      <c r="G186" s="3">
        <v>8</v>
      </c>
      <c r="H186" s="3">
        <v>0.53900000000000003</v>
      </c>
      <c r="I186" s="4">
        <v>21950</v>
      </c>
      <c r="J186" s="4">
        <v>4948</v>
      </c>
      <c r="K186" s="18">
        <v>0</v>
      </c>
      <c r="L186" s="18">
        <v>4875</v>
      </c>
      <c r="M186" s="18">
        <v>0</v>
      </c>
      <c r="N186" s="18">
        <v>0</v>
      </c>
      <c r="O186" s="18">
        <v>73</v>
      </c>
      <c r="P186" s="18">
        <v>0</v>
      </c>
      <c r="Q186" s="6">
        <v>0.22542141230068338</v>
      </c>
      <c r="R186" s="3">
        <v>0.22500000000000001</v>
      </c>
      <c r="S186" s="6">
        <v>0.56440892573664214</v>
      </c>
      <c r="T186" s="25">
        <v>0.56399999999999995</v>
      </c>
      <c r="U186" s="7">
        <v>101</v>
      </c>
      <c r="V186" s="4">
        <v>22856</v>
      </c>
      <c r="W186" s="4">
        <v>4640</v>
      </c>
      <c r="X186" s="18">
        <v>0</v>
      </c>
      <c r="Y186" s="18">
        <v>4578</v>
      </c>
      <c r="Z186" s="18">
        <v>0</v>
      </c>
      <c r="AA186" s="18">
        <v>0</v>
      </c>
      <c r="AB186" s="18">
        <v>62</v>
      </c>
      <c r="AC186" s="18">
        <v>0</v>
      </c>
      <c r="AD186" s="6">
        <v>0.20301015050752538</v>
      </c>
      <c r="AE186" s="6">
        <v>0.20300000000000001</v>
      </c>
      <c r="AF186" s="6">
        <v>0.57187921158036248</v>
      </c>
      <c r="AG186" s="6">
        <v>0.57199999999999995</v>
      </c>
      <c r="AH186" s="7">
        <v>94</v>
      </c>
    </row>
    <row r="187" spans="2:34" x14ac:dyDescent="0.25">
      <c r="B187" s="3">
        <v>183</v>
      </c>
      <c r="C187" s="3" t="s">
        <v>372</v>
      </c>
      <c r="D187" s="3" t="s">
        <v>373</v>
      </c>
      <c r="E187" s="3" t="s">
        <v>341</v>
      </c>
      <c r="F187" s="3">
        <v>8301</v>
      </c>
      <c r="G187" s="3">
        <v>8</v>
      </c>
      <c r="H187" s="3">
        <v>0.59899999999999998</v>
      </c>
      <c r="I187" s="4">
        <v>219441</v>
      </c>
      <c r="J187" s="4">
        <v>44849</v>
      </c>
      <c r="K187" s="18">
        <v>66</v>
      </c>
      <c r="L187" s="18">
        <v>31432</v>
      </c>
      <c r="M187" s="18">
        <v>11137</v>
      </c>
      <c r="N187" s="18">
        <v>0</v>
      </c>
      <c r="O187" s="18">
        <v>2197</v>
      </c>
      <c r="P187" s="18">
        <v>17</v>
      </c>
      <c r="Q187" s="6">
        <v>0.20437839783814329</v>
      </c>
      <c r="R187" s="3">
        <v>0.20399999999999999</v>
      </c>
      <c r="S187" s="6">
        <v>0.54272002610346326</v>
      </c>
      <c r="T187" s="25">
        <v>0.54300000000000004</v>
      </c>
      <c r="U187" s="7">
        <v>114</v>
      </c>
      <c r="V187" s="4">
        <v>222593</v>
      </c>
      <c r="W187" s="4">
        <v>43519</v>
      </c>
      <c r="X187" s="18">
        <v>195</v>
      </c>
      <c r="Y187" s="18">
        <v>29708</v>
      </c>
      <c r="Z187" s="18">
        <v>11598</v>
      </c>
      <c r="AA187" s="18">
        <v>1</v>
      </c>
      <c r="AB187" s="18">
        <v>2000</v>
      </c>
      <c r="AC187" s="18">
        <v>17</v>
      </c>
      <c r="AD187" s="6">
        <v>0.19550929274505488</v>
      </c>
      <c r="AE187" s="6">
        <v>0.19600000000000001</v>
      </c>
      <c r="AF187" s="6">
        <v>0.56375851699842205</v>
      </c>
      <c r="AG187" s="6">
        <v>0.56299999999999994</v>
      </c>
      <c r="AH187" s="7">
        <v>100</v>
      </c>
    </row>
    <row r="188" spans="2:34" x14ac:dyDescent="0.25">
      <c r="B188" s="3">
        <v>184</v>
      </c>
      <c r="C188" s="3" t="s">
        <v>374</v>
      </c>
      <c r="D188" s="3" t="s">
        <v>375</v>
      </c>
      <c r="E188" s="3" t="s">
        <v>341</v>
      </c>
      <c r="F188" s="3">
        <v>8106</v>
      </c>
      <c r="G188" s="3">
        <v>8</v>
      </c>
      <c r="H188" s="3">
        <v>0.495</v>
      </c>
      <c r="I188" s="4">
        <v>39980</v>
      </c>
      <c r="J188" s="4">
        <v>11452</v>
      </c>
      <c r="K188" s="18">
        <v>96</v>
      </c>
      <c r="L188" s="18">
        <v>11244</v>
      </c>
      <c r="M188" s="18">
        <v>68</v>
      </c>
      <c r="N188" s="18">
        <v>0</v>
      </c>
      <c r="O188" s="18">
        <v>44</v>
      </c>
      <c r="P188" s="18">
        <v>0</v>
      </c>
      <c r="Q188" s="6">
        <v>0.28644322161080538</v>
      </c>
      <c r="R188" s="3">
        <v>0.28599999999999998</v>
      </c>
      <c r="S188" s="6">
        <v>0.62730371202870383</v>
      </c>
      <c r="T188" s="25">
        <v>0.627</v>
      </c>
      <c r="U188" s="7">
        <v>38</v>
      </c>
      <c r="V188" s="4">
        <v>45490</v>
      </c>
      <c r="W188" s="4">
        <v>10995</v>
      </c>
      <c r="X188" s="18">
        <v>306</v>
      </c>
      <c r="Y188" s="18">
        <v>10635</v>
      </c>
      <c r="Z188" s="18">
        <v>0</v>
      </c>
      <c r="AA188" s="18">
        <v>0</v>
      </c>
      <c r="AB188" s="18">
        <v>54</v>
      </c>
      <c r="AC188" s="18">
        <v>0</v>
      </c>
      <c r="AD188" s="6">
        <v>0.24170147285117607</v>
      </c>
      <c r="AE188" s="6">
        <v>0.24199999999999999</v>
      </c>
      <c r="AF188" s="6">
        <v>0.61712308139403038</v>
      </c>
      <c r="AG188" s="6">
        <v>0.61699999999999999</v>
      </c>
      <c r="AH188" s="7">
        <v>47</v>
      </c>
    </row>
    <row r="189" spans="2:34" x14ac:dyDescent="0.25">
      <c r="B189" s="3">
        <v>185</v>
      </c>
      <c r="C189" s="3" t="s">
        <v>376</v>
      </c>
      <c r="D189" s="3" t="s">
        <v>377</v>
      </c>
      <c r="E189" s="3" t="s">
        <v>341</v>
      </c>
      <c r="F189" s="3">
        <v>8305</v>
      </c>
      <c r="G189" s="3">
        <v>8</v>
      </c>
      <c r="H189" s="3">
        <v>0.53900000000000003</v>
      </c>
      <c r="I189" s="4">
        <v>29036</v>
      </c>
      <c r="J189" s="4">
        <v>4971</v>
      </c>
      <c r="K189" s="18">
        <v>83</v>
      </c>
      <c r="L189" s="18">
        <v>4678</v>
      </c>
      <c r="M189" s="18">
        <v>47</v>
      </c>
      <c r="N189" s="18">
        <v>0</v>
      </c>
      <c r="O189" s="18">
        <v>163</v>
      </c>
      <c r="P189" s="18">
        <v>0</v>
      </c>
      <c r="Q189" s="6">
        <v>0.17120126739220279</v>
      </c>
      <c r="R189" s="3">
        <v>0.17100000000000001</v>
      </c>
      <c r="S189" s="6">
        <v>0.50852457118706573</v>
      </c>
      <c r="T189" s="25">
        <v>0.50900000000000001</v>
      </c>
      <c r="U189" s="7">
        <v>153</v>
      </c>
      <c r="V189" s="4">
        <v>31109</v>
      </c>
      <c r="W189" s="4">
        <v>4796</v>
      </c>
      <c r="X189" s="18">
        <v>152</v>
      </c>
      <c r="Y189" s="18">
        <v>4532</v>
      </c>
      <c r="Z189" s="18">
        <v>0</v>
      </c>
      <c r="AA189" s="18">
        <v>0</v>
      </c>
      <c r="AB189" s="18">
        <v>112</v>
      </c>
      <c r="AC189" s="18">
        <v>0</v>
      </c>
      <c r="AD189" s="6">
        <v>0.15416760423028705</v>
      </c>
      <c r="AE189" s="6">
        <v>0.154</v>
      </c>
      <c r="AF189" s="6">
        <v>0.51503434950677973</v>
      </c>
      <c r="AG189" s="6">
        <v>0.51500000000000001</v>
      </c>
      <c r="AH189" s="7">
        <v>145</v>
      </c>
    </row>
    <row r="190" spans="2:34" x14ac:dyDescent="0.25">
      <c r="B190" s="3">
        <v>186</v>
      </c>
      <c r="C190" s="3" t="s">
        <v>378</v>
      </c>
      <c r="D190" s="3" t="s">
        <v>379</v>
      </c>
      <c r="E190" s="3" t="s">
        <v>341</v>
      </c>
      <c r="F190" s="3">
        <v>8306</v>
      </c>
      <c r="G190" s="3">
        <v>8</v>
      </c>
      <c r="H190" s="3">
        <v>0.54700000000000004</v>
      </c>
      <c r="I190" s="4">
        <v>26140</v>
      </c>
      <c r="J190" s="4">
        <v>5469</v>
      </c>
      <c r="K190" s="18">
        <v>130</v>
      </c>
      <c r="L190" s="18">
        <v>5181</v>
      </c>
      <c r="M190" s="18">
        <v>38</v>
      </c>
      <c r="N190" s="18">
        <v>0</v>
      </c>
      <c r="O190" s="18">
        <v>120</v>
      </c>
      <c r="P190" s="18">
        <v>0</v>
      </c>
      <c r="Q190" s="6">
        <v>0.20921958684009181</v>
      </c>
      <c r="R190" s="3">
        <v>0.20899999999999999</v>
      </c>
      <c r="S190" s="6">
        <v>0.54770980846356321</v>
      </c>
      <c r="T190" s="25">
        <v>0.54800000000000004</v>
      </c>
      <c r="U190" s="7">
        <v>113</v>
      </c>
      <c r="V190" s="4">
        <v>28016</v>
      </c>
      <c r="W190" s="4">
        <v>5372</v>
      </c>
      <c r="X190" s="18">
        <v>211</v>
      </c>
      <c r="Y190" s="18">
        <v>5079</v>
      </c>
      <c r="Z190" s="18">
        <v>1</v>
      </c>
      <c r="AA190" s="18">
        <v>0</v>
      </c>
      <c r="AB190" s="18">
        <v>81</v>
      </c>
      <c r="AC190" s="18">
        <v>0</v>
      </c>
      <c r="AD190" s="6">
        <v>0.19174757281553398</v>
      </c>
      <c r="AE190" s="6">
        <v>0.192</v>
      </c>
      <c r="AF190" s="6">
        <v>0.55911812009445616</v>
      </c>
      <c r="AG190" s="6">
        <v>0.55900000000000005</v>
      </c>
      <c r="AH190" s="7">
        <v>101</v>
      </c>
    </row>
    <row r="191" spans="2:34" x14ac:dyDescent="0.25">
      <c r="B191" s="3">
        <v>187</v>
      </c>
      <c r="C191" s="3" t="s">
        <v>380</v>
      </c>
      <c r="D191" s="3" t="s">
        <v>381</v>
      </c>
      <c r="E191" s="3" t="s">
        <v>341</v>
      </c>
      <c r="F191" s="3">
        <v>8307</v>
      </c>
      <c r="G191" s="3">
        <v>8</v>
      </c>
      <c r="H191" s="3">
        <v>0.46100000000000002</v>
      </c>
      <c r="I191" s="4">
        <v>10723</v>
      </c>
      <c r="J191" s="4">
        <v>749</v>
      </c>
      <c r="K191" s="18">
        <v>17</v>
      </c>
      <c r="L191" s="18">
        <v>602</v>
      </c>
      <c r="M191" s="18">
        <v>0</v>
      </c>
      <c r="N191" s="18">
        <v>0</v>
      </c>
      <c r="O191" s="18">
        <v>130</v>
      </c>
      <c r="P191" s="18">
        <v>0</v>
      </c>
      <c r="Q191" s="6">
        <v>6.9849855450899931E-2</v>
      </c>
      <c r="R191" s="3">
        <v>7.0000000000000007E-2</v>
      </c>
      <c r="S191" s="6">
        <v>0.40406232291037336</v>
      </c>
      <c r="T191" s="25">
        <v>0.40400000000000003</v>
      </c>
      <c r="U191" s="7">
        <v>277</v>
      </c>
      <c r="V191" s="4">
        <v>10539</v>
      </c>
      <c r="W191" s="4">
        <v>577</v>
      </c>
      <c r="X191" s="18">
        <v>29</v>
      </c>
      <c r="Y191" s="18">
        <v>441</v>
      </c>
      <c r="Z191" s="18">
        <v>0</v>
      </c>
      <c r="AA191" s="18">
        <v>0</v>
      </c>
      <c r="AB191" s="18">
        <v>107</v>
      </c>
      <c r="AC191" s="18">
        <v>0</v>
      </c>
      <c r="AD191" s="6">
        <v>5.4749027421956545E-2</v>
      </c>
      <c r="AE191" s="6">
        <v>5.5E-2</v>
      </c>
      <c r="AF191" s="6">
        <v>0.40018452613362265</v>
      </c>
      <c r="AG191" s="6">
        <v>0.4</v>
      </c>
      <c r="AH191" s="7">
        <v>278</v>
      </c>
    </row>
    <row r="192" spans="2:34" x14ac:dyDescent="0.25">
      <c r="B192" s="3">
        <v>188</v>
      </c>
      <c r="C192" s="3" t="s">
        <v>382</v>
      </c>
      <c r="D192" s="3" t="s">
        <v>383</v>
      </c>
      <c r="E192" s="3" t="s">
        <v>341</v>
      </c>
      <c r="F192" s="3">
        <v>8107</v>
      </c>
      <c r="G192" s="3">
        <v>8</v>
      </c>
      <c r="H192" s="3">
        <v>0.56499999999999995</v>
      </c>
      <c r="I192" s="4">
        <v>48971</v>
      </c>
      <c r="J192" s="4">
        <v>13301</v>
      </c>
      <c r="K192" s="18">
        <v>2</v>
      </c>
      <c r="L192" s="18">
        <v>10093</v>
      </c>
      <c r="M192" s="18">
        <v>3147</v>
      </c>
      <c r="N192" s="18">
        <v>0</v>
      </c>
      <c r="O192" s="18">
        <v>59</v>
      </c>
      <c r="P192" s="18">
        <v>0</v>
      </c>
      <c r="Q192" s="6">
        <v>0.27160972820648954</v>
      </c>
      <c r="R192" s="3">
        <v>0.27200000000000002</v>
      </c>
      <c r="S192" s="6">
        <v>0.61201492580331085</v>
      </c>
      <c r="T192" s="25">
        <v>0.61199999999999999</v>
      </c>
      <c r="U192" s="7">
        <v>45</v>
      </c>
      <c r="V192" s="4">
        <v>50125</v>
      </c>
      <c r="W192" s="4">
        <v>12763</v>
      </c>
      <c r="X192" s="18">
        <v>72</v>
      </c>
      <c r="Y192" s="18">
        <v>9421</v>
      </c>
      <c r="Z192" s="18">
        <v>3218</v>
      </c>
      <c r="AA192" s="18">
        <v>0</v>
      </c>
      <c r="AB192" s="18">
        <v>52</v>
      </c>
      <c r="AC192" s="18">
        <v>0</v>
      </c>
      <c r="AD192" s="6">
        <v>0.25462344139650872</v>
      </c>
      <c r="AE192" s="6">
        <v>0.255</v>
      </c>
      <c r="AF192" s="6">
        <v>0.63220437133191976</v>
      </c>
      <c r="AG192" s="6">
        <v>0.63200000000000001</v>
      </c>
      <c r="AH192" s="7">
        <v>34</v>
      </c>
    </row>
    <row r="193" spans="2:34" x14ac:dyDescent="0.25">
      <c r="B193" s="3">
        <v>189</v>
      </c>
      <c r="C193" s="3" t="s">
        <v>384</v>
      </c>
      <c r="D193" s="3" t="s">
        <v>385</v>
      </c>
      <c r="E193" s="3" t="s">
        <v>341</v>
      </c>
      <c r="F193" s="3">
        <v>8308</v>
      </c>
      <c r="G193" s="3">
        <v>8</v>
      </c>
      <c r="H193" s="3"/>
      <c r="I193" s="4">
        <v>4440</v>
      </c>
      <c r="J193" s="4">
        <v>473</v>
      </c>
      <c r="K193" s="18">
        <v>0</v>
      </c>
      <c r="L193" s="18">
        <v>397</v>
      </c>
      <c r="M193" s="18">
        <v>0</v>
      </c>
      <c r="N193" s="18">
        <v>0</v>
      </c>
      <c r="O193" s="18">
        <v>76</v>
      </c>
      <c r="P193" s="18">
        <v>0</v>
      </c>
      <c r="Q193" s="6">
        <v>0.10653153153153153</v>
      </c>
      <c r="R193" s="3">
        <v>0.107</v>
      </c>
      <c r="S193" s="6">
        <v>0.44186989046709707</v>
      </c>
      <c r="T193" s="25">
        <v>0.442</v>
      </c>
      <c r="U193" s="7">
        <v>228</v>
      </c>
      <c r="V193" s="4">
        <v>4187</v>
      </c>
      <c r="W193" s="4">
        <v>421</v>
      </c>
      <c r="X193" s="18">
        <v>0</v>
      </c>
      <c r="Y193" s="18">
        <v>372</v>
      </c>
      <c r="Z193" s="18">
        <v>0</v>
      </c>
      <c r="AA193" s="18">
        <v>0</v>
      </c>
      <c r="AB193" s="18">
        <v>49</v>
      </c>
      <c r="AC193" s="18">
        <v>0</v>
      </c>
      <c r="AD193" s="6">
        <v>0.10054931932171006</v>
      </c>
      <c r="AE193" s="6">
        <v>0.10100000000000001</v>
      </c>
      <c r="AF193" s="6">
        <v>0.45354909052923098</v>
      </c>
      <c r="AG193" s="6">
        <v>0.45300000000000001</v>
      </c>
      <c r="AH193" s="7">
        <v>215</v>
      </c>
    </row>
    <row r="194" spans="2:34" x14ac:dyDescent="0.25">
      <c r="B194" s="3">
        <v>190</v>
      </c>
      <c r="C194" s="3" t="s">
        <v>386</v>
      </c>
      <c r="D194" s="3" t="s">
        <v>387</v>
      </c>
      <c r="E194" s="3" t="s">
        <v>341</v>
      </c>
      <c r="F194" s="3">
        <v>8309</v>
      </c>
      <c r="G194" s="3">
        <v>8</v>
      </c>
      <c r="H194" s="3">
        <v>0.45200000000000001</v>
      </c>
      <c r="I194" s="4">
        <v>9700</v>
      </c>
      <c r="J194" s="4">
        <v>127</v>
      </c>
      <c r="K194" s="18">
        <v>12</v>
      </c>
      <c r="L194" s="18">
        <v>0</v>
      </c>
      <c r="M194" s="18">
        <v>0</v>
      </c>
      <c r="N194" s="18">
        <v>0</v>
      </c>
      <c r="O194" s="18">
        <v>115</v>
      </c>
      <c r="P194" s="18">
        <v>0</v>
      </c>
      <c r="Q194" s="6">
        <v>1.3092783505154639E-2</v>
      </c>
      <c r="R194" s="3">
        <v>1.2999999999999999E-2</v>
      </c>
      <c r="S194" s="6">
        <v>0.34556317398397973</v>
      </c>
      <c r="T194" s="25">
        <v>0.34599999999999997</v>
      </c>
      <c r="U194" s="7">
        <v>342</v>
      </c>
      <c r="V194" s="4">
        <v>10000</v>
      </c>
      <c r="W194" s="4">
        <v>170</v>
      </c>
      <c r="X194" s="18">
        <v>85</v>
      </c>
      <c r="Y194" s="18">
        <v>0</v>
      </c>
      <c r="Z194" s="18">
        <v>0</v>
      </c>
      <c r="AA194" s="18">
        <v>0</v>
      </c>
      <c r="AB194" s="18">
        <v>85</v>
      </c>
      <c r="AC194" s="18">
        <v>0</v>
      </c>
      <c r="AD194" s="6">
        <v>1.7000000000000001E-2</v>
      </c>
      <c r="AE194" s="6">
        <v>1.7000000000000001E-2</v>
      </c>
      <c r="AF194" s="6">
        <v>0.35610075554594622</v>
      </c>
      <c r="AG194" s="6">
        <v>0.35599999999999998</v>
      </c>
      <c r="AH194" s="7">
        <v>337</v>
      </c>
    </row>
    <row r="195" spans="2:34" x14ac:dyDescent="0.25">
      <c r="B195" s="3">
        <v>191</v>
      </c>
      <c r="C195" s="3" t="s">
        <v>388</v>
      </c>
      <c r="D195" s="3" t="s">
        <v>389</v>
      </c>
      <c r="E195" s="3" t="s">
        <v>341</v>
      </c>
      <c r="F195" s="3">
        <v>8108</v>
      </c>
      <c r="G195" s="3">
        <v>8</v>
      </c>
      <c r="H195" s="3">
        <v>0.60099999999999998</v>
      </c>
      <c r="I195" s="4">
        <v>150992</v>
      </c>
      <c r="J195" s="4">
        <v>46631</v>
      </c>
      <c r="K195" s="18">
        <v>25</v>
      </c>
      <c r="L195" s="18">
        <v>34350</v>
      </c>
      <c r="M195" s="18">
        <v>11882</v>
      </c>
      <c r="N195" s="18">
        <v>0</v>
      </c>
      <c r="O195" s="18">
        <v>374</v>
      </c>
      <c r="P195" s="18">
        <v>0</v>
      </c>
      <c r="Q195" s="6">
        <v>0.30883093144007628</v>
      </c>
      <c r="R195" s="3">
        <v>0.309</v>
      </c>
      <c r="S195" s="6">
        <v>0.65037858052571373</v>
      </c>
      <c r="T195" s="25">
        <v>0.65</v>
      </c>
      <c r="U195" s="7">
        <v>24</v>
      </c>
      <c r="V195" s="4">
        <v>151833</v>
      </c>
      <c r="W195" s="4">
        <v>45358</v>
      </c>
      <c r="X195" s="18">
        <v>45</v>
      </c>
      <c r="Y195" s="18">
        <v>31766</v>
      </c>
      <c r="Z195" s="18">
        <v>13111</v>
      </c>
      <c r="AA195" s="18">
        <v>0</v>
      </c>
      <c r="AB195" s="18">
        <v>436</v>
      </c>
      <c r="AC195" s="18">
        <v>0</v>
      </c>
      <c r="AD195" s="6">
        <v>0.29873611138553541</v>
      </c>
      <c r="AE195" s="6">
        <v>0.29899999999999999</v>
      </c>
      <c r="AF195" s="6">
        <v>0.68324873727554503</v>
      </c>
      <c r="AG195" s="6">
        <v>0.68300000000000005</v>
      </c>
      <c r="AH195" s="7">
        <v>17</v>
      </c>
    </row>
    <row r="196" spans="2:34" x14ac:dyDescent="0.25">
      <c r="B196" s="3">
        <v>192</v>
      </c>
      <c r="C196" s="3" t="s">
        <v>390</v>
      </c>
      <c r="D196" s="3" t="s">
        <v>391</v>
      </c>
      <c r="E196" s="3" t="s">
        <v>341</v>
      </c>
      <c r="F196" s="3">
        <v>8310</v>
      </c>
      <c r="G196" s="3">
        <v>8</v>
      </c>
      <c r="H196" s="3"/>
      <c r="I196" s="4">
        <v>3575</v>
      </c>
      <c r="J196" s="4">
        <v>561</v>
      </c>
      <c r="K196" s="18">
        <v>8</v>
      </c>
      <c r="L196" s="18">
        <v>544</v>
      </c>
      <c r="M196" s="18">
        <v>0</v>
      </c>
      <c r="N196" s="18">
        <v>0</v>
      </c>
      <c r="O196" s="18">
        <v>9</v>
      </c>
      <c r="P196" s="18">
        <v>0</v>
      </c>
      <c r="Q196" s="6">
        <v>0.15692307692307692</v>
      </c>
      <c r="R196" s="3">
        <v>0.157</v>
      </c>
      <c r="S196" s="6">
        <v>0.493808132124613</v>
      </c>
      <c r="T196" s="25">
        <v>0.49399999999999999</v>
      </c>
      <c r="U196" s="7">
        <v>170</v>
      </c>
      <c r="V196" s="4">
        <v>3565</v>
      </c>
      <c r="W196" s="4">
        <v>560</v>
      </c>
      <c r="X196" s="18">
        <v>16</v>
      </c>
      <c r="Y196" s="18">
        <v>533</v>
      </c>
      <c r="Z196" s="18">
        <v>3</v>
      </c>
      <c r="AA196" s="18">
        <v>0</v>
      </c>
      <c r="AB196" s="18">
        <v>8</v>
      </c>
      <c r="AC196" s="18">
        <v>0</v>
      </c>
      <c r="AD196" s="6">
        <v>0.15708274894810659</v>
      </c>
      <c r="AE196" s="6">
        <v>0.157</v>
      </c>
      <c r="AF196" s="6">
        <v>0.51851464718475415</v>
      </c>
      <c r="AG196" s="6">
        <v>0.51900000000000002</v>
      </c>
      <c r="AH196" s="7">
        <v>139</v>
      </c>
    </row>
    <row r="197" spans="2:34" x14ac:dyDescent="0.25">
      <c r="B197" s="3">
        <v>193</v>
      </c>
      <c r="C197" s="3" t="s">
        <v>392</v>
      </c>
      <c r="D197" s="3" t="s">
        <v>393</v>
      </c>
      <c r="E197" s="3" t="s">
        <v>341</v>
      </c>
      <c r="F197" s="3">
        <v>8311</v>
      </c>
      <c r="G197" s="3">
        <v>8</v>
      </c>
      <c r="H197" s="3">
        <v>0.53200000000000003</v>
      </c>
      <c r="I197" s="4">
        <v>14075</v>
      </c>
      <c r="J197" s="4">
        <v>1693</v>
      </c>
      <c r="K197" s="18">
        <v>3</v>
      </c>
      <c r="L197" s="18">
        <v>1508</v>
      </c>
      <c r="M197" s="18">
        <v>0</v>
      </c>
      <c r="N197" s="18">
        <v>0</v>
      </c>
      <c r="O197" s="18">
        <v>182</v>
      </c>
      <c r="P197" s="18">
        <v>0</v>
      </c>
      <c r="Q197" s="6">
        <v>0.1202841918294849</v>
      </c>
      <c r="R197" s="3">
        <v>0.12</v>
      </c>
      <c r="S197" s="6">
        <v>0.4560446689629491</v>
      </c>
      <c r="T197" s="25">
        <v>0.45600000000000002</v>
      </c>
      <c r="U197" s="7">
        <v>209</v>
      </c>
      <c r="V197" s="4">
        <v>14657</v>
      </c>
      <c r="W197" s="4">
        <v>1576</v>
      </c>
      <c r="X197" s="18">
        <v>16</v>
      </c>
      <c r="Y197" s="18">
        <v>1455</v>
      </c>
      <c r="Z197" s="18">
        <v>0</v>
      </c>
      <c r="AA197" s="18">
        <v>0</v>
      </c>
      <c r="AB197" s="18">
        <v>105</v>
      </c>
      <c r="AC197" s="18">
        <v>0</v>
      </c>
      <c r="AD197" s="6">
        <v>0.10752541447772396</v>
      </c>
      <c r="AE197" s="6">
        <v>0.108</v>
      </c>
      <c r="AF197" s="6">
        <v>0.4616697851111714</v>
      </c>
      <c r="AG197" s="6">
        <v>0.46100000000000002</v>
      </c>
      <c r="AH197" s="7">
        <v>203</v>
      </c>
    </row>
    <row r="198" spans="2:34" x14ac:dyDescent="0.25">
      <c r="B198" s="3">
        <v>194</v>
      </c>
      <c r="C198" s="3" t="s">
        <v>394</v>
      </c>
      <c r="D198" s="3" t="s">
        <v>395</v>
      </c>
      <c r="E198" s="3" t="s">
        <v>341</v>
      </c>
      <c r="F198" s="3">
        <v>8109</v>
      </c>
      <c r="G198" s="3">
        <v>8</v>
      </c>
      <c r="H198" s="3">
        <v>0.48899999999999999</v>
      </c>
      <c r="I198" s="4">
        <v>14947</v>
      </c>
      <c r="J198" s="4">
        <v>2242</v>
      </c>
      <c r="K198" s="18">
        <v>5</v>
      </c>
      <c r="L198" s="18">
        <v>2121</v>
      </c>
      <c r="M198" s="18">
        <v>0</v>
      </c>
      <c r="N198" s="18">
        <v>0</v>
      </c>
      <c r="O198" s="18">
        <v>116</v>
      </c>
      <c r="P198" s="18">
        <v>0</v>
      </c>
      <c r="Q198" s="6">
        <v>0.14999665484712651</v>
      </c>
      <c r="R198" s="3">
        <v>0.15</v>
      </c>
      <c r="S198" s="6">
        <v>0.48666911344980524</v>
      </c>
      <c r="T198" s="25">
        <v>0.48699999999999999</v>
      </c>
      <c r="U198" s="7">
        <v>180</v>
      </c>
      <c r="V198" s="4">
        <v>14870</v>
      </c>
      <c r="W198" s="4">
        <v>2041</v>
      </c>
      <c r="X198" s="18">
        <v>46</v>
      </c>
      <c r="Y198" s="18">
        <v>1915</v>
      </c>
      <c r="Z198" s="18">
        <v>0</v>
      </c>
      <c r="AA198" s="18">
        <v>0</v>
      </c>
      <c r="AB198" s="18">
        <v>80</v>
      </c>
      <c r="AC198" s="18">
        <v>0</v>
      </c>
      <c r="AD198" s="6">
        <v>0.13725622057834566</v>
      </c>
      <c r="AE198" s="6">
        <v>0.13700000000000001</v>
      </c>
      <c r="AF198" s="6">
        <v>0.49531266266492446</v>
      </c>
      <c r="AG198" s="6">
        <v>0.496</v>
      </c>
      <c r="AH198" s="7">
        <v>168</v>
      </c>
    </row>
    <row r="199" spans="2:34" x14ac:dyDescent="0.25">
      <c r="B199" s="3">
        <v>195</v>
      </c>
      <c r="C199" s="3" t="s">
        <v>396</v>
      </c>
      <c r="D199" s="3" t="s">
        <v>397</v>
      </c>
      <c r="E199" s="3" t="s">
        <v>341</v>
      </c>
      <c r="F199" s="3">
        <v>8110</v>
      </c>
      <c r="G199" s="3">
        <v>8</v>
      </c>
      <c r="H199" s="3">
        <v>0.59399999999999997</v>
      </c>
      <c r="I199" s="4">
        <v>147322</v>
      </c>
      <c r="J199" s="4">
        <v>52853</v>
      </c>
      <c r="K199" s="18">
        <v>42</v>
      </c>
      <c r="L199" s="18">
        <v>30140</v>
      </c>
      <c r="M199" s="18">
        <v>22456</v>
      </c>
      <c r="N199" s="18">
        <v>0</v>
      </c>
      <c r="O199" s="18">
        <v>215</v>
      </c>
      <c r="P199" s="18">
        <v>0</v>
      </c>
      <c r="Q199" s="6">
        <v>0.35875836602815603</v>
      </c>
      <c r="R199" s="3">
        <v>0.35899999999999999</v>
      </c>
      <c r="S199" s="6">
        <v>0.70183846616380285</v>
      </c>
      <c r="T199" s="25">
        <v>0.70199999999999996</v>
      </c>
      <c r="U199" s="7">
        <v>10</v>
      </c>
      <c r="V199" s="4">
        <v>158222</v>
      </c>
      <c r="W199" s="4">
        <v>49725</v>
      </c>
      <c r="X199" s="18">
        <v>230</v>
      </c>
      <c r="Y199" s="18">
        <v>28413</v>
      </c>
      <c r="Z199" s="18">
        <v>20883</v>
      </c>
      <c r="AA199" s="18">
        <v>0</v>
      </c>
      <c r="AB199" s="18">
        <v>198</v>
      </c>
      <c r="AC199" s="18">
        <v>1</v>
      </c>
      <c r="AD199" s="6">
        <v>0.31427361555283084</v>
      </c>
      <c r="AE199" s="6">
        <v>0.314</v>
      </c>
      <c r="AF199" s="6">
        <v>0.70065022566541735</v>
      </c>
      <c r="AG199" s="6">
        <v>0.70099999999999996</v>
      </c>
      <c r="AH199" s="7">
        <v>10</v>
      </c>
    </row>
    <row r="200" spans="2:34" x14ac:dyDescent="0.25">
      <c r="B200" s="3">
        <v>196</v>
      </c>
      <c r="C200" s="3" t="s">
        <v>398</v>
      </c>
      <c r="D200" s="3" t="s">
        <v>399</v>
      </c>
      <c r="E200" s="3" t="s">
        <v>341</v>
      </c>
      <c r="F200" s="3">
        <v>8207</v>
      </c>
      <c r="G200" s="3">
        <v>8</v>
      </c>
      <c r="H200" s="3">
        <v>0.34599999999999997</v>
      </c>
      <c r="I200" s="4">
        <v>10208</v>
      </c>
      <c r="J200" s="4">
        <v>230</v>
      </c>
      <c r="K200" s="18">
        <v>0</v>
      </c>
      <c r="L200" s="18">
        <v>0</v>
      </c>
      <c r="M200" s="18">
        <v>0</v>
      </c>
      <c r="N200" s="18">
        <v>0</v>
      </c>
      <c r="O200" s="18">
        <v>230</v>
      </c>
      <c r="P200" s="18">
        <v>0</v>
      </c>
      <c r="Q200" s="6">
        <v>2.2531347962382445E-2</v>
      </c>
      <c r="R200" s="3">
        <v>2.3E-2</v>
      </c>
      <c r="S200" s="6">
        <v>0.35529144165012261</v>
      </c>
      <c r="T200" s="25">
        <v>0.35499999999999998</v>
      </c>
      <c r="U200" s="7">
        <v>337</v>
      </c>
      <c r="V200" s="4">
        <v>11088</v>
      </c>
      <c r="W200" s="4">
        <v>183</v>
      </c>
      <c r="X200" s="18">
        <v>0</v>
      </c>
      <c r="Y200" s="18">
        <v>0</v>
      </c>
      <c r="Z200" s="18">
        <v>0</v>
      </c>
      <c r="AA200" s="18">
        <v>0</v>
      </c>
      <c r="AB200" s="18">
        <v>183</v>
      </c>
      <c r="AC200" s="18">
        <v>0</v>
      </c>
      <c r="AD200" s="6">
        <v>1.6504329004329004E-2</v>
      </c>
      <c r="AE200" s="6">
        <v>1.7000000000000001E-2</v>
      </c>
      <c r="AF200" s="6">
        <v>0.35610075554594622</v>
      </c>
      <c r="AG200" s="6">
        <v>0.35599999999999998</v>
      </c>
      <c r="AH200" s="7">
        <v>336</v>
      </c>
    </row>
    <row r="201" spans="2:34" x14ac:dyDescent="0.25">
      <c r="B201" s="3">
        <v>197</v>
      </c>
      <c r="C201" s="3" t="s">
        <v>400</v>
      </c>
      <c r="D201" s="3" t="s">
        <v>401</v>
      </c>
      <c r="E201" s="3" t="s">
        <v>341</v>
      </c>
      <c r="F201" s="3">
        <v>8111</v>
      </c>
      <c r="G201" s="3">
        <v>8</v>
      </c>
      <c r="H201" s="3">
        <v>0.57199999999999995</v>
      </c>
      <c r="I201" s="4">
        <v>56907</v>
      </c>
      <c r="J201" s="4">
        <v>15369</v>
      </c>
      <c r="K201" s="18">
        <v>8</v>
      </c>
      <c r="L201" s="18">
        <v>15053</v>
      </c>
      <c r="M201" s="18">
        <v>77</v>
      </c>
      <c r="N201" s="18">
        <v>0</v>
      </c>
      <c r="O201" s="18">
        <v>231</v>
      </c>
      <c r="P201" s="18">
        <v>0</v>
      </c>
      <c r="Q201" s="6">
        <v>0.27007222310084877</v>
      </c>
      <c r="R201" s="3">
        <v>0.27</v>
      </c>
      <c r="S201" s="6">
        <v>0.61043022918196388</v>
      </c>
      <c r="T201" s="25">
        <v>0.61</v>
      </c>
      <c r="U201" s="7">
        <v>46</v>
      </c>
      <c r="V201" s="4">
        <v>59069</v>
      </c>
      <c r="W201" s="4">
        <v>14827</v>
      </c>
      <c r="X201" s="18">
        <v>117</v>
      </c>
      <c r="Y201" s="18">
        <v>14545</v>
      </c>
      <c r="Z201" s="18">
        <v>0</v>
      </c>
      <c r="AA201" s="18">
        <v>1</v>
      </c>
      <c r="AB201" s="18">
        <v>164</v>
      </c>
      <c r="AC201" s="18">
        <v>0</v>
      </c>
      <c r="AD201" s="6">
        <v>0.25101152888994227</v>
      </c>
      <c r="AE201" s="6">
        <v>0.251</v>
      </c>
      <c r="AF201" s="6">
        <v>0.62756397442795375</v>
      </c>
      <c r="AG201" s="6">
        <v>0.627</v>
      </c>
      <c r="AH201" s="7">
        <v>40</v>
      </c>
    </row>
    <row r="202" spans="2:34" x14ac:dyDescent="0.25">
      <c r="B202" s="3">
        <v>198</v>
      </c>
      <c r="C202" s="3" t="s">
        <v>402</v>
      </c>
      <c r="D202" s="3" t="s">
        <v>403</v>
      </c>
      <c r="E202" s="3" t="s">
        <v>341</v>
      </c>
      <c r="F202" s="3">
        <v>8312</v>
      </c>
      <c r="G202" s="3">
        <v>8</v>
      </c>
      <c r="H202" s="3">
        <v>0.44</v>
      </c>
      <c r="I202" s="4">
        <v>15729</v>
      </c>
      <c r="J202" s="4">
        <v>2948</v>
      </c>
      <c r="K202" s="18">
        <v>90</v>
      </c>
      <c r="L202" s="18">
        <v>2694</v>
      </c>
      <c r="M202" s="18">
        <v>0</v>
      </c>
      <c r="N202" s="18">
        <v>0</v>
      </c>
      <c r="O202" s="18">
        <v>164</v>
      </c>
      <c r="P202" s="18">
        <v>0</v>
      </c>
      <c r="Q202" s="6">
        <v>0.1874245025112849</v>
      </c>
      <c r="R202" s="3">
        <v>0.187</v>
      </c>
      <c r="S202" s="6">
        <v>0.5252457552574189</v>
      </c>
      <c r="T202" s="25">
        <v>0.52500000000000002</v>
      </c>
      <c r="U202" s="7">
        <v>130</v>
      </c>
      <c r="V202" s="4">
        <v>15379</v>
      </c>
      <c r="W202" s="4">
        <v>2811</v>
      </c>
      <c r="X202" s="18">
        <v>95</v>
      </c>
      <c r="Y202" s="18">
        <v>2589</v>
      </c>
      <c r="Z202" s="18">
        <v>0</v>
      </c>
      <c r="AA202" s="18">
        <v>0</v>
      </c>
      <c r="AB202" s="18">
        <v>127</v>
      </c>
      <c r="AC202" s="18">
        <v>0</v>
      </c>
      <c r="AD202" s="6">
        <v>0.18278171532609402</v>
      </c>
      <c r="AE202" s="6">
        <v>0.183</v>
      </c>
      <c r="AF202" s="6">
        <v>0.54867722706053279</v>
      </c>
      <c r="AG202" s="6">
        <v>0.54800000000000004</v>
      </c>
      <c r="AH202" s="7">
        <v>114</v>
      </c>
    </row>
    <row r="203" spans="2:34" x14ac:dyDescent="0.25">
      <c r="B203" s="3">
        <v>199</v>
      </c>
      <c r="C203" s="3" t="s">
        <v>404</v>
      </c>
      <c r="D203" s="3" t="s">
        <v>405</v>
      </c>
      <c r="E203" s="3" t="s">
        <v>341</v>
      </c>
      <c r="F203" s="3">
        <v>8313</v>
      </c>
      <c r="G203" s="3">
        <v>8</v>
      </c>
      <c r="H203" s="3">
        <v>0.47</v>
      </c>
      <c r="I203" s="4">
        <v>23170</v>
      </c>
      <c r="J203" s="4">
        <v>3112</v>
      </c>
      <c r="K203" s="18">
        <v>99</v>
      </c>
      <c r="L203" s="18">
        <v>2712</v>
      </c>
      <c r="M203" s="18">
        <v>4</v>
      </c>
      <c r="N203" s="18">
        <v>0</v>
      </c>
      <c r="O203" s="18">
        <v>297</v>
      </c>
      <c r="P203" s="18">
        <v>0</v>
      </c>
      <c r="Q203" s="6">
        <v>0.13431160984031074</v>
      </c>
      <c r="R203" s="3">
        <v>0.13400000000000001</v>
      </c>
      <c r="S203" s="6">
        <v>0.47050263846589468</v>
      </c>
      <c r="T203" s="25">
        <v>0.47099999999999997</v>
      </c>
      <c r="U203" s="7">
        <v>198</v>
      </c>
      <c r="V203" s="4">
        <v>22194</v>
      </c>
      <c r="W203" s="4">
        <v>2922</v>
      </c>
      <c r="X203" s="18">
        <v>133</v>
      </c>
      <c r="Y203" s="18">
        <v>2539</v>
      </c>
      <c r="Z203" s="18">
        <v>9</v>
      </c>
      <c r="AA203" s="18">
        <v>0</v>
      </c>
      <c r="AB203" s="18">
        <v>241</v>
      </c>
      <c r="AC203" s="18">
        <v>0</v>
      </c>
      <c r="AD203" s="6">
        <v>0.13165720464990538</v>
      </c>
      <c r="AE203" s="6">
        <v>0.13200000000000001</v>
      </c>
      <c r="AF203" s="6">
        <v>0.48951216653496704</v>
      </c>
      <c r="AG203" s="6">
        <v>0.48899999999999999</v>
      </c>
      <c r="AH203" s="7">
        <v>175</v>
      </c>
    </row>
    <row r="204" spans="2:34" x14ac:dyDescent="0.25">
      <c r="B204" s="3">
        <v>200</v>
      </c>
      <c r="C204" s="3" t="s">
        <v>406</v>
      </c>
      <c r="D204" s="3" t="s">
        <v>407</v>
      </c>
      <c r="E204" s="3" t="s">
        <v>408</v>
      </c>
      <c r="F204" s="3">
        <v>9201</v>
      </c>
      <c r="G204" s="3">
        <v>9</v>
      </c>
      <c r="H204" s="3">
        <v>0.58399999999999996</v>
      </c>
      <c r="I204" s="4">
        <v>53022</v>
      </c>
      <c r="J204" s="4">
        <v>13655</v>
      </c>
      <c r="K204" s="18">
        <v>9</v>
      </c>
      <c r="L204" s="18">
        <v>13073</v>
      </c>
      <c r="M204" s="18">
        <v>157</v>
      </c>
      <c r="N204" s="18">
        <v>0</v>
      </c>
      <c r="O204" s="18">
        <v>416</v>
      </c>
      <c r="P204" s="18">
        <v>0</v>
      </c>
      <c r="Q204" s="6">
        <v>0.25753460827581004</v>
      </c>
      <c r="R204" s="3">
        <v>0.25800000000000001</v>
      </c>
      <c r="S204" s="6">
        <v>0.59750779023844669</v>
      </c>
      <c r="T204" s="25">
        <v>0.59799999999999998</v>
      </c>
      <c r="U204" s="7">
        <v>57</v>
      </c>
      <c r="V204" s="4">
        <v>56644</v>
      </c>
      <c r="W204" s="4">
        <v>13067</v>
      </c>
      <c r="X204" s="18">
        <v>218</v>
      </c>
      <c r="Y204" s="18">
        <v>12439</v>
      </c>
      <c r="Z204" s="18">
        <v>17</v>
      </c>
      <c r="AA204" s="18">
        <v>0</v>
      </c>
      <c r="AB204" s="18">
        <v>393</v>
      </c>
      <c r="AC204" s="18">
        <v>0</v>
      </c>
      <c r="AD204" s="6">
        <v>0.23068639220394041</v>
      </c>
      <c r="AE204" s="6">
        <v>0.23100000000000001</v>
      </c>
      <c r="AF204" s="6">
        <v>0.60436198990812406</v>
      </c>
      <c r="AG204" s="6">
        <v>0.60399999999999998</v>
      </c>
      <c r="AH204" s="7">
        <v>57</v>
      </c>
    </row>
    <row r="205" spans="2:34" x14ac:dyDescent="0.25">
      <c r="B205" s="3">
        <v>201</v>
      </c>
      <c r="C205" s="3" t="s">
        <v>409</v>
      </c>
      <c r="D205" s="3" t="s">
        <v>410</v>
      </c>
      <c r="E205" s="3" t="s">
        <v>408</v>
      </c>
      <c r="F205" s="3">
        <v>9102</v>
      </c>
      <c r="G205" s="3">
        <v>9</v>
      </c>
      <c r="H205" s="3">
        <v>0.439</v>
      </c>
      <c r="I205" s="4">
        <v>24957</v>
      </c>
      <c r="J205" s="4">
        <v>1694</v>
      </c>
      <c r="K205" s="18">
        <v>79</v>
      </c>
      <c r="L205" s="18">
        <v>1490</v>
      </c>
      <c r="M205" s="18">
        <v>0</v>
      </c>
      <c r="N205" s="18">
        <v>0</v>
      </c>
      <c r="O205" s="18">
        <v>125</v>
      </c>
      <c r="P205" s="18">
        <v>0</v>
      </c>
      <c r="Q205" s="6">
        <v>6.78767480065713E-2</v>
      </c>
      <c r="R205" s="3">
        <v>6.8000000000000005E-2</v>
      </c>
      <c r="S205" s="6">
        <v>0.40202865376084618</v>
      </c>
      <c r="T205" s="25">
        <v>0.40200000000000002</v>
      </c>
      <c r="U205" s="7">
        <v>282</v>
      </c>
      <c r="V205" s="4">
        <v>25514</v>
      </c>
      <c r="W205" s="4">
        <v>1585</v>
      </c>
      <c r="X205" s="18">
        <v>108</v>
      </c>
      <c r="Y205" s="18">
        <v>1379</v>
      </c>
      <c r="Z205" s="18">
        <v>0</v>
      </c>
      <c r="AA205" s="18">
        <v>0</v>
      </c>
      <c r="AB205" s="18">
        <v>98</v>
      </c>
      <c r="AC205" s="18">
        <v>0</v>
      </c>
      <c r="AD205" s="6">
        <v>6.2122756133887277E-2</v>
      </c>
      <c r="AE205" s="6">
        <v>6.2E-2</v>
      </c>
      <c r="AF205" s="6">
        <v>0.40830522071556308</v>
      </c>
      <c r="AG205" s="6">
        <v>0.40899999999999997</v>
      </c>
      <c r="AH205" s="7">
        <v>269</v>
      </c>
    </row>
    <row r="206" spans="2:34" x14ac:dyDescent="0.25">
      <c r="B206" s="3">
        <v>202</v>
      </c>
      <c r="C206" s="3" t="s">
        <v>411</v>
      </c>
      <c r="D206" s="3" t="s">
        <v>412</v>
      </c>
      <c r="E206" s="3" t="s">
        <v>408</v>
      </c>
      <c r="F206" s="3">
        <v>9121</v>
      </c>
      <c r="G206" s="3">
        <v>9</v>
      </c>
      <c r="H206" s="3">
        <v>0.41599999999999998</v>
      </c>
      <c r="I206" s="4">
        <v>13167</v>
      </c>
      <c r="J206" s="4">
        <v>639</v>
      </c>
      <c r="K206" s="18">
        <v>10</v>
      </c>
      <c r="L206" s="18">
        <v>531</v>
      </c>
      <c r="M206" s="18">
        <v>0</v>
      </c>
      <c r="N206" s="18">
        <v>0</v>
      </c>
      <c r="O206" s="18">
        <v>98</v>
      </c>
      <c r="P206" s="18">
        <v>0</v>
      </c>
      <c r="Q206" s="6">
        <v>4.8530416951469584E-2</v>
      </c>
      <c r="R206" s="3">
        <v>4.9000000000000002E-2</v>
      </c>
      <c r="S206" s="6">
        <v>0.38208851480065537</v>
      </c>
      <c r="T206" s="25">
        <v>0.38200000000000001</v>
      </c>
      <c r="U206" s="7">
        <v>306</v>
      </c>
      <c r="V206" s="4">
        <v>12578</v>
      </c>
      <c r="W206" s="4">
        <v>473</v>
      </c>
      <c r="X206" s="18">
        <v>10</v>
      </c>
      <c r="Y206" s="18">
        <v>404</v>
      </c>
      <c r="Z206" s="18">
        <v>0</v>
      </c>
      <c r="AA206" s="18">
        <v>0</v>
      </c>
      <c r="AB206" s="18">
        <v>59</v>
      </c>
      <c r="AC206" s="18">
        <v>0</v>
      </c>
      <c r="AD206" s="6">
        <v>3.7605342661790428E-2</v>
      </c>
      <c r="AE206" s="6">
        <v>3.7999999999999999E-2</v>
      </c>
      <c r="AF206" s="6">
        <v>0.38046283929176744</v>
      </c>
      <c r="AG206" s="6">
        <v>0.38</v>
      </c>
      <c r="AH206" s="7">
        <v>306</v>
      </c>
    </row>
    <row r="207" spans="2:34" x14ac:dyDescent="0.25">
      <c r="B207" s="3">
        <v>203</v>
      </c>
      <c r="C207" s="3" t="s">
        <v>413</v>
      </c>
      <c r="D207" s="3" t="s">
        <v>414</v>
      </c>
      <c r="E207" s="3" t="s">
        <v>408</v>
      </c>
      <c r="F207" s="3">
        <v>9202</v>
      </c>
      <c r="G207" s="3">
        <v>9</v>
      </c>
      <c r="H207" s="3">
        <v>0.53300000000000003</v>
      </c>
      <c r="I207" s="4">
        <v>24303</v>
      </c>
      <c r="J207" s="4">
        <v>3993</v>
      </c>
      <c r="K207" s="18">
        <v>59</v>
      </c>
      <c r="L207" s="18">
        <v>3643</v>
      </c>
      <c r="M207" s="18">
        <v>45</v>
      </c>
      <c r="N207" s="18">
        <v>0</v>
      </c>
      <c r="O207" s="18">
        <v>246</v>
      </c>
      <c r="P207" s="18">
        <v>0</v>
      </c>
      <c r="Q207" s="6">
        <v>0.16430070361683743</v>
      </c>
      <c r="R207" s="3">
        <v>0.16400000000000001</v>
      </c>
      <c r="S207" s="6">
        <v>0.50141220449632007</v>
      </c>
      <c r="T207" s="25">
        <v>0.501</v>
      </c>
      <c r="U207" s="7">
        <v>160</v>
      </c>
      <c r="V207" s="4">
        <v>26468</v>
      </c>
      <c r="W207" s="4">
        <v>3689</v>
      </c>
      <c r="X207" s="18">
        <v>120</v>
      </c>
      <c r="Y207" s="18">
        <v>3422</v>
      </c>
      <c r="Z207" s="18">
        <v>0</v>
      </c>
      <c r="AA207" s="18">
        <v>0</v>
      </c>
      <c r="AB207" s="18">
        <v>147</v>
      </c>
      <c r="AC207" s="18">
        <v>0</v>
      </c>
      <c r="AD207" s="6">
        <v>0.13937585008311923</v>
      </c>
      <c r="AE207" s="6">
        <v>0.13900000000000001</v>
      </c>
      <c r="AF207" s="6">
        <v>0.49763286111690747</v>
      </c>
      <c r="AG207" s="6">
        <v>0.498</v>
      </c>
      <c r="AH207" s="7">
        <v>163</v>
      </c>
    </row>
    <row r="208" spans="2:34" x14ac:dyDescent="0.25">
      <c r="B208" s="3">
        <v>204</v>
      </c>
      <c r="C208" s="3" t="s">
        <v>415</v>
      </c>
      <c r="D208" s="3" t="s">
        <v>416</v>
      </c>
      <c r="E208" s="3" t="s">
        <v>408</v>
      </c>
      <c r="F208" s="3">
        <v>9103</v>
      </c>
      <c r="G208" s="3">
        <v>9</v>
      </c>
      <c r="H208" s="3">
        <v>0.54400000000000004</v>
      </c>
      <c r="I208" s="4">
        <v>19177</v>
      </c>
      <c r="J208" s="4">
        <v>2401</v>
      </c>
      <c r="K208" s="18">
        <v>13</v>
      </c>
      <c r="L208" s="18">
        <v>2001</v>
      </c>
      <c r="M208" s="18">
        <v>0</v>
      </c>
      <c r="N208" s="18">
        <v>0</v>
      </c>
      <c r="O208" s="18">
        <v>387</v>
      </c>
      <c r="P208" s="18">
        <v>0</v>
      </c>
      <c r="Q208" s="6">
        <v>0.12520206497366637</v>
      </c>
      <c r="R208" s="3">
        <v>0.125</v>
      </c>
      <c r="S208" s="6">
        <v>0.46111348917512618</v>
      </c>
      <c r="T208" s="25">
        <v>0.46100000000000002</v>
      </c>
      <c r="U208" s="7">
        <v>203</v>
      </c>
      <c r="V208" s="4">
        <v>18067</v>
      </c>
      <c r="W208" s="4">
        <v>2113</v>
      </c>
      <c r="X208" s="18">
        <v>15</v>
      </c>
      <c r="Y208" s="18">
        <v>1832</v>
      </c>
      <c r="Z208" s="18">
        <v>0</v>
      </c>
      <c r="AA208" s="18">
        <v>0</v>
      </c>
      <c r="AB208" s="18">
        <v>266</v>
      </c>
      <c r="AC208" s="18">
        <v>0</v>
      </c>
      <c r="AD208" s="6">
        <v>0.11695356174240328</v>
      </c>
      <c r="AE208" s="6">
        <v>0.11700000000000001</v>
      </c>
      <c r="AF208" s="6">
        <v>0.47211067814509478</v>
      </c>
      <c r="AG208" s="6">
        <v>0.47199999999999998</v>
      </c>
      <c r="AH208" s="7">
        <v>191</v>
      </c>
    </row>
    <row r="209" spans="2:34" x14ac:dyDescent="0.25">
      <c r="B209" s="3">
        <v>205</v>
      </c>
      <c r="C209" s="3" t="s">
        <v>417</v>
      </c>
      <c r="D209" s="3" t="s">
        <v>418</v>
      </c>
      <c r="E209" s="3" t="s">
        <v>408</v>
      </c>
      <c r="F209" s="3">
        <v>9203</v>
      </c>
      <c r="G209" s="3">
        <v>9</v>
      </c>
      <c r="H209" s="3">
        <v>0.47199999999999998</v>
      </c>
      <c r="I209" s="4">
        <v>18536</v>
      </c>
      <c r="J209" s="4">
        <v>3287</v>
      </c>
      <c r="K209" s="18">
        <v>24</v>
      </c>
      <c r="L209" s="18">
        <v>2625</v>
      </c>
      <c r="M209" s="18">
        <v>0</v>
      </c>
      <c r="N209" s="18">
        <v>0</v>
      </c>
      <c r="O209" s="18">
        <v>638</v>
      </c>
      <c r="P209" s="18">
        <v>0</v>
      </c>
      <c r="Q209" s="6">
        <v>0.1773305999136815</v>
      </c>
      <c r="R209" s="3">
        <v>0.17699999999999999</v>
      </c>
      <c r="S209" s="6">
        <v>0.51484203478589485</v>
      </c>
      <c r="T209" s="25">
        <v>0.51500000000000001</v>
      </c>
      <c r="U209" s="7">
        <v>137</v>
      </c>
      <c r="V209" s="4">
        <v>18210</v>
      </c>
      <c r="W209" s="4">
        <v>2855</v>
      </c>
      <c r="X209" s="18">
        <v>42</v>
      </c>
      <c r="Y209" s="18">
        <v>2348</v>
      </c>
      <c r="Z209" s="18">
        <v>0</v>
      </c>
      <c r="AA209" s="18">
        <v>0</v>
      </c>
      <c r="AB209" s="18">
        <v>465</v>
      </c>
      <c r="AC209" s="18">
        <v>0</v>
      </c>
      <c r="AD209" s="6">
        <v>0.15678198791872597</v>
      </c>
      <c r="AE209" s="6">
        <v>0.157</v>
      </c>
      <c r="AF209" s="6">
        <v>0.51851464718475415</v>
      </c>
      <c r="AG209" s="6">
        <v>0.51800000000000002</v>
      </c>
      <c r="AH209" s="7">
        <v>141</v>
      </c>
    </row>
    <row r="210" spans="2:34" x14ac:dyDescent="0.25">
      <c r="B210" s="3">
        <v>206</v>
      </c>
      <c r="C210" s="3" t="s">
        <v>419</v>
      </c>
      <c r="D210" s="3" t="s">
        <v>420</v>
      </c>
      <c r="E210" s="3" t="s">
        <v>408</v>
      </c>
      <c r="F210" s="3">
        <v>9104</v>
      </c>
      <c r="G210" s="3">
        <v>9</v>
      </c>
      <c r="H210" s="3">
        <v>0.45400000000000001</v>
      </c>
      <c r="I210" s="4">
        <v>7733</v>
      </c>
      <c r="J210" s="4">
        <v>253</v>
      </c>
      <c r="K210" s="18">
        <v>12</v>
      </c>
      <c r="L210" s="18">
        <v>142</v>
      </c>
      <c r="M210" s="18">
        <v>0</v>
      </c>
      <c r="N210" s="18">
        <v>0</v>
      </c>
      <c r="O210" s="18">
        <v>99</v>
      </c>
      <c r="P210" s="18">
        <v>0</v>
      </c>
      <c r="Q210" s="6">
        <v>3.2716927453769556E-2</v>
      </c>
      <c r="R210" s="3">
        <v>3.3000000000000002E-2</v>
      </c>
      <c r="S210" s="6">
        <v>0.36578965290629606</v>
      </c>
      <c r="T210" s="25">
        <v>0.36599999999999999</v>
      </c>
      <c r="U210" s="7">
        <v>323</v>
      </c>
      <c r="V210" s="4">
        <v>7860</v>
      </c>
      <c r="W210" s="4">
        <v>265</v>
      </c>
      <c r="X210" s="18">
        <v>12</v>
      </c>
      <c r="Y210" s="18">
        <v>171</v>
      </c>
      <c r="Z210" s="18">
        <v>0</v>
      </c>
      <c r="AA210" s="18">
        <v>0</v>
      </c>
      <c r="AB210" s="18">
        <v>82</v>
      </c>
      <c r="AC210" s="18">
        <v>0</v>
      </c>
      <c r="AD210" s="6">
        <v>3.3715012722646313E-2</v>
      </c>
      <c r="AE210" s="6">
        <v>3.4000000000000002E-2</v>
      </c>
      <c r="AF210" s="6">
        <v>0.37582244238780149</v>
      </c>
      <c r="AG210" s="6">
        <v>0.376</v>
      </c>
      <c r="AH210" s="7">
        <v>311</v>
      </c>
    </row>
    <row r="211" spans="2:34" x14ac:dyDescent="0.25">
      <c r="B211" s="3">
        <v>207</v>
      </c>
      <c r="C211" s="3" t="s">
        <v>421</v>
      </c>
      <c r="D211" s="3" t="s">
        <v>422</v>
      </c>
      <c r="E211" s="3" t="s">
        <v>408</v>
      </c>
      <c r="F211" s="3">
        <v>9204</v>
      </c>
      <c r="G211" s="3">
        <v>9</v>
      </c>
      <c r="H211" s="3"/>
      <c r="I211" s="4">
        <v>7730</v>
      </c>
      <c r="J211" s="4">
        <v>877</v>
      </c>
      <c r="K211" s="18">
        <v>0</v>
      </c>
      <c r="L211" s="18">
        <v>829</v>
      </c>
      <c r="M211" s="18">
        <v>0</v>
      </c>
      <c r="N211" s="18">
        <v>0</v>
      </c>
      <c r="O211" s="18">
        <v>48</v>
      </c>
      <c r="P211" s="18">
        <v>0</v>
      </c>
      <c r="Q211" s="6">
        <v>0.11345407503234152</v>
      </c>
      <c r="R211" s="3">
        <v>0.113</v>
      </c>
      <c r="S211" s="6">
        <v>0.44900491151945915</v>
      </c>
      <c r="T211" s="25">
        <v>0.44900000000000001</v>
      </c>
      <c r="U211" s="7">
        <v>221</v>
      </c>
      <c r="V211" s="4">
        <v>8405</v>
      </c>
      <c r="W211" s="4">
        <v>807</v>
      </c>
      <c r="X211" s="18">
        <v>0</v>
      </c>
      <c r="Y211" s="18">
        <v>765</v>
      </c>
      <c r="Z211" s="18">
        <v>0</v>
      </c>
      <c r="AA211" s="18">
        <v>0</v>
      </c>
      <c r="AB211" s="18">
        <v>42</v>
      </c>
      <c r="AC211" s="18">
        <v>0</v>
      </c>
      <c r="AD211" s="6">
        <v>9.6014277215942898E-2</v>
      </c>
      <c r="AE211" s="6">
        <v>9.6000000000000002E-2</v>
      </c>
      <c r="AF211" s="6">
        <v>0.44774859439927356</v>
      </c>
      <c r="AG211" s="6">
        <v>0.44800000000000001</v>
      </c>
      <c r="AH211" s="7">
        <v>223</v>
      </c>
    </row>
    <row r="212" spans="2:34" x14ac:dyDescent="0.25">
      <c r="B212" s="3">
        <v>208</v>
      </c>
      <c r="C212" s="3" t="s">
        <v>423</v>
      </c>
      <c r="D212" s="3" t="s">
        <v>424</v>
      </c>
      <c r="E212" s="3" t="s">
        <v>408</v>
      </c>
      <c r="F212" s="3">
        <v>9105</v>
      </c>
      <c r="G212" s="3">
        <v>9</v>
      </c>
      <c r="H212" s="3">
        <v>0.44600000000000001</v>
      </c>
      <c r="I212" s="4">
        <v>26164</v>
      </c>
      <c r="J212" s="4">
        <v>2372</v>
      </c>
      <c r="K212" s="18">
        <v>85</v>
      </c>
      <c r="L212" s="18">
        <v>1756</v>
      </c>
      <c r="M212" s="18">
        <v>0</v>
      </c>
      <c r="N212" s="18">
        <v>0</v>
      </c>
      <c r="O212" s="18">
        <v>531</v>
      </c>
      <c r="P212" s="18">
        <v>0</v>
      </c>
      <c r="Q212" s="6">
        <v>9.0658920654334202E-2</v>
      </c>
      <c r="R212" s="3">
        <v>9.0999999999999998E-2</v>
      </c>
      <c r="S212" s="6">
        <v>0.42551009254722805</v>
      </c>
      <c r="T212" s="25">
        <v>0.42599999999999999</v>
      </c>
      <c r="U212" s="7">
        <v>248</v>
      </c>
      <c r="V212" s="4">
        <v>25487</v>
      </c>
      <c r="W212" s="4">
        <v>1940</v>
      </c>
      <c r="X212" s="18">
        <v>98</v>
      </c>
      <c r="Y212" s="18">
        <v>1488</v>
      </c>
      <c r="Z212" s="18">
        <v>0</v>
      </c>
      <c r="AA212" s="18">
        <v>0</v>
      </c>
      <c r="AB212" s="18">
        <v>354</v>
      </c>
      <c r="AC212" s="18">
        <v>0</v>
      </c>
      <c r="AD212" s="6">
        <v>7.6117236238082156E-2</v>
      </c>
      <c r="AE212" s="6">
        <v>7.5999999999999998E-2</v>
      </c>
      <c r="AF212" s="6">
        <v>0.42454660987944387</v>
      </c>
      <c r="AG212" s="6">
        <v>0.42499999999999999</v>
      </c>
      <c r="AH212" s="7">
        <v>245</v>
      </c>
    </row>
    <row r="213" spans="2:34" x14ac:dyDescent="0.25">
      <c r="B213" s="3">
        <v>209</v>
      </c>
      <c r="C213" s="3" t="s">
        <v>425</v>
      </c>
      <c r="D213" s="3" t="s">
        <v>426</v>
      </c>
      <c r="E213" s="3" t="s">
        <v>408</v>
      </c>
      <c r="F213" s="3">
        <v>9106</v>
      </c>
      <c r="G213" s="3">
        <v>9</v>
      </c>
      <c r="H213" s="3">
        <v>0.496</v>
      </c>
      <c r="I213" s="4">
        <v>12710</v>
      </c>
      <c r="J213" s="4">
        <v>737</v>
      </c>
      <c r="K213" s="18">
        <v>22</v>
      </c>
      <c r="L213" s="18">
        <v>656</v>
      </c>
      <c r="M213" s="18">
        <v>0</v>
      </c>
      <c r="N213" s="18">
        <v>0</v>
      </c>
      <c r="O213" s="18">
        <v>59</v>
      </c>
      <c r="P213" s="18">
        <v>0</v>
      </c>
      <c r="Q213" s="6">
        <v>5.7985837922895356E-2</v>
      </c>
      <c r="R213" s="3">
        <v>5.8000000000000003E-2</v>
      </c>
      <c r="S213" s="6">
        <v>0.3918341563675411</v>
      </c>
      <c r="T213" s="25">
        <v>0.39200000000000002</v>
      </c>
      <c r="U213" s="7">
        <v>294</v>
      </c>
      <c r="V213" s="4">
        <v>12588</v>
      </c>
      <c r="W213" s="4">
        <v>690</v>
      </c>
      <c r="X213" s="18">
        <v>34</v>
      </c>
      <c r="Y213" s="18">
        <v>610</v>
      </c>
      <c r="Z213" s="18">
        <v>0</v>
      </c>
      <c r="AA213" s="18">
        <v>0</v>
      </c>
      <c r="AB213" s="18">
        <v>46</v>
      </c>
      <c r="AC213" s="18">
        <v>0</v>
      </c>
      <c r="AD213" s="6">
        <v>5.4814108674928502E-2</v>
      </c>
      <c r="AE213" s="6">
        <v>5.5E-2</v>
      </c>
      <c r="AF213" s="6">
        <v>0.40018452613362265</v>
      </c>
      <c r="AG213" s="6">
        <v>0.4</v>
      </c>
      <c r="AH213" s="7">
        <v>279</v>
      </c>
    </row>
    <row r="214" spans="2:34" x14ac:dyDescent="0.25">
      <c r="B214" s="3">
        <v>210</v>
      </c>
      <c r="C214" s="3" t="s">
        <v>427</v>
      </c>
      <c r="D214" s="3" t="s">
        <v>428</v>
      </c>
      <c r="E214" s="3" t="s">
        <v>408</v>
      </c>
      <c r="F214" s="3">
        <v>9107</v>
      </c>
      <c r="G214" s="3">
        <v>9</v>
      </c>
      <c r="H214" s="3">
        <v>0.50800000000000001</v>
      </c>
      <c r="I214" s="4">
        <v>14148</v>
      </c>
      <c r="J214" s="4">
        <v>1639</v>
      </c>
      <c r="K214" s="18">
        <v>36</v>
      </c>
      <c r="L214" s="18">
        <v>1460</v>
      </c>
      <c r="M214" s="18">
        <v>0</v>
      </c>
      <c r="N214" s="18">
        <v>0</v>
      </c>
      <c r="O214" s="18">
        <v>143</v>
      </c>
      <c r="P214" s="18">
        <v>0</v>
      </c>
      <c r="Q214" s="6">
        <v>0.11584676279332767</v>
      </c>
      <c r="R214" s="3">
        <v>0.11600000000000001</v>
      </c>
      <c r="S214" s="6">
        <v>0.45147103940213229</v>
      </c>
      <c r="T214" s="25">
        <v>0.45100000000000001</v>
      </c>
      <c r="U214" s="7">
        <v>219</v>
      </c>
      <c r="V214" s="4">
        <v>15098</v>
      </c>
      <c r="W214" s="4">
        <v>1566</v>
      </c>
      <c r="X214" s="18">
        <v>90</v>
      </c>
      <c r="Y214" s="18">
        <v>1368</v>
      </c>
      <c r="Z214" s="18">
        <v>0</v>
      </c>
      <c r="AA214" s="18">
        <v>0</v>
      </c>
      <c r="AB214" s="18">
        <v>108</v>
      </c>
      <c r="AC214" s="18">
        <v>0</v>
      </c>
      <c r="AD214" s="6">
        <v>0.10372234733077229</v>
      </c>
      <c r="AE214" s="6">
        <v>0.104</v>
      </c>
      <c r="AF214" s="6">
        <v>0.45702938820720546</v>
      </c>
      <c r="AG214" s="6">
        <v>0.45700000000000002</v>
      </c>
      <c r="AH214" s="7">
        <v>209</v>
      </c>
    </row>
    <row r="215" spans="2:34" x14ac:dyDescent="0.25">
      <c r="B215" s="3">
        <v>211</v>
      </c>
      <c r="C215" s="3" t="s">
        <v>429</v>
      </c>
      <c r="D215" s="3" t="s">
        <v>430</v>
      </c>
      <c r="E215" s="3" t="s">
        <v>408</v>
      </c>
      <c r="F215" s="3">
        <v>9108</v>
      </c>
      <c r="G215" s="3">
        <v>9</v>
      </c>
      <c r="H215" s="3">
        <v>0.57799999999999996</v>
      </c>
      <c r="I215" s="4">
        <v>41936</v>
      </c>
      <c r="J215" s="4">
        <v>7697</v>
      </c>
      <c r="K215" s="18">
        <v>4</v>
      </c>
      <c r="L215" s="18">
        <v>7313</v>
      </c>
      <c r="M215" s="18">
        <v>64</v>
      </c>
      <c r="N215" s="18">
        <v>0</v>
      </c>
      <c r="O215" s="18">
        <v>316</v>
      </c>
      <c r="P215" s="18">
        <v>0</v>
      </c>
      <c r="Q215" s="6">
        <v>0.18354158718046548</v>
      </c>
      <c r="R215" s="3">
        <v>0.184</v>
      </c>
      <c r="S215" s="6">
        <v>0.52124365940541095</v>
      </c>
      <c r="T215" s="25">
        <v>0.52100000000000002</v>
      </c>
      <c r="U215" s="7">
        <v>133</v>
      </c>
      <c r="V215" s="4">
        <v>41624</v>
      </c>
      <c r="W215" s="4">
        <v>7347</v>
      </c>
      <c r="X215" s="18">
        <v>50</v>
      </c>
      <c r="Y215" s="18">
        <v>7060</v>
      </c>
      <c r="Z215" s="18">
        <v>0</v>
      </c>
      <c r="AA215" s="18">
        <v>0</v>
      </c>
      <c r="AB215" s="18">
        <v>237</v>
      </c>
      <c r="AC215" s="18">
        <v>0</v>
      </c>
      <c r="AD215" s="6">
        <v>0.17650874495483376</v>
      </c>
      <c r="AE215" s="6">
        <v>0.17699999999999999</v>
      </c>
      <c r="AF215" s="6">
        <v>0.54171663170458384</v>
      </c>
      <c r="AG215" s="6">
        <v>0.54100000000000004</v>
      </c>
      <c r="AH215" s="7">
        <v>122</v>
      </c>
    </row>
    <row r="216" spans="2:34" x14ac:dyDescent="0.25">
      <c r="B216" s="3">
        <v>212</v>
      </c>
      <c r="C216" s="3" t="s">
        <v>431</v>
      </c>
      <c r="D216" s="3" t="s">
        <v>432</v>
      </c>
      <c r="E216" s="3" t="s">
        <v>408</v>
      </c>
      <c r="F216" s="3">
        <v>9109</v>
      </c>
      <c r="G216" s="3">
        <v>9</v>
      </c>
      <c r="H216" s="3">
        <v>0.52400000000000002</v>
      </c>
      <c r="I216" s="4">
        <v>25158</v>
      </c>
      <c r="J216" s="4">
        <v>4401</v>
      </c>
      <c r="K216" s="18">
        <v>48</v>
      </c>
      <c r="L216" s="18">
        <v>3982</v>
      </c>
      <c r="M216" s="18">
        <v>47</v>
      </c>
      <c r="N216" s="18">
        <v>0</v>
      </c>
      <c r="O216" s="18">
        <v>324</v>
      </c>
      <c r="P216" s="18">
        <v>0</v>
      </c>
      <c r="Q216" s="6">
        <v>0.17493441450035774</v>
      </c>
      <c r="R216" s="3">
        <v>0.17499999999999999</v>
      </c>
      <c r="S216" s="6">
        <v>0.51237230189545835</v>
      </c>
      <c r="T216" s="25">
        <v>0.51200000000000001</v>
      </c>
      <c r="U216" s="7">
        <v>142</v>
      </c>
      <c r="V216" s="4">
        <v>24784</v>
      </c>
      <c r="W216" s="4">
        <v>4102</v>
      </c>
      <c r="X216" s="18">
        <v>96</v>
      </c>
      <c r="Y216" s="18">
        <v>3783</v>
      </c>
      <c r="Z216" s="18">
        <v>0</v>
      </c>
      <c r="AA216" s="18">
        <v>0</v>
      </c>
      <c r="AB216" s="18">
        <v>223</v>
      </c>
      <c r="AC216" s="18">
        <v>0</v>
      </c>
      <c r="AD216" s="6">
        <v>0.16551000645577793</v>
      </c>
      <c r="AE216" s="6">
        <v>0.16600000000000001</v>
      </c>
      <c r="AF216" s="6">
        <v>0.52895554021867752</v>
      </c>
      <c r="AG216" s="6">
        <v>0.52800000000000002</v>
      </c>
      <c r="AH216" s="7">
        <v>130</v>
      </c>
    </row>
    <row r="217" spans="2:34" x14ac:dyDescent="0.25">
      <c r="B217" s="3">
        <v>213</v>
      </c>
      <c r="C217" s="3" t="s">
        <v>433</v>
      </c>
      <c r="D217" s="3" t="s">
        <v>434</v>
      </c>
      <c r="E217" s="3" t="s">
        <v>408</v>
      </c>
      <c r="F217" s="3">
        <v>9205</v>
      </c>
      <c r="G217" s="3">
        <v>9</v>
      </c>
      <c r="H217" s="3">
        <v>0.47</v>
      </c>
      <c r="I217" s="4">
        <v>10247</v>
      </c>
      <c r="J217" s="4">
        <v>246</v>
      </c>
      <c r="K217" s="18">
        <v>0</v>
      </c>
      <c r="L217" s="18">
        <v>0</v>
      </c>
      <c r="M217" s="18">
        <v>0</v>
      </c>
      <c r="N217" s="18">
        <v>0</v>
      </c>
      <c r="O217" s="18">
        <v>246</v>
      </c>
      <c r="P217" s="18">
        <v>0</v>
      </c>
      <c r="Q217" s="6">
        <v>2.4007026446764907E-2</v>
      </c>
      <c r="R217" s="3">
        <v>2.4E-2</v>
      </c>
      <c r="S217" s="6">
        <v>0.35681241397067998</v>
      </c>
      <c r="T217" s="25">
        <v>0.35699999999999998</v>
      </c>
      <c r="U217" s="7">
        <v>335</v>
      </c>
      <c r="V217" s="4">
        <v>11101</v>
      </c>
      <c r="W217" s="4">
        <v>196</v>
      </c>
      <c r="X217" s="18">
        <v>4</v>
      </c>
      <c r="Y217" s="18">
        <v>0</v>
      </c>
      <c r="Z217" s="18">
        <v>0</v>
      </c>
      <c r="AA217" s="18">
        <v>0</v>
      </c>
      <c r="AB217" s="18">
        <v>192</v>
      </c>
      <c r="AC217" s="18">
        <v>0</v>
      </c>
      <c r="AD217" s="6">
        <v>1.76560670209891E-2</v>
      </c>
      <c r="AE217" s="6">
        <v>1.7999999999999999E-2</v>
      </c>
      <c r="AF217" s="6">
        <v>0.3572608547719377</v>
      </c>
      <c r="AG217" s="6">
        <v>0.35699999999999998</v>
      </c>
      <c r="AH217" s="7">
        <v>335</v>
      </c>
    </row>
    <row r="218" spans="2:34" x14ac:dyDescent="0.25">
      <c r="B218" s="3">
        <v>214</v>
      </c>
      <c r="C218" s="3" t="s">
        <v>435</v>
      </c>
      <c r="D218" s="3" t="s">
        <v>436</v>
      </c>
      <c r="E218" s="3" t="s">
        <v>408</v>
      </c>
      <c r="F218" s="3">
        <v>9206</v>
      </c>
      <c r="G218" s="3">
        <v>9</v>
      </c>
      <c r="H218" s="3">
        <v>0.502</v>
      </c>
      <c r="I218" s="4">
        <v>7348</v>
      </c>
      <c r="J218" s="4">
        <v>1049</v>
      </c>
      <c r="K218" s="18">
        <v>0</v>
      </c>
      <c r="L218" s="18">
        <v>1011</v>
      </c>
      <c r="M218" s="18">
        <v>0</v>
      </c>
      <c r="N218" s="18">
        <v>0</v>
      </c>
      <c r="O218" s="18">
        <v>38</v>
      </c>
      <c r="P218" s="18">
        <v>0</v>
      </c>
      <c r="Q218" s="6">
        <v>0.14275993467610235</v>
      </c>
      <c r="R218" s="3">
        <v>0.14299999999999999</v>
      </c>
      <c r="S218" s="6">
        <v>0.47921027252460641</v>
      </c>
      <c r="T218" s="25">
        <v>0.47899999999999998</v>
      </c>
      <c r="U218" s="7">
        <v>188</v>
      </c>
      <c r="V218" s="4">
        <v>7484</v>
      </c>
      <c r="W218" s="4">
        <v>965</v>
      </c>
      <c r="X218" s="18">
        <v>0</v>
      </c>
      <c r="Y218" s="18">
        <v>941</v>
      </c>
      <c r="Z218" s="18">
        <v>0</v>
      </c>
      <c r="AA218" s="18">
        <v>0</v>
      </c>
      <c r="AB218" s="18">
        <v>24</v>
      </c>
      <c r="AC218" s="18">
        <v>0</v>
      </c>
      <c r="AD218" s="6">
        <v>0.128941742383752</v>
      </c>
      <c r="AE218" s="6">
        <v>0.129</v>
      </c>
      <c r="AF218" s="6">
        <v>0.48603186885699257</v>
      </c>
      <c r="AG218" s="6">
        <v>0.48599999999999999</v>
      </c>
      <c r="AH218" s="7">
        <v>183</v>
      </c>
    </row>
    <row r="219" spans="2:34" x14ac:dyDescent="0.25">
      <c r="B219" s="3">
        <v>215</v>
      </c>
      <c r="C219" s="3" t="s">
        <v>437</v>
      </c>
      <c r="D219" s="3" t="s">
        <v>438</v>
      </c>
      <c r="E219" s="3" t="s">
        <v>408</v>
      </c>
      <c r="F219" s="3">
        <v>9207</v>
      </c>
      <c r="G219" s="3">
        <v>9</v>
      </c>
      <c r="H219" s="3">
        <v>0.4</v>
      </c>
      <c r="I219" s="4">
        <v>9253</v>
      </c>
      <c r="J219" s="4">
        <v>223</v>
      </c>
      <c r="K219" s="18">
        <v>11</v>
      </c>
      <c r="L219" s="18">
        <v>0</v>
      </c>
      <c r="M219" s="18">
        <v>0</v>
      </c>
      <c r="N219" s="18">
        <v>0</v>
      </c>
      <c r="O219" s="18">
        <v>212</v>
      </c>
      <c r="P219" s="18">
        <v>0</v>
      </c>
      <c r="Q219" s="6">
        <v>2.4100291797254945E-2</v>
      </c>
      <c r="R219" s="3">
        <v>2.4E-2</v>
      </c>
      <c r="S219" s="6">
        <v>0.35690854196743788</v>
      </c>
      <c r="T219" s="25">
        <v>0.35699999999999998</v>
      </c>
      <c r="U219" s="7">
        <v>333</v>
      </c>
      <c r="V219" s="4">
        <v>9947</v>
      </c>
      <c r="W219" s="4">
        <v>200</v>
      </c>
      <c r="X219" s="18">
        <v>36</v>
      </c>
      <c r="Y219" s="18">
        <v>0</v>
      </c>
      <c r="Z219" s="18">
        <v>0</v>
      </c>
      <c r="AA219" s="18">
        <v>0</v>
      </c>
      <c r="AB219" s="18">
        <v>164</v>
      </c>
      <c r="AC219" s="18">
        <v>0</v>
      </c>
      <c r="AD219" s="6">
        <v>2.0106564793405047E-2</v>
      </c>
      <c r="AE219" s="6">
        <v>0.02</v>
      </c>
      <c r="AF219" s="6">
        <v>0.3595810532239207</v>
      </c>
      <c r="AG219" s="6">
        <v>0.36</v>
      </c>
      <c r="AH219" s="7">
        <v>331</v>
      </c>
    </row>
    <row r="220" spans="2:34" x14ac:dyDescent="0.25">
      <c r="B220" s="3">
        <v>216</v>
      </c>
      <c r="C220" s="3" t="s">
        <v>439</v>
      </c>
      <c r="D220" s="3" t="s">
        <v>440</v>
      </c>
      <c r="E220" s="3" t="s">
        <v>408</v>
      </c>
      <c r="F220" s="3">
        <v>9110</v>
      </c>
      <c r="G220" s="3">
        <v>9</v>
      </c>
      <c r="H220" s="3">
        <v>0.44700000000000001</v>
      </c>
      <c r="I220" s="4">
        <v>6796</v>
      </c>
      <c r="J220" s="4">
        <v>162</v>
      </c>
      <c r="K220" s="18">
        <v>2</v>
      </c>
      <c r="L220" s="18">
        <v>0</v>
      </c>
      <c r="M220" s="18">
        <v>0</v>
      </c>
      <c r="N220" s="18">
        <v>0</v>
      </c>
      <c r="O220" s="18">
        <v>160</v>
      </c>
      <c r="P220" s="18">
        <v>0</v>
      </c>
      <c r="Q220" s="6">
        <v>2.3837551500882872E-2</v>
      </c>
      <c r="R220" s="3">
        <v>2.4E-2</v>
      </c>
      <c r="S220" s="6">
        <v>0.3566377372342211</v>
      </c>
      <c r="T220" s="25">
        <v>0.35699999999999998</v>
      </c>
      <c r="U220" s="7">
        <v>336</v>
      </c>
      <c r="V220" s="4">
        <v>6309</v>
      </c>
      <c r="W220" s="4">
        <v>137</v>
      </c>
      <c r="X220" s="18">
        <v>2</v>
      </c>
      <c r="Y220" s="18">
        <v>0</v>
      </c>
      <c r="Z220" s="18">
        <v>0</v>
      </c>
      <c r="AA220" s="18">
        <v>0</v>
      </c>
      <c r="AB220" s="18">
        <v>135</v>
      </c>
      <c r="AC220" s="18">
        <v>0</v>
      </c>
      <c r="AD220" s="6">
        <v>2.1715010302742116E-2</v>
      </c>
      <c r="AE220" s="6">
        <v>2.1999999999999999E-2</v>
      </c>
      <c r="AF220" s="6">
        <v>0.36190125167590365</v>
      </c>
      <c r="AG220" s="6">
        <v>0.36199999999999999</v>
      </c>
      <c r="AH220" s="7">
        <v>328</v>
      </c>
    </row>
    <row r="221" spans="2:34" x14ac:dyDescent="0.25">
      <c r="B221" s="3">
        <v>217</v>
      </c>
      <c r="C221" s="3" t="s">
        <v>441</v>
      </c>
      <c r="D221" s="3" t="s">
        <v>442</v>
      </c>
      <c r="E221" s="3" t="s">
        <v>408</v>
      </c>
      <c r="F221" s="3">
        <v>9111</v>
      </c>
      <c r="G221" s="3">
        <v>9</v>
      </c>
      <c r="H221" s="3">
        <v>0.49399999999999999</v>
      </c>
      <c r="I221" s="4">
        <v>33988</v>
      </c>
      <c r="J221" s="4">
        <v>4177</v>
      </c>
      <c r="K221" s="18">
        <v>37</v>
      </c>
      <c r="L221" s="18">
        <v>3801</v>
      </c>
      <c r="M221" s="18">
        <v>64</v>
      </c>
      <c r="N221" s="18">
        <v>0</v>
      </c>
      <c r="O221" s="18">
        <v>275</v>
      </c>
      <c r="P221" s="18">
        <v>0</v>
      </c>
      <c r="Q221" s="6">
        <v>0.12289631634694598</v>
      </c>
      <c r="R221" s="3">
        <v>0.123</v>
      </c>
      <c r="S221" s="6">
        <v>0.45873696889884624</v>
      </c>
      <c r="T221" s="25">
        <v>0.45900000000000002</v>
      </c>
      <c r="U221" s="7">
        <v>205</v>
      </c>
      <c r="V221" s="4">
        <v>34077</v>
      </c>
      <c r="W221" s="4">
        <v>3869</v>
      </c>
      <c r="X221" s="18">
        <v>87</v>
      </c>
      <c r="Y221" s="18">
        <v>3535</v>
      </c>
      <c r="Z221" s="18">
        <v>0</v>
      </c>
      <c r="AA221" s="18">
        <v>0</v>
      </c>
      <c r="AB221" s="18">
        <v>247</v>
      </c>
      <c r="AC221" s="18">
        <v>0</v>
      </c>
      <c r="AD221" s="6">
        <v>0.11353698975848812</v>
      </c>
      <c r="AE221" s="6">
        <v>0.114</v>
      </c>
      <c r="AF221" s="6">
        <v>0.4686303804671203</v>
      </c>
      <c r="AG221" s="6">
        <v>0.46800000000000003</v>
      </c>
      <c r="AH221" s="7">
        <v>195</v>
      </c>
    </row>
    <row r="222" spans="2:34" x14ac:dyDescent="0.25">
      <c r="B222" s="3">
        <v>218</v>
      </c>
      <c r="C222" s="3" t="s">
        <v>443</v>
      </c>
      <c r="D222" s="3" t="s">
        <v>444</v>
      </c>
      <c r="E222" s="3" t="s">
        <v>408</v>
      </c>
      <c r="F222" s="3">
        <v>9112</v>
      </c>
      <c r="G222" s="3">
        <v>9</v>
      </c>
      <c r="H222" s="3">
        <v>0.51200000000000001</v>
      </c>
      <c r="I222" s="4">
        <v>80656</v>
      </c>
      <c r="J222" s="4">
        <v>9032</v>
      </c>
      <c r="K222" s="18">
        <v>101</v>
      </c>
      <c r="L222" s="18">
        <v>6578</v>
      </c>
      <c r="M222" s="18">
        <v>1694</v>
      </c>
      <c r="N222" s="18">
        <v>0</v>
      </c>
      <c r="O222" s="18">
        <v>659</v>
      </c>
      <c r="P222" s="18">
        <v>0</v>
      </c>
      <c r="Q222" s="6">
        <v>0.11198174965284666</v>
      </c>
      <c r="R222" s="3">
        <v>0.112</v>
      </c>
      <c r="S222" s="6">
        <v>0.44748739522253833</v>
      </c>
      <c r="T222" s="25">
        <v>0.44700000000000001</v>
      </c>
      <c r="U222" s="7">
        <v>223</v>
      </c>
      <c r="V222" s="4">
        <v>84619</v>
      </c>
      <c r="W222" s="4">
        <v>8412</v>
      </c>
      <c r="X222" s="18">
        <v>275</v>
      </c>
      <c r="Y222" s="18">
        <v>5850</v>
      </c>
      <c r="Z222" s="18">
        <v>1652</v>
      </c>
      <c r="AA222" s="18">
        <v>0</v>
      </c>
      <c r="AB222" s="18">
        <v>635</v>
      </c>
      <c r="AC222" s="18">
        <v>0</v>
      </c>
      <c r="AD222" s="6">
        <v>9.9410297923634178E-2</v>
      </c>
      <c r="AE222" s="6">
        <v>9.9000000000000005E-2</v>
      </c>
      <c r="AF222" s="6">
        <v>0.45122889207724803</v>
      </c>
      <c r="AG222" s="6">
        <v>0.45200000000000001</v>
      </c>
      <c r="AH222" s="7">
        <v>218</v>
      </c>
    </row>
    <row r="223" spans="2:34" x14ac:dyDescent="0.25">
      <c r="B223" s="3">
        <v>219</v>
      </c>
      <c r="C223" s="3" t="s">
        <v>445</v>
      </c>
      <c r="D223" s="3" t="s">
        <v>446</v>
      </c>
      <c r="E223" s="3" t="s">
        <v>408</v>
      </c>
      <c r="F223" s="3">
        <v>9113</v>
      </c>
      <c r="G223" s="3">
        <v>9</v>
      </c>
      <c r="H223" s="3">
        <v>0.48199999999999998</v>
      </c>
      <c r="I223" s="4">
        <v>7438</v>
      </c>
      <c r="J223" s="4">
        <v>791</v>
      </c>
      <c r="K223" s="18">
        <v>27</v>
      </c>
      <c r="L223" s="18">
        <v>711</v>
      </c>
      <c r="M223" s="18">
        <v>0</v>
      </c>
      <c r="N223" s="18">
        <v>0</v>
      </c>
      <c r="O223" s="18">
        <v>53</v>
      </c>
      <c r="P223" s="18">
        <v>0</v>
      </c>
      <c r="Q223" s="6">
        <v>0.10634579187953751</v>
      </c>
      <c r="R223" s="3">
        <v>0.106</v>
      </c>
      <c r="S223" s="6">
        <v>0.44167844980268223</v>
      </c>
      <c r="T223" s="25">
        <v>0.442</v>
      </c>
      <c r="U223" s="7">
        <v>230</v>
      </c>
      <c r="V223" s="4">
        <v>7262</v>
      </c>
      <c r="W223" s="4">
        <v>713</v>
      </c>
      <c r="X223" s="18">
        <v>25</v>
      </c>
      <c r="Y223" s="18">
        <v>647</v>
      </c>
      <c r="Z223" s="18">
        <v>0</v>
      </c>
      <c r="AA223" s="18">
        <v>0</v>
      </c>
      <c r="AB223" s="18">
        <v>41</v>
      </c>
      <c r="AC223" s="18">
        <v>0</v>
      </c>
      <c r="AD223" s="6">
        <v>9.8182318920407602E-2</v>
      </c>
      <c r="AE223" s="6">
        <v>9.8000000000000004E-2</v>
      </c>
      <c r="AF223" s="6">
        <v>0.45006879285125656</v>
      </c>
      <c r="AG223" s="6">
        <v>0.45</v>
      </c>
      <c r="AH223" s="7">
        <v>222</v>
      </c>
    </row>
    <row r="224" spans="2:34" x14ac:dyDescent="0.25">
      <c r="B224" s="3">
        <v>220</v>
      </c>
      <c r="C224" s="3" t="s">
        <v>447</v>
      </c>
      <c r="D224" s="3" t="s">
        <v>448</v>
      </c>
      <c r="E224" s="3" t="s">
        <v>408</v>
      </c>
      <c r="F224" s="3">
        <v>9114</v>
      </c>
      <c r="G224" s="3">
        <v>9</v>
      </c>
      <c r="H224" s="3">
        <v>0.57399999999999995</v>
      </c>
      <c r="I224" s="4">
        <v>27041</v>
      </c>
      <c r="J224" s="4">
        <v>5031</v>
      </c>
      <c r="K224" s="18">
        <v>11</v>
      </c>
      <c r="L224" s="18">
        <v>4618</v>
      </c>
      <c r="M224" s="18">
        <v>71</v>
      </c>
      <c r="N224" s="18">
        <v>0</v>
      </c>
      <c r="O224" s="18">
        <v>331</v>
      </c>
      <c r="P224" s="18">
        <v>0</v>
      </c>
      <c r="Q224" s="6">
        <v>0.18605081173033541</v>
      </c>
      <c r="R224" s="3">
        <v>0.186</v>
      </c>
      <c r="S224" s="6">
        <v>0.52382990100668525</v>
      </c>
      <c r="T224" s="25">
        <v>0.52400000000000002</v>
      </c>
      <c r="U224" s="7">
        <v>132</v>
      </c>
      <c r="V224" s="4">
        <v>26499</v>
      </c>
      <c r="W224" s="4">
        <v>4770</v>
      </c>
      <c r="X224" s="18">
        <v>63</v>
      </c>
      <c r="Y224" s="18">
        <v>4452</v>
      </c>
      <c r="Z224" s="18">
        <v>0</v>
      </c>
      <c r="AA224" s="18">
        <v>0</v>
      </c>
      <c r="AB224" s="18">
        <v>255</v>
      </c>
      <c r="AC224" s="18">
        <v>0</v>
      </c>
      <c r="AD224" s="6">
        <v>0.18000679270915884</v>
      </c>
      <c r="AE224" s="6">
        <v>0.18</v>
      </c>
      <c r="AF224" s="6">
        <v>0.54519692938255837</v>
      </c>
      <c r="AG224" s="6">
        <v>0.54500000000000004</v>
      </c>
      <c r="AH224" s="7">
        <v>119</v>
      </c>
    </row>
    <row r="225" spans="2:34" x14ac:dyDescent="0.25">
      <c r="B225" s="3">
        <v>221</v>
      </c>
      <c r="C225" s="3" t="s">
        <v>449</v>
      </c>
      <c r="D225" s="3" t="s">
        <v>450</v>
      </c>
      <c r="E225" s="3" t="s">
        <v>408</v>
      </c>
      <c r="F225" s="3">
        <v>9115</v>
      </c>
      <c r="G225" s="3">
        <v>9</v>
      </c>
      <c r="H225" s="3">
        <v>0.53400000000000003</v>
      </c>
      <c r="I225" s="4">
        <v>32321</v>
      </c>
      <c r="J225" s="4">
        <v>6828</v>
      </c>
      <c r="K225" s="18">
        <v>10</v>
      </c>
      <c r="L225" s="18">
        <v>5818</v>
      </c>
      <c r="M225" s="18">
        <v>24</v>
      </c>
      <c r="N225" s="18">
        <v>0</v>
      </c>
      <c r="O225" s="18">
        <v>976</v>
      </c>
      <c r="P225" s="18">
        <v>0</v>
      </c>
      <c r="Q225" s="6">
        <v>0.21125583985644009</v>
      </c>
      <c r="R225" s="3">
        <v>0.21099999999999999</v>
      </c>
      <c r="S225" s="6">
        <v>0.54980856134794465</v>
      </c>
      <c r="T225" s="25">
        <v>0.55000000000000004</v>
      </c>
      <c r="U225" s="7">
        <v>110</v>
      </c>
      <c r="V225" s="4">
        <v>30508</v>
      </c>
      <c r="W225" s="4">
        <v>6406</v>
      </c>
      <c r="X225" s="18">
        <v>64</v>
      </c>
      <c r="Y225" s="18">
        <v>5572</v>
      </c>
      <c r="Z225" s="18">
        <v>0</v>
      </c>
      <c r="AA225" s="18">
        <v>0</v>
      </c>
      <c r="AB225" s="18">
        <v>770</v>
      </c>
      <c r="AC225" s="18">
        <v>0</v>
      </c>
      <c r="AD225" s="6">
        <v>0.20997771076438967</v>
      </c>
      <c r="AE225" s="6">
        <v>0.21</v>
      </c>
      <c r="AF225" s="6">
        <v>0.5799999061623029</v>
      </c>
      <c r="AG225" s="6">
        <v>0.57999999999999996</v>
      </c>
      <c r="AH225" s="7">
        <v>80</v>
      </c>
    </row>
    <row r="226" spans="2:34" x14ac:dyDescent="0.25">
      <c r="B226" s="3">
        <v>222</v>
      </c>
      <c r="C226" s="3" t="s">
        <v>451</v>
      </c>
      <c r="D226" s="3" t="s">
        <v>452</v>
      </c>
      <c r="E226" s="3" t="s">
        <v>408</v>
      </c>
      <c r="F226" s="3">
        <v>9208</v>
      </c>
      <c r="G226" s="3">
        <v>9</v>
      </c>
      <c r="H226" s="3">
        <v>0.45900000000000002</v>
      </c>
      <c r="I226" s="4">
        <v>12184</v>
      </c>
      <c r="J226" s="4">
        <v>1697</v>
      </c>
      <c r="K226" s="18">
        <v>17</v>
      </c>
      <c r="L226" s="18">
        <v>1635</v>
      </c>
      <c r="M226" s="18">
        <v>0</v>
      </c>
      <c r="N226" s="18">
        <v>0</v>
      </c>
      <c r="O226" s="18">
        <v>45</v>
      </c>
      <c r="P226" s="18">
        <v>0</v>
      </c>
      <c r="Q226" s="6">
        <v>0.13928102429415626</v>
      </c>
      <c r="R226" s="3">
        <v>0.13900000000000001</v>
      </c>
      <c r="S226" s="6">
        <v>0.47562458197436835</v>
      </c>
      <c r="T226" s="25">
        <v>0.47599999999999998</v>
      </c>
      <c r="U226" s="7">
        <v>193</v>
      </c>
      <c r="V226" s="4">
        <v>12118</v>
      </c>
      <c r="W226" s="4">
        <v>1570</v>
      </c>
      <c r="X226" s="18">
        <v>51</v>
      </c>
      <c r="Y226" s="18">
        <v>1478</v>
      </c>
      <c r="Z226" s="18">
        <v>0</v>
      </c>
      <c r="AA226" s="18">
        <v>0</v>
      </c>
      <c r="AB226" s="18">
        <v>41</v>
      </c>
      <c r="AC226" s="18">
        <v>0</v>
      </c>
      <c r="AD226" s="6">
        <v>0.12955933322330418</v>
      </c>
      <c r="AE226" s="6">
        <v>0.13</v>
      </c>
      <c r="AF226" s="6">
        <v>0.48719196808298409</v>
      </c>
      <c r="AG226" s="6">
        <v>0.48699999999999999</v>
      </c>
      <c r="AH226" s="7">
        <v>180</v>
      </c>
    </row>
    <row r="227" spans="2:34" x14ac:dyDescent="0.25">
      <c r="B227" s="3">
        <v>223</v>
      </c>
      <c r="C227" s="3" t="s">
        <v>453</v>
      </c>
      <c r="D227" s="3" t="s">
        <v>454</v>
      </c>
      <c r="E227" s="3" t="s">
        <v>408</v>
      </c>
      <c r="F227" s="3">
        <v>9209</v>
      </c>
      <c r="G227" s="3">
        <v>9</v>
      </c>
      <c r="H227" s="3">
        <v>0.41799999999999998</v>
      </c>
      <c r="I227" s="4">
        <v>10686</v>
      </c>
      <c r="J227" s="4">
        <v>1092</v>
      </c>
      <c r="K227" s="18">
        <v>50</v>
      </c>
      <c r="L227" s="18">
        <v>971</v>
      </c>
      <c r="M227" s="18">
        <v>0</v>
      </c>
      <c r="N227" s="18">
        <v>0</v>
      </c>
      <c r="O227" s="18">
        <v>71</v>
      </c>
      <c r="P227" s="18">
        <v>0</v>
      </c>
      <c r="Q227" s="6">
        <v>0.10218978102189781</v>
      </c>
      <c r="R227" s="3">
        <v>0.10199999999999999</v>
      </c>
      <c r="S227" s="6">
        <v>0.43739487614805156</v>
      </c>
      <c r="T227" s="25">
        <v>0.437</v>
      </c>
      <c r="U227" s="7">
        <v>235</v>
      </c>
      <c r="V227" s="4">
        <v>10964</v>
      </c>
      <c r="W227" s="4">
        <v>888</v>
      </c>
      <c r="X227" s="18">
        <v>76</v>
      </c>
      <c r="Y227" s="18">
        <v>767</v>
      </c>
      <c r="Z227" s="18">
        <v>0</v>
      </c>
      <c r="AA227" s="18">
        <v>0</v>
      </c>
      <c r="AB227" s="18">
        <v>45</v>
      </c>
      <c r="AC227" s="18">
        <v>0</v>
      </c>
      <c r="AD227" s="6">
        <v>8.0992338562568406E-2</v>
      </c>
      <c r="AE227" s="6">
        <v>8.1000000000000003E-2</v>
      </c>
      <c r="AF227" s="6">
        <v>0.43034710600940129</v>
      </c>
      <c r="AG227" s="6">
        <v>0.43099999999999999</v>
      </c>
      <c r="AH227" s="7">
        <v>240</v>
      </c>
    </row>
    <row r="228" spans="2:34" x14ac:dyDescent="0.25">
      <c r="B228" s="3">
        <v>224</v>
      </c>
      <c r="C228" s="3" t="s">
        <v>455</v>
      </c>
      <c r="D228" s="3" t="s">
        <v>456</v>
      </c>
      <c r="E228" s="3" t="s">
        <v>408</v>
      </c>
      <c r="F228" s="3">
        <v>9116</v>
      </c>
      <c r="G228" s="3">
        <v>9</v>
      </c>
      <c r="H228" s="3">
        <v>0.47399999999999998</v>
      </c>
      <c r="I228" s="4">
        <v>12877</v>
      </c>
      <c r="J228" s="4">
        <v>473</v>
      </c>
      <c r="K228" s="18">
        <v>2</v>
      </c>
      <c r="L228" s="18">
        <v>428</v>
      </c>
      <c r="M228" s="18">
        <v>0</v>
      </c>
      <c r="N228" s="18">
        <v>0</v>
      </c>
      <c r="O228" s="18">
        <v>43</v>
      </c>
      <c r="P228" s="18">
        <v>0</v>
      </c>
      <c r="Q228" s="6">
        <v>3.6732158111361345E-2</v>
      </c>
      <c r="R228" s="3">
        <v>3.6999999999999998E-2</v>
      </c>
      <c r="S228" s="6">
        <v>0.36992812531440084</v>
      </c>
      <c r="T228" s="25">
        <v>0.37</v>
      </c>
      <c r="U228" s="7">
        <v>317</v>
      </c>
      <c r="V228" s="4">
        <v>12693</v>
      </c>
      <c r="W228" s="4">
        <v>430</v>
      </c>
      <c r="X228" s="18">
        <v>7</v>
      </c>
      <c r="Y228" s="18">
        <v>404</v>
      </c>
      <c r="Z228" s="18">
        <v>0</v>
      </c>
      <c r="AA228" s="18">
        <v>0</v>
      </c>
      <c r="AB228" s="18">
        <v>19</v>
      </c>
      <c r="AC228" s="18">
        <v>0</v>
      </c>
      <c r="AD228" s="6">
        <v>3.3876940045694477E-2</v>
      </c>
      <c r="AE228" s="6">
        <v>3.4000000000000002E-2</v>
      </c>
      <c r="AF228" s="6">
        <v>0.37582244238780149</v>
      </c>
      <c r="AG228" s="6">
        <v>0.376</v>
      </c>
      <c r="AH228" s="7">
        <v>312</v>
      </c>
    </row>
    <row r="229" spans="2:34" x14ac:dyDescent="0.25">
      <c r="B229" s="3">
        <v>225</v>
      </c>
      <c r="C229" s="3" t="s">
        <v>457</v>
      </c>
      <c r="D229" s="3" t="s">
        <v>458</v>
      </c>
      <c r="E229" s="3" t="s">
        <v>408</v>
      </c>
      <c r="F229" s="3">
        <v>9101</v>
      </c>
      <c r="G229" s="3">
        <v>9</v>
      </c>
      <c r="H229" s="3">
        <v>0.63700000000000001</v>
      </c>
      <c r="I229" s="4">
        <v>292518</v>
      </c>
      <c r="J229" s="4">
        <v>88619</v>
      </c>
      <c r="K229" s="18">
        <v>321</v>
      </c>
      <c r="L229" s="18">
        <v>68651</v>
      </c>
      <c r="M229" s="18">
        <v>18604</v>
      </c>
      <c r="N229" s="18">
        <v>0</v>
      </c>
      <c r="O229" s="18">
        <v>1043</v>
      </c>
      <c r="P229" s="18">
        <v>0</v>
      </c>
      <c r="Q229" s="6">
        <v>0.30295229695266618</v>
      </c>
      <c r="R229" s="3">
        <v>0.30299999999999999</v>
      </c>
      <c r="S229" s="6">
        <v>0.64431950977781516</v>
      </c>
      <c r="T229" s="25">
        <v>0.64400000000000002</v>
      </c>
      <c r="U229" s="7">
        <v>29</v>
      </c>
      <c r="V229" s="4">
        <v>308175</v>
      </c>
      <c r="W229" s="4">
        <v>85431</v>
      </c>
      <c r="X229" s="18">
        <v>967</v>
      </c>
      <c r="Y229" s="18">
        <v>65362</v>
      </c>
      <c r="Z229" s="18">
        <v>18151</v>
      </c>
      <c r="AA229" s="18">
        <v>2</v>
      </c>
      <c r="AB229" s="18">
        <v>949</v>
      </c>
      <c r="AC229" s="18">
        <v>0</v>
      </c>
      <c r="AD229" s="6">
        <v>0.27721586760769046</v>
      </c>
      <c r="AE229" s="6">
        <v>0.27700000000000002</v>
      </c>
      <c r="AF229" s="6">
        <v>0.65772655430373239</v>
      </c>
      <c r="AG229" s="6">
        <v>0.65800000000000003</v>
      </c>
      <c r="AH229" s="7">
        <v>21</v>
      </c>
    </row>
    <row r="230" spans="2:34" x14ac:dyDescent="0.25">
      <c r="B230" s="3">
        <v>226</v>
      </c>
      <c r="C230" s="3" t="s">
        <v>459</v>
      </c>
      <c r="D230" s="3" t="s">
        <v>460</v>
      </c>
      <c r="E230" s="3" t="s">
        <v>408</v>
      </c>
      <c r="F230" s="3">
        <v>9117</v>
      </c>
      <c r="G230" s="3">
        <v>9</v>
      </c>
      <c r="H230" s="3"/>
      <c r="I230" s="4">
        <v>15639</v>
      </c>
      <c r="J230" s="4">
        <v>1236</v>
      </c>
      <c r="K230" s="18">
        <v>30</v>
      </c>
      <c r="L230" s="18">
        <v>1066</v>
      </c>
      <c r="M230" s="18">
        <v>0</v>
      </c>
      <c r="N230" s="18">
        <v>0</v>
      </c>
      <c r="O230" s="18">
        <v>140</v>
      </c>
      <c r="P230" s="18">
        <v>0</v>
      </c>
      <c r="Q230" s="6">
        <v>7.903318626510647E-2</v>
      </c>
      <c r="R230" s="3">
        <v>7.9000000000000001E-2</v>
      </c>
      <c r="S230" s="6">
        <v>0.41352752290261641</v>
      </c>
      <c r="T230" s="25">
        <v>0.41399999999999998</v>
      </c>
      <c r="U230" s="7">
        <v>265</v>
      </c>
      <c r="V230" s="4">
        <v>15759</v>
      </c>
      <c r="W230" s="4">
        <v>1066</v>
      </c>
      <c r="X230" s="18">
        <v>35</v>
      </c>
      <c r="Y230" s="18">
        <v>924</v>
      </c>
      <c r="Z230" s="18">
        <v>0</v>
      </c>
      <c r="AA230" s="18">
        <v>0</v>
      </c>
      <c r="AB230" s="18">
        <v>107</v>
      </c>
      <c r="AC230" s="18">
        <v>0</v>
      </c>
      <c r="AD230" s="6">
        <v>6.7643886033377759E-2</v>
      </c>
      <c r="AE230" s="6">
        <v>6.8000000000000005E-2</v>
      </c>
      <c r="AF230" s="6">
        <v>0.41526581607151197</v>
      </c>
      <c r="AG230" s="6">
        <v>0.41499999999999998</v>
      </c>
      <c r="AH230" s="7">
        <v>260</v>
      </c>
    </row>
    <row r="231" spans="2:34" x14ac:dyDescent="0.25">
      <c r="B231" s="3">
        <v>227</v>
      </c>
      <c r="C231" s="3" t="s">
        <v>461</v>
      </c>
      <c r="D231" s="3" t="s">
        <v>462</v>
      </c>
      <c r="E231" s="3" t="s">
        <v>408</v>
      </c>
      <c r="F231" s="3">
        <v>9118</v>
      </c>
      <c r="G231" s="3">
        <v>9</v>
      </c>
      <c r="H231" s="3">
        <v>0.39700000000000002</v>
      </c>
      <c r="I231" s="4">
        <v>10041</v>
      </c>
      <c r="J231" s="4">
        <v>595</v>
      </c>
      <c r="K231" s="18">
        <v>37</v>
      </c>
      <c r="L231" s="18">
        <v>459</v>
      </c>
      <c r="M231" s="18">
        <v>0</v>
      </c>
      <c r="N231" s="18">
        <v>0</v>
      </c>
      <c r="O231" s="18">
        <v>99</v>
      </c>
      <c r="P231" s="18">
        <v>0</v>
      </c>
      <c r="Q231" s="6">
        <v>5.9257046110945122E-2</v>
      </c>
      <c r="R231" s="3">
        <v>5.8999999999999997E-2</v>
      </c>
      <c r="S231" s="6">
        <v>0.3931443824690613</v>
      </c>
      <c r="T231" s="25">
        <v>0.39300000000000002</v>
      </c>
      <c r="U231" s="7">
        <v>292</v>
      </c>
      <c r="V231" s="4">
        <v>9966</v>
      </c>
      <c r="W231" s="4">
        <v>507</v>
      </c>
      <c r="X231" s="18">
        <v>40</v>
      </c>
      <c r="Y231" s="18">
        <v>405</v>
      </c>
      <c r="Z231" s="18">
        <v>0</v>
      </c>
      <c r="AA231" s="18">
        <v>0</v>
      </c>
      <c r="AB231" s="18">
        <v>62</v>
      </c>
      <c r="AC231" s="18">
        <v>0</v>
      </c>
      <c r="AD231" s="6">
        <v>5.0872968091511137E-2</v>
      </c>
      <c r="AE231" s="6">
        <v>5.0999999999999997E-2</v>
      </c>
      <c r="AF231" s="6">
        <v>0.3955441292296567</v>
      </c>
      <c r="AG231" s="6">
        <v>0.39600000000000002</v>
      </c>
      <c r="AH231" s="7">
        <v>288</v>
      </c>
    </row>
    <row r="232" spans="2:34" x14ac:dyDescent="0.25">
      <c r="B232" s="3">
        <v>228</v>
      </c>
      <c r="C232" s="3" t="s">
        <v>463</v>
      </c>
      <c r="D232" s="3" t="s">
        <v>464</v>
      </c>
      <c r="E232" s="3" t="s">
        <v>408</v>
      </c>
      <c r="F232" s="3">
        <v>9210</v>
      </c>
      <c r="G232" s="3">
        <v>9</v>
      </c>
      <c r="H232" s="3">
        <v>0.55200000000000005</v>
      </c>
      <c r="I232" s="4">
        <v>18873</v>
      </c>
      <c r="J232" s="4">
        <v>3035</v>
      </c>
      <c r="K232" s="18">
        <v>63</v>
      </c>
      <c r="L232" s="18">
        <v>2882</v>
      </c>
      <c r="M232" s="18">
        <v>0</v>
      </c>
      <c r="N232" s="18">
        <v>0</v>
      </c>
      <c r="O232" s="18">
        <v>90</v>
      </c>
      <c r="P232" s="18">
        <v>0</v>
      </c>
      <c r="Q232" s="6">
        <v>0.16081174164149845</v>
      </c>
      <c r="R232" s="3">
        <v>0.161</v>
      </c>
      <c r="S232" s="6">
        <v>0.49781615383343558</v>
      </c>
      <c r="T232" s="25">
        <v>0.498</v>
      </c>
      <c r="U232" s="7">
        <v>165</v>
      </c>
      <c r="V232" s="4">
        <v>19287</v>
      </c>
      <c r="W232" s="4">
        <v>2877</v>
      </c>
      <c r="X232" s="18">
        <v>170</v>
      </c>
      <c r="Y232" s="18">
        <v>2634</v>
      </c>
      <c r="Z232" s="18">
        <v>0</v>
      </c>
      <c r="AA232" s="18">
        <v>0</v>
      </c>
      <c r="AB232" s="18">
        <v>73</v>
      </c>
      <c r="AC232" s="18">
        <v>0</v>
      </c>
      <c r="AD232" s="6">
        <v>0.14916783325556074</v>
      </c>
      <c r="AE232" s="6">
        <v>0.14899999999999999</v>
      </c>
      <c r="AF232" s="6">
        <v>0.50923385337682225</v>
      </c>
      <c r="AG232" s="6">
        <v>0.50900000000000001</v>
      </c>
      <c r="AH232" s="7">
        <v>152</v>
      </c>
    </row>
    <row r="233" spans="2:34" x14ac:dyDescent="0.25">
      <c r="B233" s="3">
        <v>229</v>
      </c>
      <c r="C233" s="3" t="s">
        <v>465</v>
      </c>
      <c r="D233" s="3" t="s">
        <v>466</v>
      </c>
      <c r="E233" s="3" t="s">
        <v>408</v>
      </c>
      <c r="F233" s="3">
        <v>9211</v>
      </c>
      <c r="G233" s="3">
        <v>9</v>
      </c>
      <c r="H233" s="3">
        <v>0.54600000000000004</v>
      </c>
      <c r="I233" s="4">
        <v>34464</v>
      </c>
      <c r="J233" s="4">
        <v>7531</v>
      </c>
      <c r="K233" s="18">
        <v>12</v>
      </c>
      <c r="L233" s="18">
        <v>7129</v>
      </c>
      <c r="M233" s="18">
        <v>84</v>
      </c>
      <c r="N233" s="18">
        <v>0</v>
      </c>
      <c r="O233" s="18">
        <v>306</v>
      </c>
      <c r="P233" s="18">
        <v>0</v>
      </c>
      <c r="Q233" s="6">
        <v>0.21851787372330547</v>
      </c>
      <c r="R233" s="3">
        <v>0.219</v>
      </c>
      <c r="S233" s="6">
        <v>0.55729349293659958</v>
      </c>
      <c r="T233" s="25">
        <v>0.55700000000000005</v>
      </c>
      <c r="U233" s="7">
        <v>104</v>
      </c>
      <c r="V233" s="4">
        <v>35541</v>
      </c>
      <c r="W233" s="4">
        <v>7267</v>
      </c>
      <c r="X233" s="18">
        <v>88</v>
      </c>
      <c r="Y233" s="18">
        <v>6916</v>
      </c>
      <c r="Z233" s="18">
        <v>0</v>
      </c>
      <c r="AA233" s="18">
        <v>0</v>
      </c>
      <c r="AB233" s="18">
        <v>263</v>
      </c>
      <c r="AC233" s="18">
        <v>0</v>
      </c>
      <c r="AD233" s="6">
        <v>0.20446807911988971</v>
      </c>
      <c r="AE233" s="6">
        <v>0.20399999999999999</v>
      </c>
      <c r="AF233" s="6">
        <v>0.57303931080635395</v>
      </c>
      <c r="AG233" s="6">
        <v>0.57399999999999995</v>
      </c>
      <c r="AH233" s="7">
        <v>90</v>
      </c>
    </row>
    <row r="234" spans="2:34" x14ac:dyDescent="0.25">
      <c r="B234" s="3">
        <v>230</v>
      </c>
      <c r="C234" s="3" t="s">
        <v>467</v>
      </c>
      <c r="D234" s="3" t="s">
        <v>468</v>
      </c>
      <c r="E234" s="3" t="s">
        <v>408</v>
      </c>
      <c r="F234" s="3">
        <v>9119</v>
      </c>
      <c r="G234" s="3">
        <v>9</v>
      </c>
      <c r="H234" s="3">
        <v>0.45700000000000002</v>
      </c>
      <c r="I234" s="4">
        <v>31575</v>
      </c>
      <c r="J234" s="4">
        <v>3255</v>
      </c>
      <c r="K234" s="18">
        <v>60</v>
      </c>
      <c r="L234" s="18">
        <v>2383</v>
      </c>
      <c r="M234" s="18">
        <v>521</v>
      </c>
      <c r="N234" s="18">
        <v>0</v>
      </c>
      <c r="O234" s="18">
        <v>291</v>
      </c>
      <c r="P234" s="18">
        <v>0</v>
      </c>
      <c r="Q234" s="6">
        <v>0.10308788598574822</v>
      </c>
      <c r="R234" s="3">
        <v>0.10299999999999999</v>
      </c>
      <c r="S234" s="6">
        <v>0.43832054715662722</v>
      </c>
      <c r="T234" s="25">
        <v>0.438</v>
      </c>
      <c r="U234" s="7">
        <v>234</v>
      </c>
      <c r="V234" s="4">
        <v>32238</v>
      </c>
      <c r="W234" s="4">
        <v>2953</v>
      </c>
      <c r="X234" s="18">
        <v>64</v>
      </c>
      <c r="Y234" s="18">
        <v>2195</v>
      </c>
      <c r="Z234" s="18">
        <v>471</v>
      </c>
      <c r="AA234" s="18">
        <v>0</v>
      </c>
      <c r="AB234" s="18">
        <v>223</v>
      </c>
      <c r="AC234" s="18">
        <v>0</v>
      </c>
      <c r="AD234" s="6">
        <v>9.1599975184564794E-2</v>
      </c>
      <c r="AE234" s="6">
        <v>9.1999999999999998E-2</v>
      </c>
      <c r="AF234" s="6">
        <v>0.44310819749530761</v>
      </c>
      <c r="AG234" s="6">
        <v>0.443</v>
      </c>
      <c r="AH234" s="7">
        <v>230</v>
      </c>
    </row>
    <row r="235" spans="2:34" x14ac:dyDescent="0.25">
      <c r="B235" s="3">
        <v>231</v>
      </c>
      <c r="C235" s="3" t="s">
        <v>469</v>
      </c>
      <c r="D235" s="3" t="s">
        <v>470</v>
      </c>
      <c r="E235" s="3" t="s">
        <v>408</v>
      </c>
      <c r="F235" s="3">
        <v>9120</v>
      </c>
      <c r="G235" s="3">
        <v>9</v>
      </c>
      <c r="H235" s="3">
        <v>0.56599999999999995</v>
      </c>
      <c r="I235" s="4">
        <v>67737</v>
      </c>
      <c r="J235" s="4">
        <v>15431</v>
      </c>
      <c r="K235" s="18">
        <v>67</v>
      </c>
      <c r="L235" s="18">
        <v>13977</v>
      </c>
      <c r="M235" s="18">
        <v>84</v>
      </c>
      <c r="N235" s="18">
        <v>0</v>
      </c>
      <c r="O235" s="18">
        <v>1303</v>
      </c>
      <c r="P235" s="18">
        <v>0</v>
      </c>
      <c r="Q235" s="6">
        <v>0.22780754978815124</v>
      </c>
      <c r="R235" s="3">
        <v>0.22800000000000001</v>
      </c>
      <c r="S235" s="6">
        <v>0.56686830229453911</v>
      </c>
      <c r="T235" s="25">
        <v>0.56699999999999995</v>
      </c>
      <c r="U235" s="7">
        <v>94</v>
      </c>
      <c r="V235" s="4">
        <v>60327</v>
      </c>
      <c r="W235" s="4">
        <v>14363</v>
      </c>
      <c r="X235" s="18">
        <v>171</v>
      </c>
      <c r="Y235" s="18">
        <v>13184</v>
      </c>
      <c r="Z235" s="18">
        <v>0</v>
      </c>
      <c r="AA235" s="18">
        <v>0</v>
      </c>
      <c r="AB235" s="18">
        <v>1008</v>
      </c>
      <c r="AC235" s="18">
        <v>0</v>
      </c>
      <c r="AD235" s="6">
        <v>0.23808576590912858</v>
      </c>
      <c r="AE235" s="6">
        <v>0.23799999999999999</v>
      </c>
      <c r="AF235" s="6">
        <v>0.61248268449006449</v>
      </c>
      <c r="AG235" s="6">
        <v>0.61299999999999999</v>
      </c>
      <c r="AH235" s="7">
        <v>50</v>
      </c>
    </row>
    <row r="236" spans="2:34" x14ac:dyDescent="0.25">
      <c r="B236" s="3">
        <v>232</v>
      </c>
      <c r="C236" s="3" t="s">
        <v>471</v>
      </c>
      <c r="D236" s="3" t="s">
        <v>472</v>
      </c>
      <c r="E236" s="3" t="s">
        <v>473</v>
      </c>
      <c r="F236" s="3">
        <v>14102</v>
      </c>
      <c r="G236" s="3">
        <v>14</v>
      </c>
      <c r="H236" s="3">
        <v>0.375</v>
      </c>
      <c r="I236" s="4">
        <v>5501</v>
      </c>
      <c r="J236" s="4">
        <v>359</v>
      </c>
      <c r="K236" s="18">
        <v>10</v>
      </c>
      <c r="L236" s="18">
        <v>311</v>
      </c>
      <c r="M236" s="18">
        <v>0</v>
      </c>
      <c r="N236" s="18">
        <v>0</v>
      </c>
      <c r="O236" s="18">
        <v>38</v>
      </c>
      <c r="P236" s="18">
        <v>0</v>
      </c>
      <c r="Q236" s="6">
        <v>6.5260861661516081E-2</v>
      </c>
      <c r="R236" s="3">
        <v>6.5000000000000002E-2</v>
      </c>
      <c r="S236" s="6">
        <v>0.39933247653344822</v>
      </c>
      <c r="T236" s="25">
        <v>0.39900000000000002</v>
      </c>
      <c r="U236" s="7">
        <v>287</v>
      </c>
      <c r="V236" s="4">
        <v>5432</v>
      </c>
      <c r="W236" s="4">
        <v>355</v>
      </c>
      <c r="X236" s="18">
        <v>22</v>
      </c>
      <c r="Y236" s="18">
        <v>307</v>
      </c>
      <c r="Z236" s="18">
        <v>0</v>
      </c>
      <c r="AA236" s="18">
        <v>0</v>
      </c>
      <c r="AB236" s="18">
        <v>26</v>
      </c>
      <c r="AC236" s="18">
        <v>0</v>
      </c>
      <c r="AD236" s="6">
        <v>6.5353460972017677E-2</v>
      </c>
      <c r="AE236" s="6">
        <v>6.5000000000000002E-2</v>
      </c>
      <c r="AF236" s="6">
        <v>0.4117855183935375</v>
      </c>
      <c r="AG236" s="6">
        <v>0.41199999999999998</v>
      </c>
      <c r="AH236" s="7">
        <v>263</v>
      </c>
    </row>
    <row r="237" spans="2:34" x14ac:dyDescent="0.25">
      <c r="B237" s="3">
        <v>233</v>
      </c>
      <c r="C237" s="3" t="s">
        <v>474</v>
      </c>
      <c r="D237" s="3" t="s">
        <v>475</v>
      </c>
      <c r="E237" s="3" t="s">
        <v>473</v>
      </c>
      <c r="F237" s="3">
        <v>14202</v>
      </c>
      <c r="G237" s="3">
        <v>14</v>
      </c>
      <c r="H237" s="3">
        <v>0.51100000000000001</v>
      </c>
      <c r="I237" s="4">
        <v>15635</v>
      </c>
      <c r="J237" s="4">
        <v>1075</v>
      </c>
      <c r="K237" s="18">
        <v>16</v>
      </c>
      <c r="L237" s="18">
        <v>739</v>
      </c>
      <c r="M237" s="18">
        <v>0</v>
      </c>
      <c r="N237" s="18">
        <v>0</v>
      </c>
      <c r="O237" s="18">
        <v>320</v>
      </c>
      <c r="P237" s="18">
        <v>0</v>
      </c>
      <c r="Q237" s="6">
        <v>6.8755996162456035E-2</v>
      </c>
      <c r="R237" s="3">
        <v>6.9000000000000006E-2</v>
      </c>
      <c r="S237" s="6">
        <v>0.40293488917876069</v>
      </c>
      <c r="T237" s="25">
        <v>0.40300000000000002</v>
      </c>
      <c r="U237" s="7">
        <v>280</v>
      </c>
      <c r="V237" s="4">
        <v>15211</v>
      </c>
      <c r="W237" s="4">
        <v>974</v>
      </c>
      <c r="X237" s="18">
        <v>23</v>
      </c>
      <c r="Y237" s="18">
        <v>752</v>
      </c>
      <c r="Z237" s="18">
        <v>0</v>
      </c>
      <c r="AA237" s="18">
        <v>0</v>
      </c>
      <c r="AB237" s="18">
        <v>199</v>
      </c>
      <c r="AC237" s="18">
        <v>0</v>
      </c>
      <c r="AD237" s="6">
        <v>6.4032607981066331E-2</v>
      </c>
      <c r="AE237" s="6">
        <v>6.4000000000000001E-2</v>
      </c>
      <c r="AF237" s="6">
        <v>0.41062541916754602</v>
      </c>
      <c r="AG237" s="6">
        <v>0.41099999999999998</v>
      </c>
      <c r="AH237" s="7">
        <v>264</v>
      </c>
    </row>
    <row r="238" spans="2:34" x14ac:dyDescent="0.25">
      <c r="B238" s="3">
        <v>234</v>
      </c>
      <c r="C238" s="3" t="s">
        <v>476</v>
      </c>
      <c r="D238" s="3" t="s">
        <v>477</v>
      </c>
      <c r="E238" s="3" t="s">
        <v>473</v>
      </c>
      <c r="F238" s="3">
        <v>14201</v>
      </c>
      <c r="G238" s="3">
        <v>14</v>
      </c>
      <c r="H238" s="3">
        <v>0.56699999999999995</v>
      </c>
      <c r="I238" s="4">
        <v>38907</v>
      </c>
      <c r="J238" s="4">
        <v>8226</v>
      </c>
      <c r="K238" s="18">
        <v>6</v>
      </c>
      <c r="L238" s="18">
        <v>7712</v>
      </c>
      <c r="M238" s="18">
        <v>71</v>
      </c>
      <c r="N238" s="18">
        <v>0</v>
      </c>
      <c r="O238" s="18">
        <v>437</v>
      </c>
      <c r="P238" s="18">
        <v>0</v>
      </c>
      <c r="Q238" s="6">
        <v>0.21142724959518852</v>
      </c>
      <c r="R238" s="3">
        <v>0.21099999999999999</v>
      </c>
      <c r="S238" s="6">
        <v>0.54998523226296403</v>
      </c>
      <c r="T238" s="25">
        <v>0.55000000000000004</v>
      </c>
      <c r="U238" s="7">
        <v>109</v>
      </c>
      <c r="V238" s="4">
        <v>39668</v>
      </c>
      <c r="W238" s="4">
        <v>7900</v>
      </c>
      <c r="X238" s="18">
        <v>20</v>
      </c>
      <c r="Y238" s="18">
        <v>7536</v>
      </c>
      <c r="Z238" s="18">
        <v>14</v>
      </c>
      <c r="AA238" s="18">
        <v>0</v>
      </c>
      <c r="AB238" s="18">
        <v>330</v>
      </c>
      <c r="AC238" s="18">
        <v>0</v>
      </c>
      <c r="AD238" s="6">
        <v>0.19915296964807905</v>
      </c>
      <c r="AE238" s="6">
        <v>0.19900000000000001</v>
      </c>
      <c r="AF238" s="6">
        <v>0.56723881467639659</v>
      </c>
      <c r="AG238" s="6">
        <v>0.56699999999999995</v>
      </c>
      <c r="AH238" s="7">
        <v>96</v>
      </c>
    </row>
    <row r="239" spans="2:34" x14ac:dyDescent="0.25">
      <c r="B239" s="3">
        <v>235</v>
      </c>
      <c r="C239" s="3" t="s">
        <v>478</v>
      </c>
      <c r="D239" s="3" t="s">
        <v>479</v>
      </c>
      <c r="E239" s="3" t="s">
        <v>473</v>
      </c>
      <c r="F239" s="3">
        <v>14203</v>
      </c>
      <c r="G239" s="3">
        <v>14</v>
      </c>
      <c r="H239" s="3">
        <v>0.47199999999999998</v>
      </c>
      <c r="I239" s="4">
        <v>10527</v>
      </c>
      <c r="J239" s="4">
        <v>557</v>
      </c>
      <c r="K239" s="18">
        <v>4</v>
      </c>
      <c r="L239" s="18">
        <v>272</v>
      </c>
      <c r="M239" s="18">
        <v>0</v>
      </c>
      <c r="N239" s="18">
        <v>0</v>
      </c>
      <c r="O239" s="18">
        <v>281</v>
      </c>
      <c r="P239" s="18">
        <v>0</v>
      </c>
      <c r="Q239" s="6">
        <v>5.2911560748551342E-2</v>
      </c>
      <c r="R239" s="3">
        <v>5.2999999999999999E-2</v>
      </c>
      <c r="S239" s="6">
        <v>0.38660413152764972</v>
      </c>
      <c r="T239" s="25">
        <v>0.38700000000000001</v>
      </c>
      <c r="U239" s="7">
        <v>301</v>
      </c>
      <c r="V239" s="4">
        <v>10280</v>
      </c>
      <c r="W239" s="4">
        <v>451</v>
      </c>
      <c r="X239" s="18">
        <v>5</v>
      </c>
      <c r="Y239" s="18">
        <v>278</v>
      </c>
      <c r="Z239" s="18">
        <v>0</v>
      </c>
      <c r="AA239" s="18">
        <v>0</v>
      </c>
      <c r="AB239" s="18">
        <v>168</v>
      </c>
      <c r="AC239" s="18">
        <v>0</v>
      </c>
      <c r="AD239" s="6">
        <v>4.3871595330739296E-2</v>
      </c>
      <c r="AE239" s="6">
        <v>4.3999999999999997E-2</v>
      </c>
      <c r="AF239" s="6">
        <v>0.38742343464771634</v>
      </c>
      <c r="AG239" s="6">
        <v>0.38800000000000001</v>
      </c>
      <c r="AH239" s="7">
        <v>295</v>
      </c>
    </row>
    <row r="240" spans="2:34" x14ac:dyDescent="0.25">
      <c r="B240" s="3">
        <v>236</v>
      </c>
      <c r="C240" s="3" t="s">
        <v>480</v>
      </c>
      <c r="D240" s="3" t="s">
        <v>481</v>
      </c>
      <c r="E240" s="3" t="s">
        <v>473</v>
      </c>
      <c r="F240" s="3">
        <v>14103</v>
      </c>
      <c r="G240" s="3">
        <v>14</v>
      </c>
      <c r="H240" s="3">
        <v>0.54200000000000004</v>
      </c>
      <c r="I240" s="4">
        <v>16876</v>
      </c>
      <c r="J240" s="4">
        <v>2531</v>
      </c>
      <c r="K240" s="18">
        <v>6</v>
      </c>
      <c r="L240" s="18">
        <v>2427</v>
      </c>
      <c r="M240" s="18">
        <v>0</v>
      </c>
      <c r="N240" s="18">
        <v>0</v>
      </c>
      <c r="O240" s="18">
        <v>98</v>
      </c>
      <c r="P240" s="18">
        <v>0</v>
      </c>
      <c r="Q240" s="6">
        <v>0.14997629770087698</v>
      </c>
      <c r="R240" s="3">
        <v>0.15</v>
      </c>
      <c r="S240" s="6">
        <v>0.48664813147012692</v>
      </c>
      <c r="T240" s="25">
        <v>0.48699999999999999</v>
      </c>
      <c r="U240" s="7">
        <v>181</v>
      </c>
      <c r="V240" s="4">
        <v>17957</v>
      </c>
      <c r="W240" s="4">
        <v>2381</v>
      </c>
      <c r="X240" s="18">
        <v>15</v>
      </c>
      <c r="Y240" s="18">
        <v>2302</v>
      </c>
      <c r="Z240" s="18">
        <v>0</v>
      </c>
      <c r="AA240" s="18">
        <v>0</v>
      </c>
      <c r="AB240" s="18">
        <v>64</v>
      </c>
      <c r="AC240" s="18">
        <v>0</v>
      </c>
      <c r="AD240" s="6">
        <v>0.13259453138052013</v>
      </c>
      <c r="AE240" s="6">
        <v>0.13300000000000001</v>
      </c>
      <c r="AF240" s="6">
        <v>0.49067226576095851</v>
      </c>
      <c r="AG240" s="6">
        <v>0.49</v>
      </c>
      <c r="AH240" s="7">
        <v>174</v>
      </c>
    </row>
    <row r="241" spans="2:34" x14ac:dyDescent="0.25">
      <c r="B241" s="3">
        <v>237</v>
      </c>
      <c r="C241" s="3" t="s">
        <v>482</v>
      </c>
      <c r="D241" s="3" t="s">
        <v>483</v>
      </c>
      <c r="E241" s="3" t="s">
        <v>473</v>
      </c>
      <c r="F241" s="3">
        <v>14104</v>
      </c>
      <c r="G241" s="3">
        <v>14</v>
      </c>
      <c r="H241" s="3">
        <v>0.47599999999999998</v>
      </c>
      <c r="I241" s="4">
        <v>21431</v>
      </c>
      <c r="J241" s="4">
        <v>2141</v>
      </c>
      <c r="K241" s="18">
        <v>3</v>
      </c>
      <c r="L241" s="18">
        <v>1742</v>
      </c>
      <c r="M241" s="18">
        <v>0</v>
      </c>
      <c r="N241" s="18">
        <v>0</v>
      </c>
      <c r="O241" s="18">
        <v>396</v>
      </c>
      <c r="P241" s="18">
        <v>0</v>
      </c>
      <c r="Q241" s="6">
        <v>9.9902011105408056E-2</v>
      </c>
      <c r="R241" s="3">
        <v>0.1</v>
      </c>
      <c r="S241" s="6">
        <v>0.43503688641274618</v>
      </c>
      <c r="T241" s="25">
        <v>0.435</v>
      </c>
      <c r="U241" s="7">
        <v>238</v>
      </c>
      <c r="V241" s="4">
        <v>20523</v>
      </c>
      <c r="W241" s="4">
        <v>2007</v>
      </c>
      <c r="X241" s="18">
        <v>7</v>
      </c>
      <c r="Y241" s="18">
        <v>1711</v>
      </c>
      <c r="Z241" s="18">
        <v>0</v>
      </c>
      <c r="AA241" s="18">
        <v>1</v>
      </c>
      <c r="AB241" s="18">
        <v>288</v>
      </c>
      <c r="AC241" s="18">
        <v>0</v>
      </c>
      <c r="AD241" s="6">
        <v>9.7792720362520097E-2</v>
      </c>
      <c r="AE241" s="6">
        <v>9.8000000000000004E-2</v>
      </c>
      <c r="AF241" s="6">
        <v>0.45006879285125656</v>
      </c>
      <c r="AG241" s="6">
        <v>0.45</v>
      </c>
      <c r="AH241" s="7">
        <v>221</v>
      </c>
    </row>
    <row r="242" spans="2:34" x14ac:dyDescent="0.25">
      <c r="B242" s="3">
        <v>238</v>
      </c>
      <c r="C242" s="3" t="s">
        <v>484</v>
      </c>
      <c r="D242" s="3" t="s">
        <v>485</v>
      </c>
      <c r="E242" s="3" t="s">
        <v>473</v>
      </c>
      <c r="F242" s="3">
        <v>14105</v>
      </c>
      <c r="G242" s="3">
        <v>14</v>
      </c>
      <c r="H242" s="3">
        <v>0.45200000000000001</v>
      </c>
      <c r="I242" s="4">
        <v>8074</v>
      </c>
      <c r="J242" s="4">
        <v>1137</v>
      </c>
      <c r="K242" s="18">
        <v>0</v>
      </c>
      <c r="L242" s="18">
        <v>1033</v>
      </c>
      <c r="M242" s="18">
        <v>0</v>
      </c>
      <c r="N242" s="18">
        <v>0</v>
      </c>
      <c r="O242" s="18">
        <v>104</v>
      </c>
      <c r="P242" s="18">
        <v>0</v>
      </c>
      <c r="Q242" s="6">
        <v>0.1408223928659896</v>
      </c>
      <c r="R242" s="3">
        <v>0.14099999999999999</v>
      </c>
      <c r="S242" s="6">
        <v>0.47721326064546565</v>
      </c>
      <c r="T242" s="25">
        <v>0.47699999999999998</v>
      </c>
      <c r="U242" s="7">
        <v>190</v>
      </c>
      <c r="V242" s="4">
        <v>7381</v>
      </c>
      <c r="W242" s="4">
        <v>1048</v>
      </c>
      <c r="X242" s="18">
        <v>1</v>
      </c>
      <c r="Y242" s="18">
        <v>985</v>
      </c>
      <c r="Z242" s="18">
        <v>0</v>
      </c>
      <c r="AA242" s="18">
        <v>0</v>
      </c>
      <c r="AB242" s="18">
        <v>62</v>
      </c>
      <c r="AC242" s="18">
        <v>0</v>
      </c>
      <c r="AD242" s="6">
        <v>0.14198618073431785</v>
      </c>
      <c r="AE242" s="6">
        <v>0.14199999999999999</v>
      </c>
      <c r="AF242" s="6">
        <v>0.50111315879488183</v>
      </c>
      <c r="AG242" s="6">
        <v>0.501</v>
      </c>
      <c r="AH242" s="7">
        <v>159</v>
      </c>
    </row>
    <row r="243" spans="2:34" x14ac:dyDescent="0.25">
      <c r="B243" s="3">
        <v>239</v>
      </c>
      <c r="C243" s="3" t="s">
        <v>486</v>
      </c>
      <c r="D243" s="3" t="s">
        <v>487</v>
      </c>
      <c r="E243" s="3" t="s">
        <v>473</v>
      </c>
      <c r="F243" s="3">
        <v>14106</v>
      </c>
      <c r="G243" s="3">
        <v>14</v>
      </c>
      <c r="H243" s="3">
        <v>0.496</v>
      </c>
      <c r="I243" s="4">
        <v>22973</v>
      </c>
      <c r="J243" s="4">
        <v>3236</v>
      </c>
      <c r="K243" s="18">
        <v>7</v>
      </c>
      <c r="L243" s="18">
        <v>2896</v>
      </c>
      <c r="M243" s="18">
        <v>26</v>
      </c>
      <c r="N243" s="18">
        <v>0</v>
      </c>
      <c r="O243" s="18">
        <v>307</v>
      </c>
      <c r="P243" s="18">
        <v>0</v>
      </c>
      <c r="Q243" s="6">
        <v>0.14086101075175206</v>
      </c>
      <c r="R243" s="3">
        <v>0.14099999999999999</v>
      </c>
      <c r="S243" s="6">
        <v>0.47725306385188548</v>
      </c>
      <c r="T243" s="25">
        <v>0.47699999999999998</v>
      </c>
      <c r="U243" s="7">
        <v>189</v>
      </c>
      <c r="V243" s="4">
        <v>23830</v>
      </c>
      <c r="W243" s="4">
        <v>3192</v>
      </c>
      <c r="X243" s="18">
        <v>16</v>
      </c>
      <c r="Y243" s="18">
        <v>2916</v>
      </c>
      <c r="Z243" s="18">
        <v>0</v>
      </c>
      <c r="AA243" s="18">
        <v>0</v>
      </c>
      <c r="AB243" s="18">
        <v>260</v>
      </c>
      <c r="AC243" s="18">
        <v>0</v>
      </c>
      <c r="AD243" s="6">
        <v>0.13394880402853546</v>
      </c>
      <c r="AE243" s="6">
        <v>0.13400000000000001</v>
      </c>
      <c r="AF243" s="6">
        <v>0.49183236498695004</v>
      </c>
      <c r="AG243" s="6">
        <v>0.49199999999999999</v>
      </c>
      <c r="AH243" s="7">
        <v>172</v>
      </c>
    </row>
    <row r="244" spans="2:34" x14ac:dyDescent="0.25">
      <c r="B244" s="3">
        <v>240</v>
      </c>
      <c r="C244" s="3" t="s">
        <v>488</v>
      </c>
      <c r="D244" s="3" t="s">
        <v>489</v>
      </c>
      <c r="E244" s="3" t="s">
        <v>473</v>
      </c>
      <c r="F244" s="3">
        <v>14107</v>
      </c>
      <c r="G244" s="3">
        <v>14</v>
      </c>
      <c r="H244" s="3">
        <v>0.50900000000000001</v>
      </c>
      <c r="I244" s="4">
        <v>19802</v>
      </c>
      <c r="J244" s="4">
        <v>2681</v>
      </c>
      <c r="K244" s="18">
        <v>3</v>
      </c>
      <c r="L244" s="18">
        <v>2472</v>
      </c>
      <c r="M244" s="18">
        <v>0</v>
      </c>
      <c r="N244" s="18">
        <v>0</v>
      </c>
      <c r="O244" s="18">
        <v>206</v>
      </c>
      <c r="P244" s="18">
        <v>0</v>
      </c>
      <c r="Q244" s="6">
        <v>0.13539036460963538</v>
      </c>
      <c r="R244" s="3">
        <v>0.13500000000000001</v>
      </c>
      <c r="S244" s="6">
        <v>0.47161450406682115</v>
      </c>
      <c r="T244" s="25">
        <v>0.47199999999999998</v>
      </c>
      <c r="U244" s="7">
        <v>196</v>
      </c>
      <c r="V244" s="4">
        <v>20915</v>
      </c>
      <c r="W244" s="4">
        <v>2629</v>
      </c>
      <c r="X244" s="18">
        <v>8</v>
      </c>
      <c r="Y244" s="18">
        <v>2471</v>
      </c>
      <c r="Z244" s="18">
        <v>0</v>
      </c>
      <c r="AA244" s="18">
        <v>0</v>
      </c>
      <c r="AB244" s="18">
        <v>150</v>
      </c>
      <c r="AC244" s="18">
        <v>0</v>
      </c>
      <c r="AD244" s="6">
        <v>0.12569925890509204</v>
      </c>
      <c r="AE244" s="6">
        <v>0.126</v>
      </c>
      <c r="AF244" s="6">
        <v>0.48255157117901815</v>
      </c>
      <c r="AG244" s="6">
        <v>0.48199999999999998</v>
      </c>
      <c r="AH244" s="7">
        <v>185</v>
      </c>
    </row>
    <row r="245" spans="2:34" x14ac:dyDescent="0.25">
      <c r="B245" s="3">
        <v>241</v>
      </c>
      <c r="C245" s="3" t="s">
        <v>490</v>
      </c>
      <c r="D245" s="3" t="s">
        <v>491</v>
      </c>
      <c r="E245" s="3" t="s">
        <v>473</v>
      </c>
      <c r="F245" s="3">
        <v>14108</v>
      </c>
      <c r="G245" s="3">
        <v>14</v>
      </c>
      <c r="H245" s="3">
        <v>0.52400000000000002</v>
      </c>
      <c r="I245" s="4">
        <v>35098</v>
      </c>
      <c r="J245" s="4">
        <v>4034</v>
      </c>
      <c r="K245" s="18">
        <v>51</v>
      </c>
      <c r="L245" s="18">
        <v>3225</v>
      </c>
      <c r="M245" s="18">
        <v>24</v>
      </c>
      <c r="N245" s="18">
        <v>0</v>
      </c>
      <c r="O245" s="18">
        <v>734</v>
      </c>
      <c r="P245" s="18">
        <v>0</v>
      </c>
      <c r="Q245" s="6">
        <v>0.11493532395008263</v>
      </c>
      <c r="R245" s="3">
        <v>0.115</v>
      </c>
      <c r="S245" s="6">
        <v>0.4505316252498438</v>
      </c>
      <c r="T245" s="25">
        <v>0.45100000000000001</v>
      </c>
      <c r="U245" s="7">
        <v>220</v>
      </c>
      <c r="V245" s="4">
        <v>36178</v>
      </c>
      <c r="W245" s="4">
        <v>3684</v>
      </c>
      <c r="X245" s="18">
        <v>62</v>
      </c>
      <c r="Y245" s="18">
        <v>3124</v>
      </c>
      <c r="Z245" s="18">
        <v>0</v>
      </c>
      <c r="AA245" s="18">
        <v>0</v>
      </c>
      <c r="AB245" s="18">
        <v>498</v>
      </c>
      <c r="AC245" s="18">
        <v>0</v>
      </c>
      <c r="AD245" s="6">
        <v>0.1018298413400409</v>
      </c>
      <c r="AE245" s="6">
        <v>0.10199999999999999</v>
      </c>
      <c r="AF245" s="6">
        <v>0.45470918975522245</v>
      </c>
      <c r="AG245" s="6">
        <v>0.45500000000000002</v>
      </c>
      <c r="AH245" s="7">
        <v>211</v>
      </c>
    </row>
    <row r="246" spans="2:34" x14ac:dyDescent="0.25">
      <c r="B246" s="3">
        <v>242</v>
      </c>
      <c r="C246" s="3" t="s">
        <v>492</v>
      </c>
      <c r="D246" s="3" t="s">
        <v>493</v>
      </c>
      <c r="E246" s="3" t="s">
        <v>473</v>
      </c>
      <c r="F246" s="3">
        <v>14204</v>
      </c>
      <c r="G246" s="3">
        <v>14</v>
      </c>
      <c r="H246" s="3">
        <v>0.53</v>
      </c>
      <c r="I246" s="4">
        <v>33363</v>
      </c>
      <c r="J246" s="4">
        <v>5137</v>
      </c>
      <c r="K246" s="18">
        <v>5</v>
      </c>
      <c r="L246" s="18">
        <v>4646</v>
      </c>
      <c r="M246" s="18">
        <v>41</v>
      </c>
      <c r="N246" s="18">
        <v>0</v>
      </c>
      <c r="O246" s="18">
        <v>445</v>
      </c>
      <c r="P246" s="18">
        <v>0</v>
      </c>
      <c r="Q246" s="6">
        <v>0.15397296406198482</v>
      </c>
      <c r="R246" s="3">
        <v>0.154</v>
      </c>
      <c r="S246" s="6">
        <v>0.49076746977727298</v>
      </c>
      <c r="T246" s="25">
        <v>0.49099999999999999</v>
      </c>
      <c r="U246" s="7">
        <v>174</v>
      </c>
      <c r="V246" s="4">
        <v>32982</v>
      </c>
      <c r="W246" s="4">
        <v>5036</v>
      </c>
      <c r="X246" s="18">
        <v>9</v>
      </c>
      <c r="Y246" s="18">
        <v>4693</v>
      </c>
      <c r="Z246" s="18">
        <v>0</v>
      </c>
      <c r="AA246" s="18">
        <v>0</v>
      </c>
      <c r="AB246" s="18">
        <v>334</v>
      </c>
      <c r="AC246" s="18">
        <v>0</v>
      </c>
      <c r="AD246" s="6">
        <v>0.15268934570371717</v>
      </c>
      <c r="AE246" s="6">
        <v>0.153</v>
      </c>
      <c r="AF246" s="6">
        <v>0.51387425028078826</v>
      </c>
      <c r="AG246" s="6">
        <v>0.51400000000000001</v>
      </c>
      <c r="AH246" s="7">
        <v>146</v>
      </c>
    </row>
    <row r="247" spans="2:34" x14ac:dyDescent="0.25">
      <c r="B247" s="3">
        <v>243</v>
      </c>
      <c r="C247" s="3" t="s">
        <v>494</v>
      </c>
      <c r="D247" s="3" t="s">
        <v>495</v>
      </c>
      <c r="E247" s="3" t="s">
        <v>473</v>
      </c>
      <c r="F247" s="3">
        <v>14101</v>
      </c>
      <c r="G247" s="3">
        <v>14</v>
      </c>
      <c r="H247" s="3">
        <v>0.58799999999999997</v>
      </c>
      <c r="I247" s="4">
        <v>170043</v>
      </c>
      <c r="J247" s="4">
        <v>48421</v>
      </c>
      <c r="K247" s="18">
        <v>218</v>
      </c>
      <c r="L247" s="18">
        <v>35778</v>
      </c>
      <c r="M247" s="18">
        <v>11470</v>
      </c>
      <c r="N247" s="18">
        <v>0</v>
      </c>
      <c r="O247" s="18">
        <v>955</v>
      </c>
      <c r="P247" s="18">
        <v>0</v>
      </c>
      <c r="Q247" s="6">
        <v>0.28475738489676139</v>
      </c>
      <c r="R247" s="3">
        <v>0.28499999999999998</v>
      </c>
      <c r="S247" s="6">
        <v>0.62556613097281866</v>
      </c>
      <c r="T247" s="25">
        <v>0.626</v>
      </c>
      <c r="U247" s="7">
        <v>39</v>
      </c>
      <c r="V247" s="4">
        <v>180848</v>
      </c>
      <c r="W247" s="4">
        <v>47396</v>
      </c>
      <c r="X247" s="18">
        <v>505</v>
      </c>
      <c r="Y247" s="18">
        <v>34072</v>
      </c>
      <c r="Z247" s="18">
        <v>12059</v>
      </c>
      <c r="AA247" s="18">
        <v>0</v>
      </c>
      <c r="AB247" s="18">
        <v>760</v>
      </c>
      <c r="AC247" s="18">
        <v>0</v>
      </c>
      <c r="AD247" s="6">
        <v>0.26207643988321683</v>
      </c>
      <c r="AE247" s="6">
        <v>0.26200000000000001</v>
      </c>
      <c r="AF247" s="6">
        <v>0.64032506591386018</v>
      </c>
      <c r="AG247" s="6">
        <v>0.64</v>
      </c>
      <c r="AH247" s="7">
        <v>31</v>
      </c>
    </row>
    <row r="248" spans="2:34" x14ac:dyDescent="0.25">
      <c r="B248" s="3">
        <v>244</v>
      </c>
      <c r="C248" s="3" t="s">
        <v>496</v>
      </c>
      <c r="D248" s="3" t="s">
        <v>497</v>
      </c>
      <c r="E248" s="3" t="s">
        <v>482</v>
      </c>
      <c r="F248" s="3">
        <v>10202</v>
      </c>
      <c r="G248" s="3">
        <v>10</v>
      </c>
      <c r="H248" s="3">
        <v>0.53800000000000003</v>
      </c>
      <c r="I248" s="4">
        <v>40949</v>
      </c>
      <c r="J248" s="4">
        <v>6670</v>
      </c>
      <c r="K248" s="18">
        <v>28</v>
      </c>
      <c r="L248" s="18">
        <v>5360</v>
      </c>
      <c r="M248" s="18">
        <v>0</v>
      </c>
      <c r="N248" s="18">
        <v>0</v>
      </c>
      <c r="O248" s="18">
        <v>1282</v>
      </c>
      <c r="P248" s="18">
        <v>0</v>
      </c>
      <c r="Q248" s="6">
        <v>0.1628855405504408</v>
      </c>
      <c r="R248" s="3">
        <v>0.16300000000000001</v>
      </c>
      <c r="S248" s="6">
        <v>0.49995360502777447</v>
      </c>
      <c r="T248" s="25">
        <v>0.5</v>
      </c>
      <c r="U248" s="7">
        <v>161</v>
      </c>
      <c r="V248" s="4">
        <v>42516</v>
      </c>
      <c r="W248" s="4">
        <v>5478</v>
      </c>
      <c r="X248" s="18">
        <v>60</v>
      </c>
      <c r="Y248" s="18">
        <v>5166</v>
      </c>
      <c r="Z248" s="18">
        <v>0</v>
      </c>
      <c r="AA248" s="18">
        <v>0</v>
      </c>
      <c r="AB248" s="18">
        <v>252</v>
      </c>
      <c r="AC248" s="18">
        <v>0</v>
      </c>
      <c r="AD248" s="6">
        <v>0.12884561106407</v>
      </c>
      <c r="AE248" s="6">
        <v>0.129</v>
      </c>
      <c r="AF248" s="6">
        <v>0.48603186885699257</v>
      </c>
      <c r="AG248" s="6">
        <v>0.48599999999999999</v>
      </c>
      <c r="AH248" s="7">
        <v>181</v>
      </c>
    </row>
    <row r="249" spans="2:34" x14ac:dyDescent="0.25">
      <c r="B249" s="3">
        <v>245</v>
      </c>
      <c r="C249" s="3" t="s">
        <v>498</v>
      </c>
      <c r="D249" s="3" t="s">
        <v>499</v>
      </c>
      <c r="E249" s="3" t="s">
        <v>482</v>
      </c>
      <c r="F249" s="3">
        <v>10102</v>
      </c>
      <c r="G249" s="3">
        <v>10</v>
      </c>
      <c r="H249" s="3">
        <v>0.41299999999999998</v>
      </c>
      <c r="I249" s="4">
        <v>36474</v>
      </c>
      <c r="J249" s="4">
        <v>4320</v>
      </c>
      <c r="K249" s="18">
        <v>7</v>
      </c>
      <c r="L249" s="18">
        <v>3861</v>
      </c>
      <c r="M249" s="18">
        <v>0</v>
      </c>
      <c r="N249" s="18">
        <v>0</v>
      </c>
      <c r="O249" s="18">
        <v>452</v>
      </c>
      <c r="P249" s="18">
        <v>0</v>
      </c>
      <c r="Q249" s="6">
        <v>0.11844053298239843</v>
      </c>
      <c r="R249" s="3">
        <v>0.11799999999999999</v>
      </c>
      <c r="S249" s="6">
        <v>0.45414442164983415</v>
      </c>
      <c r="T249" s="25">
        <v>0.45400000000000001</v>
      </c>
      <c r="U249" s="7">
        <v>213</v>
      </c>
      <c r="V249" s="4">
        <v>37429</v>
      </c>
      <c r="W249" s="4">
        <v>3987</v>
      </c>
      <c r="X249" s="18">
        <v>14</v>
      </c>
      <c r="Y249" s="18">
        <v>3688</v>
      </c>
      <c r="Z249" s="18">
        <v>0</v>
      </c>
      <c r="AA249" s="18">
        <v>0</v>
      </c>
      <c r="AB249" s="18">
        <v>285</v>
      </c>
      <c r="AC249" s="18">
        <v>0</v>
      </c>
      <c r="AD249" s="6">
        <v>0.10652168104945363</v>
      </c>
      <c r="AE249" s="6">
        <v>0.107</v>
      </c>
      <c r="AF249" s="6">
        <v>0.46050968588517993</v>
      </c>
      <c r="AG249" s="6">
        <v>0.46</v>
      </c>
      <c r="AH249" s="7">
        <v>204</v>
      </c>
    </row>
    <row r="250" spans="2:34" x14ac:dyDescent="0.25">
      <c r="B250" s="3">
        <v>246</v>
      </c>
      <c r="C250" s="3" t="s">
        <v>500</v>
      </c>
      <c r="D250" s="3" t="s">
        <v>501</v>
      </c>
      <c r="E250" s="3" t="s">
        <v>482</v>
      </c>
      <c r="F250" s="3">
        <v>10201</v>
      </c>
      <c r="G250" s="3">
        <v>10</v>
      </c>
      <c r="H250" s="3">
        <v>0.46</v>
      </c>
      <c r="I250" s="4">
        <v>46997</v>
      </c>
      <c r="J250" s="4">
        <v>9126</v>
      </c>
      <c r="K250" s="18">
        <v>59</v>
      </c>
      <c r="L250" s="18">
        <v>8339</v>
      </c>
      <c r="M250" s="18">
        <v>0</v>
      </c>
      <c r="N250" s="18">
        <v>0</v>
      </c>
      <c r="O250" s="18">
        <v>728</v>
      </c>
      <c r="P250" s="18">
        <v>0</v>
      </c>
      <c r="Q250" s="6">
        <v>0.19418260740047236</v>
      </c>
      <c r="R250" s="3">
        <v>0.19400000000000001</v>
      </c>
      <c r="S250" s="6">
        <v>0.53221129049064375</v>
      </c>
      <c r="T250" s="25">
        <v>0.53200000000000003</v>
      </c>
      <c r="U250" s="7">
        <v>121</v>
      </c>
      <c r="V250" s="4">
        <v>48482</v>
      </c>
      <c r="W250" s="4">
        <v>8927</v>
      </c>
      <c r="X250" s="18">
        <v>119</v>
      </c>
      <c r="Y250" s="18">
        <v>8375</v>
      </c>
      <c r="Z250" s="18">
        <v>0</v>
      </c>
      <c r="AA250" s="18">
        <v>0</v>
      </c>
      <c r="AB250" s="18">
        <v>433</v>
      </c>
      <c r="AC250" s="18">
        <v>0</v>
      </c>
      <c r="AD250" s="6">
        <v>0.18413019264881811</v>
      </c>
      <c r="AE250" s="6">
        <v>0.184</v>
      </c>
      <c r="AF250" s="6">
        <v>0.54983732628652426</v>
      </c>
      <c r="AG250" s="6">
        <v>0.55000000000000004</v>
      </c>
      <c r="AH250" s="7">
        <v>109</v>
      </c>
    </row>
    <row r="251" spans="2:34" x14ac:dyDescent="0.25">
      <c r="B251" s="3">
        <v>247</v>
      </c>
      <c r="C251" s="3" t="s">
        <v>502</v>
      </c>
      <c r="D251" s="3" t="s">
        <v>503</v>
      </c>
      <c r="E251" s="3" t="s">
        <v>482</v>
      </c>
      <c r="F251" s="3">
        <v>10401</v>
      </c>
      <c r="G251" s="3">
        <v>10</v>
      </c>
      <c r="H251" s="3">
        <v>0.38300000000000001</v>
      </c>
      <c r="I251" s="4">
        <v>4025</v>
      </c>
      <c r="J251" s="4">
        <v>614</v>
      </c>
      <c r="K251" s="18">
        <v>1</v>
      </c>
      <c r="L251" s="18">
        <v>405</v>
      </c>
      <c r="M251" s="18">
        <v>0</v>
      </c>
      <c r="N251" s="18">
        <v>0</v>
      </c>
      <c r="O251" s="18">
        <v>208</v>
      </c>
      <c r="P251" s="18">
        <v>0</v>
      </c>
      <c r="Q251" s="6">
        <v>0.15254658385093167</v>
      </c>
      <c r="R251" s="3">
        <v>0.153</v>
      </c>
      <c r="S251" s="6">
        <v>0.48929730886989176</v>
      </c>
      <c r="T251" s="25">
        <v>0.48899999999999999</v>
      </c>
      <c r="U251" s="7">
        <v>177</v>
      </c>
      <c r="V251" s="4">
        <v>5061</v>
      </c>
      <c r="W251" s="4">
        <v>539</v>
      </c>
      <c r="X251" s="18">
        <v>2</v>
      </c>
      <c r="Y251" s="18">
        <v>417</v>
      </c>
      <c r="Z251" s="18">
        <v>0</v>
      </c>
      <c r="AA251" s="18">
        <v>0</v>
      </c>
      <c r="AB251" s="18">
        <v>120</v>
      </c>
      <c r="AC251" s="18">
        <v>0</v>
      </c>
      <c r="AD251" s="6">
        <v>0.10650069156293222</v>
      </c>
      <c r="AE251" s="6">
        <v>0.107</v>
      </c>
      <c r="AF251" s="6">
        <v>0.46050968588517993</v>
      </c>
      <c r="AG251" s="6">
        <v>0.46</v>
      </c>
      <c r="AH251" s="7">
        <v>206</v>
      </c>
    </row>
    <row r="252" spans="2:34" x14ac:dyDescent="0.25">
      <c r="B252" s="3">
        <v>248</v>
      </c>
      <c r="C252" s="3" t="s">
        <v>504</v>
      </c>
      <c r="D252" s="3" t="s">
        <v>505</v>
      </c>
      <c r="E252" s="3" t="s">
        <v>482</v>
      </c>
      <c r="F252" s="3">
        <v>10203</v>
      </c>
      <c r="G252" s="3">
        <v>10</v>
      </c>
      <c r="H252" s="3">
        <v>0.47799999999999998</v>
      </c>
      <c r="I252" s="4">
        <v>16078</v>
      </c>
      <c r="J252" s="4">
        <v>1361</v>
      </c>
      <c r="K252" s="18">
        <v>2</v>
      </c>
      <c r="L252" s="18">
        <v>1026</v>
      </c>
      <c r="M252" s="18">
        <v>0</v>
      </c>
      <c r="N252" s="18">
        <v>0</v>
      </c>
      <c r="O252" s="18">
        <v>333</v>
      </c>
      <c r="P252" s="18">
        <v>0</v>
      </c>
      <c r="Q252" s="6">
        <v>8.4649832068665262E-2</v>
      </c>
      <c r="R252" s="3">
        <v>8.5000000000000006E-2</v>
      </c>
      <c r="S252" s="6">
        <v>0.41931656359948799</v>
      </c>
      <c r="T252" s="25">
        <v>0.41899999999999998</v>
      </c>
      <c r="U252" s="7">
        <v>253</v>
      </c>
      <c r="V252" s="4">
        <v>16213</v>
      </c>
      <c r="W252" s="4">
        <v>1222</v>
      </c>
      <c r="X252" s="18">
        <v>20</v>
      </c>
      <c r="Y252" s="18">
        <v>993</v>
      </c>
      <c r="Z252" s="18">
        <v>0</v>
      </c>
      <c r="AA252" s="18">
        <v>0</v>
      </c>
      <c r="AB252" s="18">
        <v>209</v>
      </c>
      <c r="AC252" s="18">
        <v>0</v>
      </c>
      <c r="AD252" s="6">
        <v>7.5371615370381798E-2</v>
      </c>
      <c r="AE252" s="6">
        <v>7.4999999999999997E-2</v>
      </c>
      <c r="AF252" s="6">
        <v>0.42338651065345234</v>
      </c>
      <c r="AG252" s="6">
        <v>0.42399999999999999</v>
      </c>
      <c r="AH252" s="7">
        <v>246</v>
      </c>
    </row>
    <row r="253" spans="2:34" x14ac:dyDescent="0.25">
      <c r="B253" s="3">
        <v>249</v>
      </c>
      <c r="C253" s="3" t="s">
        <v>506</v>
      </c>
      <c r="D253" s="3" t="s">
        <v>507</v>
      </c>
      <c r="E253" s="3" t="s">
        <v>482</v>
      </c>
      <c r="F253" s="3">
        <v>10103</v>
      </c>
      <c r="G253" s="3">
        <v>10</v>
      </c>
      <c r="H253" s="3"/>
      <c r="I253" s="4">
        <v>4199</v>
      </c>
      <c r="J253" s="4">
        <v>287</v>
      </c>
      <c r="K253" s="18">
        <v>0</v>
      </c>
      <c r="L253" s="18">
        <v>0</v>
      </c>
      <c r="M253" s="18">
        <v>0</v>
      </c>
      <c r="N253" s="18">
        <v>0</v>
      </c>
      <c r="O253" s="18">
        <v>287</v>
      </c>
      <c r="P253" s="18">
        <v>0</v>
      </c>
      <c r="Q253" s="6">
        <v>6.8349607049297448E-2</v>
      </c>
      <c r="R253" s="3">
        <v>6.8000000000000005E-2</v>
      </c>
      <c r="S253" s="6">
        <v>0.40251602653419977</v>
      </c>
      <c r="T253" s="25">
        <v>0.40300000000000002</v>
      </c>
      <c r="U253" s="7">
        <v>281</v>
      </c>
      <c r="V253" s="4">
        <v>3960</v>
      </c>
      <c r="W253" s="4">
        <v>228</v>
      </c>
      <c r="X253" s="18">
        <v>0</v>
      </c>
      <c r="Y253" s="18">
        <v>0</v>
      </c>
      <c r="Z253" s="18">
        <v>0</v>
      </c>
      <c r="AA253" s="18">
        <v>0</v>
      </c>
      <c r="AB253" s="18">
        <v>228</v>
      </c>
      <c r="AC253" s="18">
        <v>0</v>
      </c>
      <c r="AD253" s="6">
        <v>5.7575757575757579E-2</v>
      </c>
      <c r="AE253" s="6">
        <v>5.8000000000000003E-2</v>
      </c>
      <c r="AF253" s="6">
        <v>0.40366482381159713</v>
      </c>
      <c r="AG253" s="6">
        <v>0.40300000000000002</v>
      </c>
      <c r="AH253" s="7">
        <v>273</v>
      </c>
    </row>
    <row r="254" spans="2:34" x14ac:dyDescent="0.25">
      <c r="B254" s="3">
        <v>250</v>
      </c>
      <c r="C254" s="3" t="s">
        <v>508</v>
      </c>
      <c r="D254" s="3" t="s">
        <v>509</v>
      </c>
      <c r="E254" s="3" t="s">
        <v>482</v>
      </c>
      <c r="F254" s="3">
        <v>10204</v>
      </c>
      <c r="G254" s="3">
        <v>10</v>
      </c>
      <c r="H254" s="3">
        <v>0.39800000000000002</v>
      </c>
      <c r="I254" s="4">
        <v>3662</v>
      </c>
      <c r="J254" s="4">
        <v>184</v>
      </c>
      <c r="K254" s="18">
        <v>1</v>
      </c>
      <c r="L254" s="18">
        <v>133</v>
      </c>
      <c r="M254" s="18">
        <v>0</v>
      </c>
      <c r="N254" s="18">
        <v>0</v>
      </c>
      <c r="O254" s="18">
        <v>50</v>
      </c>
      <c r="P254" s="18">
        <v>0</v>
      </c>
      <c r="Q254" s="6">
        <v>5.0245767340251227E-2</v>
      </c>
      <c r="R254" s="3">
        <v>0.05</v>
      </c>
      <c r="S254" s="6">
        <v>0.38385651541122606</v>
      </c>
      <c r="T254" s="25">
        <v>0.38400000000000001</v>
      </c>
      <c r="U254" s="7">
        <v>304</v>
      </c>
      <c r="V254" s="4">
        <v>4120</v>
      </c>
      <c r="W254" s="4">
        <v>161</v>
      </c>
      <c r="X254" s="18">
        <v>3</v>
      </c>
      <c r="Y254" s="18">
        <v>124</v>
      </c>
      <c r="Z254" s="18">
        <v>0</v>
      </c>
      <c r="AA254" s="18">
        <v>0</v>
      </c>
      <c r="AB254" s="18">
        <v>34</v>
      </c>
      <c r="AC254" s="18">
        <v>0</v>
      </c>
      <c r="AD254" s="6">
        <v>3.9077669902912622E-2</v>
      </c>
      <c r="AE254" s="6">
        <v>3.9E-2</v>
      </c>
      <c r="AF254" s="6">
        <v>0.38162293851775891</v>
      </c>
      <c r="AG254" s="6">
        <v>0.38200000000000001</v>
      </c>
      <c r="AH254" s="7">
        <v>301</v>
      </c>
    </row>
    <row r="255" spans="2:34" x14ac:dyDescent="0.25">
      <c r="B255" s="3">
        <v>251</v>
      </c>
      <c r="C255" s="3" t="s">
        <v>510</v>
      </c>
      <c r="D255" s="3" t="s">
        <v>511</v>
      </c>
      <c r="E255" s="3" t="s">
        <v>482</v>
      </c>
      <c r="F255" s="3">
        <v>10205</v>
      </c>
      <c r="G255" s="3">
        <v>10</v>
      </c>
      <c r="H255" s="3">
        <v>0.47399999999999998</v>
      </c>
      <c r="I255" s="4">
        <v>14894</v>
      </c>
      <c r="J255" s="4">
        <v>1357</v>
      </c>
      <c r="K255" s="18">
        <v>6</v>
      </c>
      <c r="L255" s="18">
        <v>1083</v>
      </c>
      <c r="M255" s="18">
        <v>0</v>
      </c>
      <c r="N255" s="18">
        <v>0</v>
      </c>
      <c r="O255" s="18">
        <v>268</v>
      </c>
      <c r="P255" s="18">
        <v>0</v>
      </c>
      <c r="Q255" s="6">
        <v>9.1110514301060833E-2</v>
      </c>
      <c r="R255" s="3">
        <v>9.0999999999999998E-2</v>
      </c>
      <c r="S255" s="6">
        <v>0.42597554721372899</v>
      </c>
      <c r="T255" s="25">
        <v>0.42599999999999999</v>
      </c>
      <c r="U255" s="7">
        <v>247</v>
      </c>
      <c r="V255" s="4">
        <v>15368</v>
      </c>
      <c r="W255" s="4">
        <v>1303</v>
      </c>
      <c r="X255" s="18">
        <v>24</v>
      </c>
      <c r="Y255" s="18">
        <v>1093</v>
      </c>
      <c r="Z255" s="18">
        <v>0</v>
      </c>
      <c r="AA255" s="18">
        <v>0</v>
      </c>
      <c r="AB255" s="18">
        <v>186</v>
      </c>
      <c r="AC255" s="18">
        <v>0</v>
      </c>
      <c r="AD255" s="6">
        <v>8.4786569495054656E-2</v>
      </c>
      <c r="AE255" s="6">
        <v>8.5000000000000006E-2</v>
      </c>
      <c r="AF255" s="6">
        <v>0.43498750291336724</v>
      </c>
      <c r="AG255" s="6">
        <v>0.435</v>
      </c>
      <c r="AH255" s="7">
        <v>235</v>
      </c>
    </row>
    <row r="256" spans="2:34" x14ac:dyDescent="0.25">
      <c r="B256" s="3">
        <v>252</v>
      </c>
      <c r="C256" s="3" t="s">
        <v>512</v>
      </c>
      <c r="D256" s="3" t="s">
        <v>513</v>
      </c>
      <c r="E256" s="3" t="s">
        <v>482</v>
      </c>
      <c r="F256" s="3">
        <v>10104</v>
      </c>
      <c r="G256" s="3">
        <v>10</v>
      </c>
      <c r="H256" s="3">
        <v>0.43099999999999999</v>
      </c>
      <c r="I256" s="4">
        <v>12320</v>
      </c>
      <c r="J256" s="4">
        <v>930</v>
      </c>
      <c r="K256" s="18">
        <v>1</v>
      </c>
      <c r="L256" s="18">
        <v>787</v>
      </c>
      <c r="M256" s="18">
        <v>0</v>
      </c>
      <c r="N256" s="18">
        <v>0</v>
      </c>
      <c r="O256" s="18">
        <v>142</v>
      </c>
      <c r="P256" s="18">
        <v>0</v>
      </c>
      <c r="Q256" s="6">
        <v>7.5487012987012991E-2</v>
      </c>
      <c r="R256" s="3">
        <v>7.4999999999999997E-2</v>
      </c>
      <c r="S256" s="6">
        <v>0.40987250491803306</v>
      </c>
      <c r="T256" s="25">
        <v>0.41</v>
      </c>
      <c r="U256" s="7">
        <v>268</v>
      </c>
      <c r="V256" s="4">
        <v>12593</v>
      </c>
      <c r="W256" s="4">
        <v>730</v>
      </c>
      <c r="X256" s="18">
        <v>2</v>
      </c>
      <c r="Y256" s="18">
        <v>620</v>
      </c>
      <c r="Z256" s="18">
        <v>0</v>
      </c>
      <c r="AA256" s="18">
        <v>0</v>
      </c>
      <c r="AB256" s="18">
        <v>108</v>
      </c>
      <c r="AC256" s="18">
        <v>0</v>
      </c>
      <c r="AD256" s="6">
        <v>5.7968712776939567E-2</v>
      </c>
      <c r="AE256" s="6">
        <v>5.8000000000000003E-2</v>
      </c>
      <c r="AF256" s="6">
        <v>0.40366482381159713</v>
      </c>
      <c r="AG256" s="6">
        <v>0.40400000000000003</v>
      </c>
      <c r="AH256" s="7">
        <v>272</v>
      </c>
    </row>
    <row r="257" spans="2:34" x14ac:dyDescent="0.25">
      <c r="B257" s="3">
        <v>253</v>
      </c>
      <c r="C257" s="3" t="s">
        <v>514</v>
      </c>
      <c r="D257" s="3" t="s">
        <v>515</v>
      </c>
      <c r="E257" s="3" t="s">
        <v>482</v>
      </c>
      <c r="F257" s="3">
        <v>10105</v>
      </c>
      <c r="G257" s="3">
        <v>10</v>
      </c>
      <c r="H257" s="3">
        <v>0.45300000000000001</v>
      </c>
      <c r="I257" s="4">
        <v>22554</v>
      </c>
      <c r="J257" s="4">
        <v>4311</v>
      </c>
      <c r="K257" s="18">
        <v>10</v>
      </c>
      <c r="L257" s="18">
        <v>3865</v>
      </c>
      <c r="M257" s="18">
        <v>31</v>
      </c>
      <c r="N257" s="18">
        <v>0</v>
      </c>
      <c r="O257" s="18">
        <v>405</v>
      </c>
      <c r="P257" s="18">
        <v>0</v>
      </c>
      <c r="Q257" s="6">
        <v>0.19114126097366321</v>
      </c>
      <c r="R257" s="3">
        <v>0.191</v>
      </c>
      <c r="S257" s="6">
        <v>0.52907659429404053</v>
      </c>
      <c r="T257" s="25">
        <v>0.52900000000000003</v>
      </c>
      <c r="U257" s="7">
        <v>127</v>
      </c>
      <c r="V257" s="4">
        <v>20678</v>
      </c>
      <c r="W257" s="4">
        <v>3950</v>
      </c>
      <c r="X257" s="18">
        <v>12</v>
      </c>
      <c r="Y257" s="18">
        <v>3686</v>
      </c>
      <c r="Z257" s="18">
        <v>0</v>
      </c>
      <c r="AA257" s="18">
        <v>0</v>
      </c>
      <c r="AB257" s="18">
        <v>252</v>
      </c>
      <c r="AC257" s="18">
        <v>0</v>
      </c>
      <c r="AD257" s="6">
        <v>0.19102427700938196</v>
      </c>
      <c r="AE257" s="6">
        <v>0.191</v>
      </c>
      <c r="AF257" s="6">
        <v>0.55795802086846469</v>
      </c>
      <c r="AG257" s="6">
        <v>0.55800000000000005</v>
      </c>
      <c r="AH257" s="7">
        <v>102</v>
      </c>
    </row>
    <row r="258" spans="2:34" x14ac:dyDescent="0.25">
      <c r="B258" s="3">
        <v>254</v>
      </c>
      <c r="C258" s="3" t="s">
        <v>516</v>
      </c>
      <c r="D258" s="3" t="s">
        <v>517</v>
      </c>
      <c r="E258" s="3" t="s">
        <v>482</v>
      </c>
      <c r="F258" s="3">
        <v>10402</v>
      </c>
      <c r="G258" s="3">
        <v>10</v>
      </c>
      <c r="H258" s="3"/>
      <c r="I258" s="4">
        <v>3062</v>
      </c>
      <c r="J258" s="4">
        <v>699</v>
      </c>
      <c r="K258" s="18">
        <v>7</v>
      </c>
      <c r="L258" s="18">
        <v>486</v>
      </c>
      <c r="M258" s="18">
        <v>0</v>
      </c>
      <c r="N258" s="18">
        <v>0</v>
      </c>
      <c r="O258" s="18">
        <v>206</v>
      </c>
      <c r="P258" s="18">
        <v>0</v>
      </c>
      <c r="Q258" s="6">
        <v>0.22828216851730895</v>
      </c>
      <c r="R258" s="3">
        <v>0.22800000000000001</v>
      </c>
      <c r="S258" s="6">
        <v>0.56735748876537728</v>
      </c>
      <c r="T258" s="25">
        <v>0.56699999999999995</v>
      </c>
      <c r="U258" s="7">
        <v>93</v>
      </c>
      <c r="V258" s="4">
        <v>2889</v>
      </c>
      <c r="W258" s="4">
        <v>629</v>
      </c>
      <c r="X258" s="18">
        <v>9</v>
      </c>
      <c r="Y258" s="18">
        <v>497</v>
      </c>
      <c r="Z258" s="18">
        <v>0</v>
      </c>
      <c r="AA258" s="18">
        <v>0</v>
      </c>
      <c r="AB258" s="18">
        <v>123</v>
      </c>
      <c r="AC258" s="18">
        <v>0</v>
      </c>
      <c r="AD258" s="6">
        <v>0.21772239529248874</v>
      </c>
      <c r="AE258" s="6">
        <v>0.218</v>
      </c>
      <c r="AF258" s="6">
        <v>0.5892806999702348</v>
      </c>
      <c r="AG258" s="6">
        <v>0.58899999999999997</v>
      </c>
      <c r="AH258" s="7">
        <v>65</v>
      </c>
    </row>
    <row r="259" spans="2:34" x14ac:dyDescent="0.25">
      <c r="B259" s="3">
        <v>255</v>
      </c>
      <c r="C259" s="3" t="s">
        <v>518</v>
      </c>
      <c r="D259" s="3" t="s">
        <v>519</v>
      </c>
      <c r="E259" s="3" t="s">
        <v>482</v>
      </c>
      <c r="F259" s="3">
        <v>10403</v>
      </c>
      <c r="G259" s="3">
        <v>10</v>
      </c>
      <c r="H259" s="3">
        <v>0.48399999999999999</v>
      </c>
      <c r="I259" s="4">
        <v>9480</v>
      </c>
      <c r="J259" s="4">
        <v>518</v>
      </c>
      <c r="K259" s="18">
        <v>8</v>
      </c>
      <c r="L259" s="18">
        <v>319</v>
      </c>
      <c r="M259" s="18">
        <v>0</v>
      </c>
      <c r="N259" s="18">
        <v>0</v>
      </c>
      <c r="O259" s="18">
        <v>191</v>
      </c>
      <c r="P259" s="18">
        <v>0</v>
      </c>
      <c r="Q259" s="6">
        <v>5.4641350210970462E-2</v>
      </c>
      <c r="R259" s="3">
        <v>5.5E-2</v>
      </c>
      <c r="S259" s="6">
        <v>0.38838701439852952</v>
      </c>
      <c r="T259" s="25">
        <v>0.38800000000000001</v>
      </c>
      <c r="U259" s="7">
        <v>299</v>
      </c>
      <c r="V259" s="4">
        <v>9579</v>
      </c>
      <c r="W259" s="4">
        <v>515</v>
      </c>
      <c r="X259" s="18">
        <v>23</v>
      </c>
      <c r="Y259" s="18">
        <v>340</v>
      </c>
      <c r="Z259" s="18">
        <v>0</v>
      </c>
      <c r="AA259" s="18">
        <v>0</v>
      </c>
      <c r="AB259" s="18">
        <v>152</v>
      </c>
      <c r="AC259" s="18">
        <v>0</v>
      </c>
      <c r="AD259" s="6">
        <v>5.3763440860215055E-2</v>
      </c>
      <c r="AE259" s="6">
        <v>5.3999999999999999E-2</v>
      </c>
      <c r="AF259" s="6">
        <v>0.39902442690763118</v>
      </c>
      <c r="AG259" s="6">
        <v>0.39900000000000002</v>
      </c>
      <c r="AH259" s="7">
        <v>281</v>
      </c>
    </row>
    <row r="260" spans="2:34" x14ac:dyDescent="0.25">
      <c r="B260" s="3">
        <v>256</v>
      </c>
      <c r="C260" s="3" t="s">
        <v>520</v>
      </c>
      <c r="D260" s="3" t="s">
        <v>521</v>
      </c>
      <c r="E260" s="3" t="s">
        <v>482</v>
      </c>
      <c r="F260" s="3">
        <v>10107</v>
      </c>
      <c r="G260" s="3">
        <v>10</v>
      </c>
      <c r="H260" s="3">
        <v>0.48</v>
      </c>
      <c r="I260" s="4">
        <v>18088</v>
      </c>
      <c r="J260" s="4">
        <v>3628</v>
      </c>
      <c r="K260" s="18">
        <v>6</v>
      </c>
      <c r="L260" s="18">
        <v>3364</v>
      </c>
      <c r="M260" s="18">
        <v>31</v>
      </c>
      <c r="N260" s="18">
        <v>0</v>
      </c>
      <c r="O260" s="18">
        <v>227</v>
      </c>
      <c r="P260" s="18">
        <v>0</v>
      </c>
      <c r="Q260" s="6">
        <v>0.2005749668288368</v>
      </c>
      <c r="R260" s="3">
        <v>0.20100000000000001</v>
      </c>
      <c r="S260" s="6">
        <v>0.5387998542303023</v>
      </c>
      <c r="T260" s="25">
        <v>0.53900000000000003</v>
      </c>
      <c r="U260" s="7">
        <v>117</v>
      </c>
      <c r="V260" s="4">
        <v>18811</v>
      </c>
      <c r="W260" s="4">
        <v>3417</v>
      </c>
      <c r="X260" s="18">
        <v>15</v>
      </c>
      <c r="Y260" s="18">
        <v>3250</v>
      </c>
      <c r="Z260" s="18">
        <v>3</v>
      </c>
      <c r="AA260" s="18">
        <v>0</v>
      </c>
      <c r="AB260" s="18">
        <v>149</v>
      </c>
      <c r="AC260" s="18">
        <v>0</v>
      </c>
      <c r="AD260" s="6">
        <v>0.1816490351390144</v>
      </c>
      <c r="AE260" s="6">
        <v>0.182</v>
      </c>
      <c r="AF260" s="6">
        <v>0.54751712783454132</v>
      </c>
      <c r="AG260" s="6">
        <v>0.54700000000000004</v>
      </c>
      <c r="AH260" s="7">
        <v>115</v>
      </c>
    </row>
    <row r="261" spans="2:34" x14ac:dyDescent="0.25">
      <c r="B261" s="3">
        <v>257</v>
      </c>
      <c r="C261" s="3" t="s">
        <v>522</v>
      </c>
      <c r="D261" s="3" t="s">
        <v>523</v>
      </c>
      <c r="E261" s="3" t="s">
        <v>482</v>
      </c>
      <c r="F261" s="3">
        <v>10106</v>
      </c>
      <c r="G261" s="3">
        <v>10</v>
      </c>
      <c r="H261" s="3">
        <v>0.51</v>
      </c>
      <c r="I261" s="4">
        <v>17162</v>
      </c>
      <c r="J261" s="4">
        <v>1193</v>
      </c>
      <c r="K261" s="18">
        <v>0</v>
      </c>
      <c r="L261" s="18">
        <v>972</v>
      </c>
      <c r="M261" s="18">
        <v>0</v>
      </c>
      <c r="N261" s="18">
        <v>0</v>
      </c>
      <c r="O261" s="18">
        <v>221</v>
      </c>
      <c r="P261" s="18">
        <v>0</v>
      </c>
      <c r="Q261" s="6">
        <v>6.9514042652371516E-2</v>
      </c>
      <c r="R261" s="3">
        <v>7.0000000000000007E-2</v>
      </c>
      <c r="S261" s="6">
        <v>0.40371620281927206</v>
      </c>
      <c r="T261" s="25">
        <v>0.40400000000000003</v>
      </c>
      <c r="U261" s="7">
        <v>278</v>
      </c>
      <c r="V261" s="4">
        <v>17831</v>
      </c>
      <c r="W261" s="4">
        <v>997</v>
      </c>
      <c r="X261" s="18">
        <v>0</v>
      </c>
      <c r="Y261" s="18">
        <v>868</v>
      </c>
      <c r="Z261" s="18">
        <v>0</v>
      </c>
      <c r="AA261" s="18">
        <v>0</v>
      </c>
      <c r="AB261" s="18">
        <v>129</v>
      </c>
      <c r="AC261" s="18">
        <v>0</v>
      </c>
      <c r="AD261" s="6">
        <v>5.5913857887947956E-2</v>
      </c>
      <c r="AE261" s="6">
        <v>5.6000000000000001E-2</v>
      </c>
      <c r="AF261" s="6">
        <v>0.40134462535961413</v>
      </c>
      <c r="AG261" s="6">
        <v>0.40100000000000002</v>
      </c>
      <c r="AH261" s="7">
        <v>276</v>
      </c>
    </row>
    <row r="262" spans="2:34" x14ac:dyDescent="0.25">
      <c r="B262" s="3">
        <v>258</v>
      </c>
      <c r="C262" s="3" t="s">
        <v>524</v>
      </c>
      <c r="D262" s="3" t="s">
        <v>525</v>
      </c>
      <c r="E262" s="3" t="s">
        <v>482</v>
      </c>
      <c r="F262" s="3">
        <v>10108</v>
      </c>
      <c r="G262" s="3">
        <v>10</v>
      </c>
      <c r="H262" s="3">
        <v>0.47899999999999998</v>
      </c>
      <c r="I262" s="4">
        <v>15063</v>
      </c>
      <c r="J262" s="4">
        <v>1085</v>
      </c>
      <c r="K262" s="18">
        <v>4</v>
      </c>
      <c r="L262" s="18">
        <v>969</v>
      </c>
      <c r="M262" s="18">
        <v>0</v>
      </c>
      <c r="N262" s="18">
        <v>0</v>
      </c>
      <c r="O262" s="18">
        <v>112</v>
      </c>
      <c r="P262" s="18">
        <v>0</v>
      </c>
      <c r="Q262" s="6">
        <v>7.2030803956715128E-2</v>
      </c>
      <c r="R262" s="3">
        <v>7.1999999999999995E-2</v>
      </c>
      <c r="S262" s="6">
        <v>0.40631021250489707</v>
      </c>
      <c r="T262" s="25">
        <v>0.40600000000000003</v>
      </c>
      <c r="U262" s="7">
        <v>272</v>
      </c>
      <c r="V262" s="4">
        <v>14775</v>
      </c>
      <c r="W262" s="4">
        <v>936</v>
      </c>
      <c r="X262" s="18">
        <v>13</v>
      </c>
      <c r="Y262" s="18">
        <v>844</v>
      </c>
      <c r="Z262" s="18">
        <v>0</v>
      </c>
      <c r="AA262" s="18">
        <v>0</v>
      </c>
      <c r="AB262" s="18">
        <v>79</v>
      </c>
      <c r="AC262" s="18">
        <v>0</v>
      </c>
      <c r="AD262" s="6">
        <v>6.3350253807106599E-2</v>
      </c>
      <c r="AE262" s="6">
        <v>6.3E-2</v>
      </c>
      <c r="AF262" s="6">
        <v>0.40946531994155455</v>
      </c>
      <c r="AG262" s="6">
        <v>0.41</v>
      </c>
      <c r="AH262" s="7">
        <v>265</v>
      </c>
    </row>
    <row r="263" spans="2:34" x14ac:dyDescent="0.25">
      <c r="B263" s="3">
        <v>259</v>
      </c>
      <c r="C263" s="3" t="s">
        <v>526</v>
      </c>
      <c r="D263" s="3" t="s">
        <v>527</v>
      </c>
      <c r="E263" s="3" t="s">
        <v>482</v>
      </c>
      <c r="F263" s="3">
        <v>10301</v>
      </c>
      <c r="G263" s="3">
        <v>10</v>
      </c>
      <c r="H263" s="3">
        <v>0.59899999999999998</v>
      </c>
      <c r="I263" s="4">
        <v>166455</v>
      </c>
      <c r="J263" s="4">
        <v>43939</v>
      </c>
      <c r="K263" s="18">
        <v>38</v>
      </c>
      <c r="L263" s="18">
        <v>32572</v>
      </c>
      <c r="M263" s="18">
        <v>10158</v>
      </c>
      <c r="N263" s="18">
        <v>0</v>
      </c>
      <c r="O263" s="18">
        <v>1140</v>
      </c>
      <c r="P263" s="18">
        <v>31</v>
      </c>
      <c r="Q263" s="6">
        <v>0.26396924093598872</v>
      </c>
      <c r="R263" s="3">
        <v>0.26400000000000001</v>
      </c>
      <c r="S263" s="6">
        <v>0.60413992472618516</v>
      </c>
      <c r="T263" s="25">
        <v>0.60399999999999998</v>
      </c>
      <c r="U263" s="7">
        <v>53</v>
      </c>
      <c r="V263" s="4">
        <v>175670</v>
      </c>
      <c r="W263" s="4">
        <v>43169</v>
      </c>
      <c r="X263" s="18">
        <v>141</v>
      </c>
      <c r="Y263" s="18">
        <v>31367</v>
      </c>
      <c r="Z263" s="18">
        <v>10727</v>
      </c>
      <c r="AA263" s="18">
        <v>0</v>
      </c>
      <c r="AB263" s="18">
        <v>903</v>
      </c>
      <c r="AC263" s="18">
        <v>31</v>
      </c>
      <c r="AD263" s="6">
        <v>0.2457391700347242</v>
      </c>
      <c r="AE263" s="6">
        <v>0.246</v>
      </c>
      <c r="AF263" s="6">
        <v>0.62176347829799639</v>
      </c>
      <c r="AG263" s="6">
        <v>0.621</v>
      </c>
      <c r="AH263" s="7">
        <v>43</v>
      </c>
    </row>
    <row r="264" spans="2:34" x14ac:dyDescent="0.25">
      <c r="B264" s="3">
        <v>260</v>
      </c>
      <c r="C264" s="3" t="s">
        <v>528</v>
      </c>
      <c r="D264" s="3" t="s">
        <v>529</v>
      </c>
      <c r="E264" s="3" t="s">
        <v>482</v>
      </c>
      <c r="F264" s="3">
        <v>10404</v>
      </c>
      <c r="G264" s="3">
        <v>10</v>
      </c>
      <c r="H264" s="3"/>
      <c r="I264" s="4">
        <v>1903</v>
      </c>
      <c r="J264" s="4">
        <v>369</v>
      </c>
      <c r="K264" s="18">
        <v>10</v>
      </c>
      <c r="L264" s="18">
        <v>241</v>
      </c>
      <c r="M264" s="18">
        <v>0</v>
      </c>
      <c r="N264" s="18">
        <v>0</v>
      </c>
      <c r="O264" s="18">
        <v>118</v>
      </c>
      <c r="P264" s="18">
        <v>0</v>
      </c>
      <c r="Q264" s="6">
        <v>0.19390436153441934</v>
      </c>
      <c r="R264" s="3">
        <v>0.19400000000000001</v>
      </c>
      <c r="S264" s="6">
        <v>0.53192450426650684</v>
      </c>
      <c r="T264" s="25">
        <v>0.53200000000000003</v>
      </c>
      <c r="U264" s="7">
        <v>123</v>
      </c>
      <c r="V264" s="4">
        <v>1824</v>
      </c>
      <c r="W264" s="4">
        <v>330</v>
      </c>
      <c r="X264" s="18">
        <v>18</v>
      </c>
      <c r="Y264" s="18">
        <v>234</v>
      </c>
      <c r="Z264" s="18">
        <v>0</v>
      </c>
      <c r="AA264" s="18">
        <v>0</v>
      </c>
      <c r="AB264" s="18">
        <v>78</v>
      </c>
      <c r="AC264" s="18">
        <v>0</v>
      </c>
      <c r="AD264" s="6">
        <v>0.18092105263157895</v>
      </c>
      <c r="AE264" s="6">
        <v>0.18099999999999999</v>
      </c>
      <c r="AF264" s="6">
        <v>0.54635702860854984</v>
      </c>
      <c r="AG264" s="6">
        <v>0.54600000000000004</v>
      </c>
      <c r="AH264" s="7">
        <v>117</v>
      </c>
    </row>
    <row r="265" spans="2:34" x14ac:dyDescent="0.25">
      <c r="B265" s="3">
        <v>261</v>
      </c>
      <c r="C265" s="3" t="s">
        <v>530</v>
      </c>
      <c r="D265" s="3" t="s">
        <v>531</v>
      </c>
      <c r="E265" s="3" t="s">
        <v>482</v>
      </c>
      <c r="F265" s="3">
        <v>10101</v>
      </c>
      <c r="G265" s="3">
        <v>10</v>
      </c>
      <c r="H265" s="3">
        <v>0.59399999999999997</v>
      </c>
      <c r="I265" s="4">
        <v>277040</v>
      </c>
      <c r="J265" s="4">
        <v>65895</v>
      </c>
      <c r="K265" s="18">
        <v>134</v>
      </c>
      <c r="L265" s="18">
        <v>49772</v>
      </c>
      <c r="M265" s="18">
        <v>13202</v>
      </c>
      <c r="N265" s="18">
        <v>0</v>
      </c>
      <c r="O265" s="18">
        <v>2775</v>
      </c>
      <c r="P265" s="18">
        <v>12</v>
      </c>
      <c r="Q265" s="6">
        <v>0.23785373953219752</v>
      </c>
      <c r="R265" s="3">
        <v>0.23799999999999999</v>
      </c>
      <c r="S265" s="6">
        <v>0.57722284543484681</v>
      </c>
      <c r="T265" s="25">
        <v>0.57699999999999996</v>
      </c>
      <c r="U265" s="7">
        <v>82</v>
      </c>
      <c r="V265" s="4">
        <v>278255</v>
      </c>
      <c r="W265" s="4">
        <v>63992</v>
      </c>
      <c r="X265" s="18">
        <v>304</v>
      </c>
      <c r="Y265" s="18">
        <v>46970</v>
      </c>
      <c r="Z265" s="18">
        <v>14207</v>
      </c>
      <c r="AA265" s="18">
        <v>1</v>
      </c>
      <c r="AB265" s="18">
        <v>2498</v>
      </c>
      <c r="AC265" s="18">
        <v>12</v>
      </c>
      <c r="AD265" s="6">
        <v>0.2299761010583817</v>
      </c>
      <c r="AE265" s="6">
        <v>0.23</v>
      </c>
      <c r="AF265" s="6">
        <v>0.60320189068213259</v>
      </c>
      <c r="AG265" s="6">
        <v>0.60299999999999998</v>
      </c>
      <c r="AH265" s="7">
        <v>58</v>
      </c>
    </row>
    <row r="266" spans="2:34" x14ac:dyDescent="0.25">
      <c r="B266" s="3">
        <v>262</v>
      </c>
      <c r="C266" s="3" t="s">
        <v>532</v>
      </c>
      <c r="D266" s="3" t="s">
        <v>533</v>
      </c>
      <c r="E266" s="3" t="s">
        <v>482</v>
      </c>
      <c r="F266" s="3">
        <v>10302</v>
      </c>
      <c r="G266" s="3">
        <v>10</v>
      </c>
      <c r="H266" s="3">
        <v>0.39100000000000001</v>
      </c>
      <c r="I266" s="4">
        <v>8865</v>
      </c>
      <c r="J266" s="4">
        <v>729</v>
      </c>
      <c r="K266" s="18">
        <v>2</v>
      </c>
      <c r="L266" s="18">
        <v>386</v>
      </c>
      <c r="M266" s="18">
        <v>0</v>
      </c>
      <c r="N266" s="18">
        <v>0</v>
      </c>
      <c r="O266" s="18">
        <v>341</v>
      </c>
      <c r="P266" s="18">
        <v>0</v>
      </c>
      <c r="Q266" s="6">
        <v>8.223350253807106E-2</v>
      </c>
      <c r="R266" s="3">
        <v>8.2000000000000003E-2</v>
      </c>
      <c r="S266" s="6">
        <v>0.41682606829697144</v>
      </c>
      <c r="T266" s="25">
        <v>0.41699999999999998</v>
      </c>
      <c r="U266" s="7">
        <v>258</v>
      </c>
      <c r="V266" s="4">
        <v>9089</v>
      </c>
      <c r="W266" s="4">
        <v>570</v>
      </c>
      <c r="X266" s="18">
        <v>7</v>
      </c>
      <c r="Y266" s="18">
        <v>339</v>
      </c>
      <c r="Z266" s="18">
        <v>0</v>
      </c>
      <c r="AA266" s="18">
        <v>0</v>
      </c>
      <c r="AB266" s="18">
        <v>224</v>
      </c>
      <c r="AC266" s="18">
        <v>0</v>
      </c>
      <c r="AD266" s="6">
        <v>6.2713169765650792E-2</v>
      </c>
      <c r="AE266" s="6">
        <v>6.3E-2</v>
      </c>
      <c r="AF266" s="6">
        <v>0.40946531994155455</v>
      </c>
      <c r="AG266" s="6">
        <v>0.40899999999999997</v>
      </c>
      <c r="AH266" s="7">
        <v>267</v>
      </c>
    </row>
    <row r="267" spans="2:34" x14ac:dyDescent="0.25">
      <c r="B267" s="3">
        <v>263</v>
      </c>
      <c r="C267" s="3" t="s">
        <v>534</v>
      </c>
      <c r="D267" s="3" t="s">
        <v>535</v>
      </c>
      <c r="E267" s="3" t="s">
        <v>482</v>
      </c>
      <c r="F267" s="3">
        <v>10109</v>
      </c>
      <c r="G267" s="3">
        <v>10</v>
      </c>
      <c r="H267" s="3">
        <v>0.58299999999999996</v>
      </c>
      <c r="I267" s="4">
        <v>52942</v>
      </c>
      <c r="J267" s="4">
        <v>13373</v>
      </c>
      <c r="K267" s="18">
        <v>25</v>
      </c>
      <c r="L267" s="18">
        <v>10003</v>
      </c>
      <c r="M267" s="18">
        <v>2408</v>
      </c>
      <c r="N267" s="18">
        <v>0</v>
      </c>
      <c r="O267" s="18">
        <v>935</v>
      </c>
      <c r="P267" s="18">
        <v>2</v>
      </c>
      <c r="Q267" s="6">
        <v>0.25259718182161611</v>
      </c>
      <c r="R267" s="3">
        <v>0.253</v>
      </c>
      <c r="S267" s="6">
        <v>0.59241881655542961</v>
      </c>
      <c r="T267" s="25">
        <v>0.59199999999999997</v>
      </c>
      <c r="U267" s="7">
        <v>64</v>
      </c>
      <c r="V267" s="4">
        <v>50669</v>
      </c>
      <c r="W267" s="4">
        <v>12857</v>
      </c>
      <c r="X267" s="18">
        <v>45</v>
      </c>
      <c r="Y267" s="18">
        <v>9691</v>
      </c>
      <c r="Z267" s="18">
        <v>2471</v>
      </c>
      <c r="AA267" s="18">
        <v>0</v>
      </c>
      <c r="AB267" s="18">
        <v>648</v>
      </c>
      <c r="AC267" s="18">
        <v>2</v>
      </c>
      <c r="AD267" s="6">
        <v>0.25374489332728101</v>
      </c>
      <c r="AE267" s="6">
        <v>0.254</v>
      </c>
      <c r="AF267" s="6">
        <v>0.63104427210592828</v>
      </c>
      <c r="AG267" s="6">
        <v>0.63100000000000001</v>
      </c>
      <c r="AH267" s="7">
        <v>35</v>
      </c>
    </row>
    <row r="268" spans="2:34" x14ac:dyDescent="0.25">
      <c r="B268" s="3">
        <v>264</v>
      </c>
      <c r="C268" s="3" t="s">
        <v>536</v>
      </c>
      <c r="D268" s="3" t="s">
        <v>537</v>
      </c>
      <c r="E268" s="3" t="s">
        <v>482</v>
      </c>
      <c r="F268" s="3">
        <v>10206</v>
      </c>
      <c r="G268" s="3">
        <v>10</v>
      </c>
      <c r="H268" s="3"/>
      <c r="I268" s="4">
        <v>4048</v>
      </c>
      <c r="J268" s="4">
        <v>134</v>
      </c>
      <c r="K268" s="18">
        <v>1</v>
      </c>
      <c r="L268" s="18">
        <v>106</v>
      </c>
      <c r="M268" s="18">
        <v>0</v>
      </c>
      <c r="N268" s="18">
        <v>0</v>
      </c>
      <c r="O268" s="18">
        <v>27</v>
      </c>
      <c r="P268" s="18">
        <v>0</v>
      </c>
      <c r="Q268" s="6">
        <v>3.3102766798418976E-2</v>
      </c>
      <c r="R268" s="3">
        <v>3.3000000000000002E-2</v>
      </c>
      <c r="S268" s="6">
        <v>0.36618733503665485</v>
      </c>
      <c r="T268" s="25">
        <v>0.36599999999999999</v>
      </c>
      <c r="U268" s="7">
        <v>322</v>
      </c>
      <c r="V268" s="4">
        <v>4191</v>
      </c>
      <c r="W268" s="4">
        <v>137</v>
      </c>
      <c r="X268" s="18">
        <v>11</v>
      </c>
      <c r="Y268" s="18">
        <v>100</v>
      </c>
      <c r="Z268" s="18">
        <v>0</v>
      </c>
      <c r="AA268" s="18">
        <v>0</v>
      </c>
      <c r="AB268" s="18">
        <v>26</v>
      </c>
      <c r="AC268" s="18">
        <v>0</v>
      </c>
      <c r="AD268" s="6">
        <v>3.2689095681221664E-2</v>
      </c>
      <c r="AE268" s="6">
        <v>3.3000000000000002E-2</v>
      </c>
      <c r="AF268" s="6">
        <v>0.37466234316181002</v>
      </c>
      <c r="AG268" s="6">
        <v>0.375</v>
      </c>
      <c r="AH268" s="7">
        <v>313</v>
      </c>
    </row>
    <row r="269" spans="2:34" x14ac:dyDescent="0.25">
      <c r="B269" s="3">
        <v>265</v>
      </c>
      <c r="C269" s="3" t="s">
        <v>538</v>
      </c>
      <c r="D269" s="3" t="s">
        <v>539</v>
      </c>
      <c r="E269" s="3" t="s">
        <v>482</v>
      </c>
      <c r="F269" s="3">
        <v>10303</v>
      </c>
      <c r="G269" s="3">
        <v>10</v>
      </c>
      <c r="H269" s="3">
        <v>0.53600000000000003</v>
      </c>
      <c r="I269" s="4">
        <v>19542</v>
      </c>
      <c r="J269" s="4">
        <v>3126</v>
      </c>
      <c r="K269" s="18">
        <v>6</v>
      </c>
      <c r="L269" s="18">
        <v>2893</v>
      </c>
      <c r="M269" s="18">
        <v>0</v>
      </c>
      <c r="N269" s="18">
        <v>0</v>
      </c>
      <c r="O269" s="18">
        <v>227</v>
      </c>
      <c r="P269" s="18">
        <v>0</v>
      </c>
      <c r="Q269" s="6">
        <v>0.15996315627878416</v>
      </c>
      <c r="R269" s="3">
        <v>0.16</v>
      </c>
      <c r="S269" s="6">
        <v>0.49694152235918276</v>
      </c>
      <c r="T269" s="25">
        <v>0.497</v>
      </c>
      <c r="U269" s="7">
        <v>167</v>
      </c>
      <c r="V269" s="4">
        <v>20998</v>
      </c>
      <c r="W269" s="4">
        <v>2968</v>
      </c>
      <c r="X269" s="18">
        <v>11</v>
      </c>
      <c r="Y269" s="18">
        <v>2828</v>
      </c>
      <c r="Z269" s="18">
        <v>0</v>
      </c>
      <c r="AA269" s="18">
        <v>0</v>
      </c>
      <c r="AB269" s="18">
        <v>129</v>
      </c>
      <c r="AC269" s="18">
        <v>0</v>
      </c>
      <c r="AD269" s="6">
        <v>0.14134679493285074</v>
      </c>
      <c r="AE269" s="6">
        <v>0.14099999999999999</v>
      </c>
      <c r="AF269" s="6">
        <v>0.49995305956889041</v>
      </c>
      <c r="AG269" s="6">
        <v>0.5</v>
      </c>
      <c r="AH269" s="7">
        <v>160</v>
      </c>
    </row>
    <row r="270" spans="2:34" x14ac:dyDescent="0.25">
      <c r="B270" s="3">
        <v>266</v>
      </c>
      <c r="C270" s="3" t="s">
        <v>540</v>
      </c>
      <c r="D270" s="3" t="s">
        <v>541</v>
      </c>
      <c r="E270" s="3" t="s">
        <v>482</v>
      </c>
      <c r="F270" s="3">
        <v>10304</v>
      </c>
      <c r="G270" s="3">
        <v>10</v>
      </c>
      <c r="H270" s="3">
        <v>0.51100000000000001</v>
      </c>
      <c r="I270" s="4">
        <v>11712</v>
      </c>
      <c r="J270" s="4">
        <v>1230</v>
      </c>
      <c r="K270" s="18">
        <v>3</v>
      </c>
      <c r="L270" s="18">
        <v>881</v>
      </c>
      <c r="M270" s="18">
        <v>0</v>
      </c>
      <c r="N270" s="18">
        <v>0</v>
      </c>
      <c r="O270" s="18">
        <v>346</v>
      </c>
      <c r="P270" s="18">
        <v>0</v>
      </c>
      <c r="Q270" s="6">
        <v>0.10502049180327869</v>
      </c>
      <c r="R270" s="3">
        <v>0.105</v>
      </c>
      <c r="S270" s="6">
        <v>0.4403124715399675</v>
      </c>
      <c r="T270" s="25">
        <v>0.44</v>
      </c>
      <c r="U270" s="7">
        <v>233</v>
      </c>
      <c r="V270" s="4">
        <v>11813</v>
      </c>
      <c r="W270" s="4">
        <v>1167</v>
      </c>
      <c r="X270" s="18">
        <v>6</v>
      </c>
      <c r="Y270" s="18">
        <v>912</v>
      </c>
      <c r="Z270" s="18">
        <v>0</v>
      </c>
      <c r="AA270" s="18">
        <v>0</v>
      </c>
      <c r="AB270" s="18">
        <v>249</v>
      </c>
      <c r="AC270" s="18">
        <v>0</v>
      </c>
      <c r="AD270" s="6">
        <v>9.8789469228815707E-2</v>
      </c>
      <c r="AE270" s="6">
        <v>9.9000000000000005E-2</v>
      </c>
      <c r="AF270" s="6">
        <v>0.45122889207724803</v>
      </c>
      <c r="AG270" s="6">
        <v>0.45100000000000001</v>
      </c>
      <c r="AH270" s="7">
        <v>219</v>
      </c>
    </row>
    <row r="271" spans="2:34" x14ac:dyDescent="0.25">
      <c r="B271" s="3">
        <v>267</v>
      </c>
      <c r="C271" s="3" t="s">
        <v>542</v>
      </c>
      <c r="D271" s="3" t="s">
        <v>543</v>
      </c>
      <c r="E271" s="3" t="s">
        <v>482</v>
      </c>
      <c r="F271" s="3">
        <v>10207</v>
      </c>
      <c r="G271" s="3">
        <v>10</v>
      </c>
      <c r="H271" s="3">
        <v>0.35599999999999998</v>
      </c>
      <c r="I271" s="4">
        <v>5690</v>
      </c>
      <c r="J271" s="4">
        <v>420</v>
      </c>
      <c r="K271" s="18">
        <v>2</v>
      </c>
      <c r="L271" s="18">
        <v>333</v>
      </c>
      <c r="M271" s="18">
        <v>0</v>
      </c>
      <c r="N271" s="18">
        <v>0</v>
      </c>
      <c r="O271" s="18">
        <v>85</v>
      </c>
      <c r="P271" s="18">
        <v>0</v>
      </c>
      <c r="Q271" s="6">
        <v>7.3813708260105443E-2</v>
      </c>
      <c r="R271" s="3">
        <v>7.3999999999999996E-2</v>
      </c>
      <c r="S271" s="6">
        <v>0.40814784050066899</v>
      </c>
      <c r="T271" s="25">
        <v>0.40799999999999997</v>
      </c>
      <c r="U271" s="7">
        <v>270</v>
      </c>
      <c r="V271" s="4">
        <v>5543</v>
      </c>
      <c r="W271" s="4">
        <v>449</v>
      </c>
      <c r="X271" s="18">
        <v>9</v>
      </c>
      <c r="Y271" s="18">
        <v>378</v>
      </c>
      <c r="Z271" s="18">
        <v>0</v>
      </c>
      <c r="AA271" s="18">
        <v>0</v>
      </c>
      <c r="AB271" s="18">
        <v>62</v>
      </c>
      <c r="AC271" s="18">
        <v>0</v>
      </c>
      <c r="AD271" s="6">
        <v>8.1003066931264661E-2</v>
      </c>
      <c r="AE271" s="6">
        <v>8.1000000000000003E-2</v>
      </c>
      <c r="AF271" s="6">
        <v>0.43034710600940129</v>
      </c>
      <c r="AG271" s="6">
        <v>0.43099999999999999</v>
      </c>
      <c r="AH271" s="7">
        <v>239</v>
      </c>
    </row>
    <row r="272" spans="2:34" x14ac:dyDescent="0.25">
      <c r="B272" s="3">
        <v>268</v>
      </c>
      <c r="C272" s="3" t="s">
        <v>544</v>
      </c>
      <c r="D272" s="3" t="s">
        <v>545</v>
      </c>
      <c r="E272" s="3" t="s">
        <v>482</v>
      </c>
      <c r="F272" s="3">
        <v>10208</v>
      </c>
      <c r="G272" s="3">
        <v>10</v>
      </c>
      <c r="H272" s="3">
        <v>0.45600000000000002</v>
      </c>
      <c r="I272" s="4">
        <v>28460</v>
      </c>
      <c r="J272" s="4">
        <v>3137</v>
      </c>
      <c r="K272" s="18">
        <v>20</v>
      </c>
      <c r="L272" s="18">
        <v>2652</v>
      </c>
      <c r="M272" s="18">
        <v>0</v>
      </c>
      <c r="N272" s="18">
        <v>0</v>
      </c>
      <c r="O272" s="18">
        <v>465</v>
      </c>
      <c r="P272" s="18">
        <v>0</v>
      </c>
      <c r="Q272" s="6">
        <v>0.11022487702037947</v>
      </c>
      <c r="R272" s="3">
        <v>0.11</v>
      </c>
      <c r="S272" s="6">
        <v>0.44567659790252068</v>
      </c>
      <c r="T272" s="25">
        <v>0.44600000000000001</v>
      </c>
      <c r="U272" s="7">
        <v>224</v>
      </c>
      <c r="V272" s="4">
        <v>29942</v>
      </c>
      <c r="W272" s="4">
        <v>3177</v>
      </c>
      <c r="X272" s="18">
        <v>51</v>
      </c>
      <c r="Y272" s="18">
        <v>2693</v>
      </c>
      <c r="Z272" s="18">
        <v>0</v>
      </c>
      <c r="AA272" s="18">
        <v>0</v>
      </c>
      <c r="AB272" s="18">
        <v>433</v>
      </c>
      <c r="AC272" s="18">
        <v>0</v>
      </c>
      <c r="AD272" s="6">
        <v>0.10610513659742168</v>
      </c>
      <c r="AE272" s="6">
        <v>0.106</v>
      </c>
      <c r="AF272" s="6">
        <v>0.4593495866591884</v>
      </c>
      <c r="AG272" s="6">
        <v>0.46</v>
      </c>
      <c r="AH272" s="7">
        <v>205</v>
      </c>
    </row>
    <row r="273" spans="2:34" x14ac:dyDescent="0.25">
      <c r="B273" s="3">
        <v>269</v>
      </c>
      <c r="C273" s="3" t="s">
        <v>546</v>
      </c>
      <c r="D273" s="3" t="s">
        <v>547</v>
      </c>
      <c r="E273" s="3" t="s">
        <v>482</v>
      </c>
      <c r="F273" s="3">
        <v>10209</v>
      </c>
      <c r="G273" s="3">
        <v>10</v>
      </c>
      <c r="H273" s="3">
        <v>0.36899999999999999</v>
      </c>
      <c r="I273" s="4">
        <v>8409</v>
      </c>
      <c r="J273" s="4">
        <v>626</v>
      </c>
      <c r="K273" s="18">
        <v>1</v>
      </c>
      <c r="L273" s="18">
        <v>412</v>
      </c>
      <c r="M273" s="18">
        <v>0</v>
      </c>
      <c r="N273" s="18">
        <v>0</v>
      </c>
      <c r="O273" s="18">
        <v>213</v>
      </c>
      <c r="P273" s="18">
        <v>0</v>
      </c>
      <c r="Q273" s="6">
        <v>7.4444048043762631E-2</v>
      </c>
      <c r="R273" s="3">
        <v>7.3999999999999996E-2</v>
      </c>
      <c r="S273" s="6">
        <v>0.40879752766059929</v>
      </c>
      <c r="T273" s="25">
        <v>0.40899999999999997</v>
      </c>
      <c r="U273" s="7">
        <v>269</v>
      </c>
      <c r="V273" s="4">
        <v>8760</v>
      </c>
      <c r="W273" s="4">
        <v>468</v>
      </c>
      <c r="X273" s="18">
        <v>5</v>
      </c>
      <c r="Y273" s="18">
        <v>407</v>
      </c>
      <c r="Z273" s="18">
        <v>0</v>
      </c>
      <c r="AA273" s="18">
        <v>0</v>
      </c>
      <c r="AB273" s="18">
        <v>56</v>
      </c>
      <c r="AC273" s="18">
        <v>0</v>
      </c>
      <c r="AD273" s="6">
        <v>5.3424657534246578E-2</v>
      </c>
      <c r="AE273" s="6">
        <v>5.2999999999999999E-2</v>
      </c>
      <c r="AF273" s="6">
        <v>0.39786432768163971</v>
      </c>
      <c r="AG273" s="6">
        <v>0.39900000000000002</v>
      </c>
      <c r="AH273" s="7">
        <v>280</v>
      </c>
    </row>
    <row r="274" spans="2:34" x14ac:dyDescent="0.25">
      <c r="B274" s="3">
        <v>270</v>
      </c>
      <c r="C274" s="3" t="s">
        <v>548</v>
      </c>
      <c r="D274" s="3" t="s">
        <v>549</v>
      </c>
      <c r="E274" s="3" t="s">
        <v>482</v>
      </c>
      <c r="F274" s="3">
        <v>10210</v>
      </c>
      <c r="G274" s="3">
        <v>10</v>
      </c>
      <c r="H274" s="3">
        <v>0.47099999999999997</v>
      </c>
      <c r="I274" s="4">
        <v>7678</v>
      </c>
      <c r="J274" s="4">
        <v>435</v>
      </c>
      <c r="K274" s="18">
        <v>8</v>
      </c>
      <c r="L274" s="18">
        <v>367</v>
      </c>
      <c r="M274" s="18">
        <v>0</v>
      </c>
      <c r="N274" s="18">
        <v>0</v>
      </c>
      <c r="O274" s="18">
        <v>60</v>
      </c>
      <c r="P274" s="18">
        <v>0</v>
      </c>
      <c r="Q274" s="6">
        <v>5.6655379004949206E-2</v>
      </c>
      <c r="R274" s="3">
        <v>5.7000000000000002E-2</v>
      </c>
      <c r="S274" s="6">
        <v>0.39046286091988697</v>
      </c>
      <c r="T274" s="25">
        <v>0.39</v>
      </c>
      <c r="U274" s="7">
        <v>296</v>
      </c>
      <c r="V274" s="4">
        <v>8212</v>
      </c>
      <c r="W274" s="4">
        <v>421</v>
      </c>
      <c r="X274" s="18">
        <v>19</v>
      </c>
      <c r="Y274" s="18">
        <v>368</v>
      </c>
      <c r="Z274" s="18">
        <v>0</v>
      </c>
      <c r="AA274" s="18">
        <v>0</v>
      </c>
      <c r="AB274" s="18">
        <v>34</v>
      </c>
      <c r="AC274" s="18">
        <v>0</v>
      </c>
      <c r="AD274" s="6">
        <v>5.1266439357038479E-2</v>
      </c>
      <c r="AE274" s="6">
        <v>5.0999999999999997E-2</v>
      </c>
      <c r="AF274" s="6">
        <v>0.3955441292296567</v>
      </c>
      <c r="AG274" s="6">
        <v>0.39600000000000002</v>
      </c>
      <c r="AH274" s="7">
        <v>284</v>
      </c>
    </row>
    <row r="275" spans="2:34" x14ac:dyDescent="0.25">
      <c r="B275" s="3">
        <v>271</v>
      </c>
      <c r="C275" s="3" t="s">
        <v>550</v>
      </c>
      <c r="D275" s="3" t="s">
        <v>551</v>
      </c>
      <c r="E275" s="3" t="s">
        <v>482</v>
      </c>
      <c r="F275" s="3">
        <v>10305</v>
      </c>
      <c r="G275" s="3">
        <v>10</v>
      </c>
      <c r="H275" s="3">
        <v>0.48899999999999999</v>
      </c>
      <c r="I275" s="4">
        <v>13874</v>
      </c>
      <c r="J275" s="4">
        <v>1685</v>
      </c>
      <c r="K275" s="18">
        <v>8</v>
      </c>
      <c r="L275" s="18">
        <v>1486</v>
      </c>
      <c r="M275" s="18">
        <v>0</v>
      </c>
      <c r="N275" s="18">
        <v>0</v>
      </c>
      <c r="O275" s="18">
        <v>191</v>
      </c>
      <c r="P275" s="18">
        <v>0</v>
      </c>
      <c r="Q275" s="6">
        <v>0.12145019460862044</v>
      </c>
      <c r="R275" s="3">
        <v>0.121</v>
      </c>
      <c r="S275" s="6">
        <v>0.45724646052630602</v>
      </c>
      <c r="T275" s="25">
        <v>0.45700000000000002</v>
      </c>
      <c r="U275" s="7">
        <v>206</v>
      </c>
      <c r="V275" s="4">
        <v>14133</v>
      </c>
      <c r="W275" s="4">
        <v>1611</v>
      </c>
      <c r="X275" s="18">
        <v>11</v>
      </c>
      <c r="Y275" s="18">
        <v>1448</v>
      </c>
      <c r="Z275" s="18">
        <v>0</v>
      </c>
      <c r="AA275" s="18">
        <v>0</v>
      </c>
      <c r="AB275" s="18">
        <v>152</v>
      </c>
      <c r="AC275" s="18">
        <v>0</v>
      </c>
      <c r="AD275" s="6">
        <v>0.11398853746550626</v>
      </c>
      <c r="AE275" s="6">
        <v>0.114</v>
      </c>
      <c r="AF275" s="6">
        <v>0.4686303804671203</v>
      </c>
      <c r="AG275" s="6">
        <v>0.46899999999999997</v>
      </c>
      <c r="AH275" s="7">
        <v>193</v>
      </c>
    </row>
    <row r="276" spans="2:34" x14ac:dyDescent="0.25">
      <c r="B276" s="3">
        <v>272</v>
      </c>
      <c r="C276" s="3" t="s">
        <v>552</v>
      </c>
      <c r="D276" s="3" t="s">
        <v>553</v>
      </c>
      <c r="E276" s="3" t="s">
        <v>482</v>
      </c>
      <c r="F276" s="3">
        <v>10306</v>
      </c>
      <c r="G276" s="3">
        <v>10</v>
      </c>
      <c r="H276" s="3"/>
      <c r="I276" s="4">
        <v>7776</v>
      </c>
      <c r="J276" s="4">
        <v>98</v>
      </c>
      <c r="K276" s="18">
        <v>0</v>
      </c>
      <c r="L276" s="18">
        <v>0</v>
      </c>
      <c r="M276" s="18">
        <v>0</v>
      </c>
      <c r="N276" s="18">
        <v>0</v>
      </c>
      <c r="O276" s="18">
        <v>98</v>
      </c>
      <c r="P276" s="18">
        <v>0</v>
      </c>
      <c r="Q276" s="6">
        <v>1.2602880658436214E-2</v>
      </c>
      <c r="R276" s="3">
        <v>1.2999999999999999E-2</v>
      </c>
      <c r="S276" s="6">
        <v>0.34505823427149707</v>
      </c>
      <c r="T276" s="25">
        <v>0.34499999999999997</v>
      </c>
      <c r="U276" s="7">
        <v>343</v>
      </c>
      <c r="V276" s="4">
        <v>7482</v>
      </c>
      <c r="W276" s="4">
        <v>40</v>
      </c>
      <c r="X276" s="18">
        <v>0</v>
      </c>
      <c r="Y276" s="18">
        <v>0</v>
      </c>
      <c r="Z276" s="18">
        <v>0</v>
      </c>
      <c r="AA276" s="18">
        <v>0</v>
      </c>
      <c r="AB276" s="18">
        <v>40</v>
      </c>
      <c r="AC276" s="18">
        <v>0</v>
      </c>
      <c r="AD276" s="6">
        <v>5.3461641272387062E-3</v>
      </c>
      <c r="AE276" s="6">
        <v>5.0000000000000001E-3</v>
      </c>
      <c r="AF276" s="6">
        <v>0.34217956483404843</v>
      </c>
      <c r="AG276" s="6">
        <v>0.34300000000000003</v>
      </c>
      <c r="AH276" s="7">
        <v>343</v>
      </c>
    </row>
    <row r="277" spans="2:34" x14ac:dyDescent="0.25">
      <c r="B277" s="3">
        <v>273</v>
      </c>
      <c r="C277" s="3" t="s">
        <v>554</v>
      </c>
      <c r="D277" s="3" t="s">
        <v>555</v>
      </c>
      <c r="E277" s="3" t="s">
        <v>482</v>
      </c>
      <c r="F277" s="3">
        <v>10307</v>
      </c>
      <c r="G277" s="3">
        <v>10</v>
      </c>
      <c r="H277" s="3">
        <v>0.36</v>
      </c>
      <c r="I277" s="4">
        <v>10883</v>
      </c>
      <c r="J277" s="4">
        <v>1286</v>
      </c>
      <c r="K277" s="18">
        <v>1</v>
      </c>
      <c r="L277" s="18">
        <v>1105</v>
      </c>
      <c r="M277" s="18">
        <v>0</v>
      </c>
      <c r="N277" s="18">
        <v>0</v>
      </c>
      <c r="O277" s="18">
        <v>180</v>
      </c>
      <c r="P277" s="18">
        <v>0</v>
      </c>
      <c r="Q277" s="6">
        <v>0.11816594688964439</v>
      </c>
      <c r="R277" s="3">
        <v>0.11799999999999999</v>
      </c>
      <c r="S277" s="6">
        <v>0.45386140753049248</v>
      </c>
      <c r="T277" s="25">
        <v>0.45400000000000001</v>
      </c>
      <c r="U277" s="7">
        <v>214</v>
      </c>
      <c r="V277" s="4">
        <v>10543</v>
      </c>
      <c r="W277" s="4">
        <v>1150</v>
      </c>
      <c r="X277" s="18">
        <v>6</v>
      </c>
      <c r="Y277" s="18">
        <v>1021</v>
      </c>
      <c r="Z277" s="18">
        <v>0</v>
      </c>
      <c r="AA277" s="18">
        <v>0</v>
      </c>
      <c r="AB277" s="18">
        <v>123</v>
      </c>
      <c r="AC277" s="18">
        <v>0</v>
      </c>
      <c r="AD277" s="6">
        <v>0.10907711277624964</v>
      </c>
      <c r="AE277" s="6">
        <v>0.109</v>
      </c>
      <c r="AF277" s="6">
        <v>0.46282988433716288</v>
      </c>
      <c r="AG277" s="6">
        <v>0.46300000000000002</v>
      </c>
      <c r="AH277" s="7">
        <v>200</v>
      </c>
    </row>
    <row r="278" spans="2:34" x14ac:dyDescent="0.25">
      <c r="B278" s="3">
        <v>274</v>
      </c>
      <c r="C278" s="3" t="s">
        <v>556</v>
      </c>
      <c r="D278" s="3" t="s">
        <v>557</v>
      </c>
      <c r="E278" s="3" t="s">
        <v>705</v>
      </c>
      <c r="F278" s="3">
        <v>11201</v>
      </c>
      <c r="G278" s="3">
        <v>11</v>
      </c>
      <c r="H278" s="3">
        <v>0.56299999999999994</v>
      </c>
      <c r="I278" s="4">
        <v>23170</v>
      </c>
      <c r="J278" s="4">
        <v>5347</v>
      </c>
      <c r="K278" s="18">
        <v>18</v>
      </c>
      <c r="L278" s="18">
        <v>4717</v>
      </c>
      <c r="M278" s="18">
        <v>0</v>
      </c>
      <c r="N278" s="18">
        <v>0</v>
      </c>
      <c r="O278" s="18">
        <v>612</v>
      </c>
      <c r="P278" s="18">
        <v>0</v>
      </c>
      <c r="Q278" s="6">
        <v>0.23077255071212774</v>
      </c>
      <c r="R278" s="3">
        <v>0.23100000000000001</v>
      </c>
      <c r="S278" s="6">
        <v>0.5699243096725165</v>
      </c>
      <c r="T278" s="25">
        <v>0.56999999999999995</v>
      </c>
      <c r="U278" s="7">
        <v>90</v>
      </c>
      <c r="V278" s="4">
        <v>25180</v>
      </c>
      <c r="W278" s="4">
        <v>5212</v>
      </c>
      <c r="X278" s="18">
        <v>30</v>
      </c>
      <c r="Y278" s="18">
        <v>4744</v>
      </c>
      <c r="Z278" s="18">
        <v>0</v>
      </c>
      <c r="AA278" s="18">
        <v>0</v>
      </c>
      <c r="AB278" s="18">
        <v>438</v>
      </c>
      <c r="AC278" s="18">
        <v>0</v>
      </c>
      <c r="AD278" s="6">
        <v>0.20698967434471802</v>
      </c>
      <c r="AE278" s="6">
        <v>0.20699999999999999</v>
      </c>
      <c r="AF278" s="6">
        <v>0.57651960848432837</v>
      </c>
      <c r="AG278" s="6">
        <v>0.57599999999999996</v>
      </c>
      <c r="AH278" s="7">
        <v>86</v>
      </c>
    </row>
    <row r="279" spans="2:34" x14ac:dyDescent="0.25">
      <c r="B279" s="3">
        <v>275</v>
      </c>
      <c r="C279" s="3" t="s">
        <v>558</v>
      </c>
      <c r="D279" s="3" t="s">
        <v>559</v>
      </c>
      <c r="E279" s="3" t="s">
        <v>705</v>
      </c>
      <c r="F279" s="3">
        <v>11401</v>
      </c>
      <c r="G279" s="3">
        <v>11</v>
      </c>
      <c r="H279" s="3">
        <v>0.49299999999999999</v>
      </c>
      <c r="I279" s="4">
        <v>4905</v>
      </c>
      <c r="J279" s="4">
        <v>748</v>
      </c>
      <c r="K279" s="18">
        <v>25</v>
      </c>
      <c r="L279" s="18">
        <v>600</v>
      </c>
      <c r="M279" s="18">
        <v>0</v>
      </c>
      <c r="N279" s="18">
        <v>0</v>
      </c>
      <c r="O279" s="18">
        <v>123</v>
      </c>
      <c r="P279" s="18">
        <v>0</v>
      </c>
      <c r="Q279" s="6">
        <v>0.1524974515800204</v>
      </c>
      <c r="R279" s="3">
        <v>0.152</v>
      </c>
      <c r="S279" s="6">
        <v>0.48924666855433996</v>
      </c>
      <c r="T279" s="25">
        <v>0.48899999999999999</v>
      </c>
      <c r="U279" s="7">
        <v>178</v>
      </c>
      <c r="V279" s="4">
        <v>5157</v>
      </c>
      <c r="W279" s="4">
        <v>714</v>
      </c>
      <c r="X279" s="18">
        <v>37</v>
      </c>
      <c r="Y279" s="18">
        <v>587</v>
      </c>
      <c r="Z279" s="18">
        <v>0</v>
      </c>
      <c r="AA279" s="18">
        <v>0</v>
      </c>
      <c r="AB279" s="18">
        <v>90</v>
      </c>
      <c r="AC279" s="18">
        <v>0</v>
      </c>
      <c r="AD279" s="6">
        <v>0.13845258871436883</v>
      </c>
      <c r="AE279" s="6">
        <v>0.13800000000000001</v>
      </c>
      <c r="AF279" s="6">
        <v>0.49647276189091594</v>
      </c>
      <c r="AG279" s="6">
        <v>0.497</v>
      </c>
      <c r="AH279" s="7">
        <v>164</v>
      </c>
    </row>
    <row r="280" spans="2:34" x14ac:dyDescent="0.25">
      <c r="B280" s="3">
        <v>276</v>
      </c>
      <c r="C280" s="3" t="s">
        <v>560</v>
      </c>
      <c r="D280" s="3" t="s">
        <v>561</v>
      </c>
      <c r="E280" s="3" t="s">
        <v>705</v>
      </c>
      <c r="F280" s="3">
        <v>11202</v>
      </c>
      <c r="G280" s="3">
        <v>11</v>
      </c>
      <c r="H280" s="3">
        <v>0.497</v>
      </c>
      <c r="I280" s="4">
        <v>5137</v>
      </c>
      <c r="J280" s="4">
        <v>1263</v>
      </c>
      <c r="K280" s="18">
        <v>0</v>
      </c>
      <c r="L280" s="18">
        <v>994</v>
      </c>
      <c r="M280" s="18">
        <v>0</v>
      </c>
      <c r="N280" s="18">
        <v>0</v>
      </c>
      <c r="O280" s="18">
        <v>269</v>
      </c>
      <c r="P280" s="18">
        <v>0</v>
      </c>
      <c r="Q280" s="6">
        <v>0.24586334436441504</v>
      </c>
      <c r="R280" s="3">
        <v>0.246</v>
      </c>
      <c r="S280" s="6">
        <v>0.58547829360823656</v>
      </c>
      <c r="T280" s="25">
        <v>0.58499999999999996</v>
      </c>
      <c r="U280" s="7">
        <v>72</v>
      </c>
      <c r="V280" s="4">
        <v>5865</v>
      </c>
      <c r="W280" s="4">
        <v>1250</v>
      </c>
      <c r="X280" s="18">
        <v>3</v>
      </c>
      <c r="Y280" s="18">
        <v>1024</v>
      </c>
      <c r="Z280" s="18">
        <v>0</v>
      </c>
      <c r="AA280" s="18">
        <v>0</v>
      </c>
      <c r="AB280" s="18">
        <v>223</v>
      </c>
      <c r="AC280" s="18">
        <v>0</v>
      </c>
      <c r="AD280" s="6">
        <v>0.21312872975277067</v>
      </c>
      <c r="AE280" s="6">
        <v>0.21299999999999999</v>
      </c>
      <c r="AF280" s="6">
        <v>0.58348020384027732</v>
      </c>
      <c r="AG280" s="6">
        <v>0.58399999999999996</v>
      </c>
      <c r="AH280" s="7">
        <v>73</v>
      </c>
    </row>
    <row r="281" spans="2:34" x14ac:dyDescent="0.25">
      <c r="B281" s="3">
        <v>277</v>
      </c>
      <c r="C281" s="3" t="s">
        <v>562</v>
      </c>
      <c r="D281" s="3" t="s">
        <v>563</v>
      </c>
      <c r="E281" s="3" t="s">
        <v>705</v>
      </c>
      <c r="F281" s="3">
        <v>11301</v>
      </c>
      <c r="G281" s="3">
        <v>11</v>
      </c>
      <c r="H281" s="3">
        <v>0.46</v>
      </c>
      <c r="I281" s="4">
        <v>3458</v>
      </c>
      <c r="J281" s="4">
        <v>740</v>
      </c>
      <c r="K281" s="18">
        <v>37</v>
      </c>
      <c r="L281" s="18">
        <v>595</v>
      </c>
      <c r="M281" s="18">
        <v>0</v>
      </c>
      <c r="N281" s="18">
        <v>0</v>
      </c>
      <c r="O281" s="18">
        <v>108</v>
      </c>
      <c r="P281" s="18">
        <v>0</v>
      </c>
      <c r="Q281" s="6">
        <v>0.21399652978600348</v>
      </c>
      <c r="R281" s="3">
        <v>0.214</v>
      </c>
      <c r="S281" s="6">
        <v>0.55263337282701197</v>
      </c>
      <c r="T281" s="25">
        <v>0.55300000000000005</v>
      </c>
      <c r="U281" s="7">
        <v>108</v>
      </c>
      <c r="V281" s="4">
        <v>3731</v>
      </c>
      <c r="W281" s="4">
        <v>697</v>
      </c>
      <c r="X281" s="18">
        <v>48</v>
      </c>
      <c r="Y281" s="18">
        <v>580</v>
      </c>
      <c r="Z281" s="18">
        <v>0</v>
      </c>
      <c r="AA281" s="18">
        <v>0</v>
      </c>
      <c r="AB281" s="18">
        <v>69</v>
      </c>
      <c r="AC281" s="18">
        <v>0</v>
      </c>
      <c r="AD281" s="6">
        <v>0.18681318681318682</v>
      </c>
      <c r="AE281" s="6">
        <v>0.187</v>
      </c>
      <c r="AF281" s="6">
        <v>0.55331762396449868</v>
      </c>
      <c r="AG281" s="6">
        <v>0.55300000000000005</v>
      </c>
      <c r="AH281" s="7">
        <v>106</v>
      </c>
    </row>
    <row r="282" spans="2:34" x14ac:dyDescent="0.25">
      <c r="B282" s="3">
        <v>278</v>
      </c>
      <c r="C282" s="3" t="s">
        <v>564</v>
      </c>
      <c r="D282" s="3" t="s">
        <v>565</v>
      </c>
      <c r="E282" s="3" t="s">
        <v>705</v>
      </c>
      <c r="F282" s="3">
        <v>11101</v>
      </c>
      <c r="G282" s="3">
        <v>11</v>
      </c>
      <c r="H282" s="3">
        <v>0.53100000000000003</v>
      </c>
      <c r="I282" s="4">
        <v>57823</v>
      </c>
      <c r="J282" s="4">
        <v>13994</v>
      </c>
      <c r="K282" s="18">
        <v>36</v>
      </c>
      <c r="L282" s="18">
        <v>12922</v>
      </c>
      <c r="M282" s="18">
        <v>0</v>
      </c>
      <c r="N282" s="18">
        <v>0</v>
      </c>
      <c r="O282" s="18">
        <v>1036</v>
      </c>
      <c r="P282" s="18">
        <v>0</v>
      </c>
      <c r="Q282" s="6">
        <v>0.24201442332635803</v>
      </c>
      <c r="R282" s="3">
        <v>0.24199999999999999</v>
      </c>
      <c r="S282" s="6">
        <v>0.58151123545508776</v>
      </c>
      <c r="T282" s="25">
        <v>0.58199999999999996</v>
      </c>
      <c r="U282" s="7">
        <v>75</v>
      </c>
      <c r="V282" s="4">
        <v>61885</v>
      </c>
      <c r="W282" s="4">
        <v>13343</v>
      </c>
      <c r="X282" s="18">
        <v>72</v>
      </c>
      <c r="Y282" s="18">
        <v>12611</v>
      </c>
      <c r="Z282" s="18">
        <v>0</v>
      </c>
      <c r="AA282" s="18">
        <v>0</v>
      </c>
      <c r="AB282" s="18">
        <v>660</v>
      </c>
      <c r="AC282" s="18">
        <v>0</v>
      </c>
      <c r="AD282" s="6">
        <v>0.21560959844873556</v>
      </c>
      <c r="AE282" s="6">
        <v>0.216</v>
      </c>
      <c r="AF282" s="6">
        <v>0.58696050151825174</v>
      </c>
      <c r="AG282" s="6">
        <v>0.58599999999999997</v>
      </c>
      <c r="AH282" s="7">
        <v>71</v>
      </c>
    </row>
    <row r="283" spans="2:34" x14ac:dyDescent="0.25">
      <c r="B283" s="3">
        <v>279</v>
      </c>
      <c r="C283" s="3" t="s">
        <v>566</v>
      </c>
      <c r="D283" s="3" t="s">
        <v>567</v>
      </c>
      <c r="E283" s="3" t="s">
        <v>705</v>
      </c>
      <c r="F283" s="3">
        <v>11203</v>
      </c>
      <c r="G283" s="3">
        <v>11</v>
      </c>
      <c r="H283" s="3"/>
      <c r="I283" s="4">
        <v>1598</v>
      </c>
      <c r="J283" s="4">
        <v>143</v>
      </c>
      <c r="K283" s="18">
        <v>46</v>
      </c>
      <c r="L283" s="18">
        <v>0</v>
      </c>
      <c r="M283" s="18">
        <v>0</v>
      </c>
      <c r="N283" s="18">
        <v>0</v>
      </c>
      <c r="O283" s="18">
        <v>97</v>
      </c>
      <c r="P283" s="18">
        <v>0</v>
      </c>
      <c r="Q283" s="6">
        <v>8.9486858573216518E-2</v>
      </c>
      <c r="R283" s="3">
        <v>8.8999999999999996E-2</v>
      </c>
      <c r="S283" s="6">
        <v>0.42430205570029866</v>
      </c>
      <c r="T283" s="25">
        <v>0.42399999999999999</v>
      </c>
      <c r="U283" s="7">
        <v>250</v>
      </c>
      <c r="V283" s="4">
        <v>1608</v>
      </c>
      <c r="W283" s="4">
        <v>126</v>
      </c>
      <c r="X283" s="18">
        <v>60</v>
      </c>
      <c r="Y283" s="18">
        <v>0</v>
      </c>
      <c r="Z283" s="18">
        <v>0</v>
      </c>
      <c r="AA283" s="18">
        <v>0</v>
      </c>
      <c r="AB283" s="18">
        <v>66</v>
      </c>
      <c r="AC283" s="18">
        <v>0</v>
      </c>
      <c r="AD283" s="6">
        <v>7.8358208955223885E-2</v>
      </c>
      <c r="AE283" s="6">
        <v>7.8E-2</v>
      </c>
      <c r="AF283" s="6">
        <v>0.42686680833142682</v>
      </c>
      <c r="AG283" s="6">
        <v>0.42699999999999999</v>
      </c>
      <c r="AH283" s="7">
        <v>242</v>
      </c>
    </row>
    <row r="284" spans="2:34" x14ac:dyDescent="0.25">
      <c r="B284" s="3">
        <v>280</v>
      </c>
      <c r="C284" s="3" t="s">
        <v>568</v>
      </c>
      <c r="D284" s="3" t="s">
        <v>569</v>
      </c>
      <c r="E284" s="3" t="s">
        <v>705</v>
      </c>
      <c r="F284" s="3">
        <v>11102</v>
      </c>
      <c r="G284" s="3">
        <v>11</v>
      </c>
      <c r="H284" s="3"/>
      <c r="I284" s="4">
        <v>779</v>
      </c>
      <c r="J284" s="4">
        <v>119</v>
      </c>
      <c r="K284" s="18">
        <v>1</v>
      </c>
      <c r="L284" s="18">
        <v>19</v>
      </c>
      <c r="M284" s="18">
        <v>0</v>
      </c>
      <c r="N284" s="18">
        <v>0</v>
      </c>
      <c r="O284" s="18">
        <v>99</v>
      </c>
      <c r="P284" s="18">
        <v>0</v>
      </c>
      <c r="Q284" s="6">
        <v>0.15275994865211809</v>
      </c>
      <c r="R284" s="3">
        <v>0.153</v>
      </c>
      <c r="S284" s="6">
        <v>0.48951722259786185</v>
      </c>
      <c r="T284" s="25">
        <v>0.49</v>
      </c>
      <c r="U284" s="7">
        <v>176</v>
      </c>
      <c r="V284" s="4">
        <v>915</v>
      </c>
      <c r="W284" s="4">
        <v>128</v>
      </c>
      <c r="X284" s="18">
        <v>1</v>
      </c>
      <c r="Y284" s="18">
        <v>21</v>
      </c>
      <c r="Z284" s="18">
        <v>0</v>
      </c>
      <c r="AA284" s="18">
        <v>0</v>
      </c>
      <c r="AB284" s="18">
        <v>106</v>
      </c>
      <c r="AC284" s="18">
        <v>0</v>
      </c>
      <c r="AD284" s="6">
        <v>0.13989071038251366</v>
      </c>
      <c r="AE284" s="6">
        <v>0.14000000000000001</v>
      </c>
      <c r="AF284" s="6">
        <v>0.49879296034289894</v>
      </c>
      <c r="AG284" s="6">
        <v>0.499</v>
      </c>
      <c r="AH284" s="7">
        <v>161</v>
      </c>
    </row>
    <row r="285" spans="2:34" x14ac:dyDescent="0.25">
      <c r="B285" s="3">
        <v>281</v>
      </c>
      <c r="C285" s="3" t="s">
        <v>171</v>
      </c>
      <c r="D285" s="3" t="s">
        <v>570</v>
      </c>
      <c r="E285" s="3" t="s">
        <v>705</v>
      </c>
      <c r="F285" s="3">
        <v>11302</v>
      </c>
      <c r="G285" s="3">
        <v>11</v>
      </c>
      <c r="H285" s="3"/>
      <c r="I285" s="4">
        <v>647</v>
      </c>
      <c r="J285" s="4">
        <v>160</v>
      </c>
      <c r="K285" s="18">
        <v>0</v>
      </c>
      <c r="L285" s="18">
        <v>0</v>
      </c>
      <c r="M285" s="18">
        <v>0</v>
      </c>
      <c r="N285" s="18">
        <v>0</v>
      </c>
      <c r="O285" s="18">
        <v>160</v>
      </c>
      <c r="P285" s="18">
        <v>0</v>
      </c>
      <c r="Q285" s="6">
        <v>0.2472952086553323</v>
      </c>
      <c r="R285" s="3">
        <v>0.247</v>
      </c>
      <c r="S285" s="6">
        <v>0.58695410692145378</v>
      </c>
      <c r="T285" s="25">
        <v>0.58699999999999997</v>
      </c>
      <c r="U285" s="7">
        <v>70</v>
      </c>
      <c r="V285" s="4">
        <v>672</v>
      </c>
      <c r="W285" s="4">
        <v>123</v>
      </c>
      <c r="X285" s="18">
        <v>0</v>
      </c>
      <c r="Y285" s="18">
        <v>0</v>
      </c>
      <c r="Z285" s="18">
        <v>0</v>
      </c>
      <c r="AA285" s="18">
        <v>0</v>
      </c>
      <c r="AB285" s="18">
        <v>123</v>
      </c>
      <c r="AC285" s="18">
        <v>0</v>
      </c>
      <c r="AD285" s="6">
        <v>0.18303571428571427</v>
      </c>
      <c r="AE285" s="6">
        <v>0.183</v>
      </c>
      <c r="AF285" s="6">
        <v>0.54867722706053279</v>
      </c>
      <c r="AG285" s="6">
        <v>0.54900000000000004</v>
      </c>
      <c r="AH285" s="7">
        <v>110</v>
      </c>
    </row>
    <row r="286" spans="2:34" x14ac:dyDescent="0.25">
      <c r="B286" s="3">
        <v>282</v>
      </c>
      <c r="C286" s="3" t="s">
        <v>571</v>
      </c>
      <c r="D286" s="3" t="s">
        <v>572</v>
      </c>
      <c r="E286" s="3" t="s">
        <v>705</v>
      </c>
      <c r="F286" s="3">
        <v>11402</v>
      </c>
      <c r="G286" s="3">
        <v>11</v>
      </c>
      <c r="H286" s="3"/>
      <c r="I286" s="4">
        <v>2723</v>
      </c>
      <c r="J286" s="4">
        <v>423</v>
      </c>
      <c r="K286" s="18">
        <v>3</v>
      </c>
      <c r="L286" s="18">
        <v>279</v>
      </c>
      <c r="M286" s="18">
        <v>0</v>
      </c>
      <c r="N286" s="18">
        <v>0</v>
      </c>
      <c r="O286" s="18">
        <v>141</v>
      </c>
      <c r="P286" s="18">
        <v>0</v>
      </c>
      <c r="Q286" s="6">
        <v>0.15534337128167464</v>
      </c>
      <c r="R286" s="3">
        <v>0.155</v>
      </c>
      <c r="S286" s="6">
        <v>0.49217993968253998</v>
      </c>
      <c r="T286" s="25">
        <v>0.49199999999999999</v>
      </c>
      <c r="U286" s="7">
        <v>171</v>
      </c>
      <c r="V286" s="4">
        <v>2711</v>
      </c>
      <c r="W286" s="4">
        <v>384</v>
      </c>
      <c r="X286" s="18">
        <v>10</v>
      </c>
      <c r="Y286" s="18">
        <v>273</v>
      </c>
      <c r="Z286" s="18">
        <v>0</v>
      </c>
      <c r="AA286" s="18">
        <v>0</v>
      </c>
      <c r="AB286" s="18">
        <v>101</v>
      </c>
      <c r="AC286" s="18">
        <v>0</v>
      </c>
      <c r="AD286" s="6">
        <v>0.14164514939136849</v>
      </c>
      <c r="AE286" s="6">
        <v>0.14199999999999999</v>
      </c>
      <c r="AF286" s="6">
        <v>0.50111315879488183</v>
      </c>
      <c r="AG286" s="6">
        <v>0.501</v>
      </c>
      <c r="AH286" s="7">
        <v>157</v>
      </c>
    </row>
    <row r="287" spans="2:34" x14ac:dyDescent="0.25">
      <c r="B287" s="3">
        <v>283</v>
      </c>
      <c r="C287" s="3" t="s">
        <v>573</v>
      </c>
      <c r="D287" s="3" t="s">
        <v>574</v>
      </c>
      <c r="E287" s="3" t="s">
        <v>705</v>
      </c>
      <c r="F287" s="3">
        <v>11303</v>
      </c>
      <c r="G287" s="3">
        <v>11</v>
      </c>
      <c r="H287" s="3"/>
      <c r="I287" s="4">
        <v>505</v>
      </c>
      <c r="J287" s="4">
        <v>16</v>
      </c>
      <c r="K287" s="18">
        <v>0</v>
      </c>
      <c r="L287" s="18">
        <v>0</v>
      </c>
      <c r="M287" s="18">
        <v>0</v>
      </c>
      <c r="N287" s="18">
        <v>0</v>
      </c>
      <c r="O287" s="18">
        <v>16</v>
      </c>
      <c r="P287" s="18">
        <v>0</v>
      </c>
      <c r="Q287" s="6">
        <v>3.1683168316831684E-2</v>
      </c>
      <c r="R287" s="3">
        <v>3.2000000000000001E-2</v>
      </c>
      <c r="S287" s="6">
        <v>0.36472416401420604</v>
      </c>
      <c r="T287" s="25">
        <v>0.36499999999999999</v>
      </c>
      <c r="U287" s="7">
        <v>324</v>
      </c>
      <c r="V287" s="4">
        <v>582</v>
      </c>
      <c r="W287" s="4">
        <v>15</v>
      </c>
      <c r="X287" s="18">
        <v>0</v>
      </c>
      <c r="Y287" s="18">
        <v>0</v>
      </c>
      <c r="Z287" s="18">
        <v>0</v>
      </c>
      <c r="AA287" s="18">
        <v>0</v>
      </c>
      <c r="AB287" s="18">
        <v>15</v>
      </c>
      <c r="AC287" s="18">
        <v>0</v>
      </c>
      <c r="AD287" s="6">
        <v>2.5773195876288658E-2</v>
      </c>
      <c r="AE287" s="6">
        <v>2.5999999999999999E-2</v>
      </c>
      <c r="AF287" s="6">
        <v>0.36654164857986959</v>
      </c>
      <c r="AG287" s="6">
        <v>0.36699999999999999</v>
      </c>
      <c r="AH287" s="7">
        <v>320</v>
      </c>
    </row>
    <row r="288" spans="2:34" x14ac:dyDescent="0.25">
      <c r="B288" s="3">
        <v>284</v>
      </c>
      <c r="C288" s="3" t="s">
        <v>575</v>
      </c>
      <c r="D288" s="3" t="s">
        <v>576</v>
      </c>
      <c r="E288" s="3" t="s">
        <v>706</v>
      </c>
      <c r="F288" s="3">
        <v>12201</v>
      </c>
      <c r="G288" s="3">
        <v>12</v>
      </c>
      <c r="H288" s="3"/>
      <c r="I288" s="4">
        <v>1750</v>
      </c>
      <c r="J288" s="4">
        <v>262</v>
      </c>
      <c r="K288" s="18">
        <v>0</v>
      </c>
      <c r="L288" s="18">
        <v>191</v>
      </c>
      <c r="M288" s="18">
        <v>0</v>
      </c>
      <c r="N288" s="18">
        <v>0</v>
      </c>
      <c r="O288" s="18">
        <v>71</v>
      </c>
      <c r="P288" s="18">
        <v>0</v>
      </c>
      <c r="Q288" s="6">
        <v>0.14971428571428572</v>
      </c>
      <c r="R288" s="3">
        <v>0.15</v>
      </c>
      <c r="S288" s="6">
        <v>0.48637807740111583</v>
      </c>
      <c r="T288" s="25">
        <v>0.48599999999999999</v>
      </c>
      <c r="U288" s="7">
        <v>182</v>
      </c>
      <c r="V288" s="4">
        <v>1973</v>
      </c>
      <c r="W288" s="4">
        <v>227</v>
      </c>
      <c r="X288" s="18">
        <v>0</v>
      </c>
      <c r="Y288" s="18">
        <v>185</v>
      </c>
      <c r="Z288" s="18">
        <v>0</v>
      </c>
      <c r="AA288" s="18">
        <v>0</v>
      </c>
      <c r="AB288" s="18">
        <v>42</v>
      </c>
      <c r="AC288" s="18">
        <v>0</v>
      </c>
      <c r="AD288" s="6">
        <v>0.11505321844906234</v>
      </c>
      <c r="AE288" s="6">
        <v>0.115</v>
      </c>
      <c r="AF288" s="6">
        <v>0.46979047969311177</v>
      </c>
      <c r="AG288" s="6">
        <v>0.47</v>
      </c>
      <c r="AH288" s="7">
        <v>192</v>
      </c>
    </row>
    <row r="289" spans="2:34" x14ac:dyDescent="0.25">
      <c r="B289" s="3">
        <v>285</v>
      </c>
      <c r="C289" s="3" t="s">
        <v>577</v>
      </c>
      <c r="D289" s="3" t="s">
        <v>578</v>
      </c>
      <c r="E289" s="3" t="s">
        <v>706</v>
      </c>
      <c r="F289" s="3">
        <v>12102</v>
      </c>
      <c r="G289" s="3">
        <v>12</v>
      </c>
      <c r="H289" s="3"/>
      <c r="I289" s="4">
        <v>269</v>
      </c>
      <c r="J289" s="4">
        <v>24</v>
      </c>
      <c r="K289" s="18">
        <v>0</v>
      </c>
      <c r="L289" s="18">
        <v>1</v>
      </c>
      <c r="M289" s="18">
        <v>0</v>
      </c>
      <c r="N289" s="18">
        <v>0</v>
      </c>
      <c r="O289" s="18">
        <v>23</v>
      </c>
      <c r="P289" s="18">
        <v>0</v>
      </c>
      <c r="Q289" s="6">
        <v>8.9219330855018583E-2</v>
      </c>
      <c r="R289" s="3">
        <v>8.8999999999999996E-2</v>
      </c>
      <c r="S289" s="6">
        <v>0.42402631660220425</v>
      </c>
      <c r="T289" s="25">
        <v>0.42399999999999999</v>
      </c>
      <c r="U289" s="7">
        <v>251</v>
      </c>
      <c r="V289" s="4">
        <v>252</v>
      </c>
      <c r="W289" s="4">
        <v>17</v>
      </c>
      <c r="X289" s="18">
        <v>0</v>
      </c>
      <c r="Y289" s="18">
        <v>1</v>
      </c>
      <c r="Z289" s="18">
        <v>0</v>
      </c>
      <c r="AA289" s="18">
        <v>0</v>
      </c>
      <c r="AB289" s="18">
        <v>16</v>
      </c>
      <c r="AC289" s="18">
        <v>0</v>
      </c>
      <c r="AD289" s="6">
        <v>6.7460317460317457E-2</v>
      </c>
      <c r="AE289" s="6">
        <v>6.7000000000000004E-2</v>
      </c>
      <c r="AF289" s="6">
        <v>0.4141057168455205</v>
      </c>
      <c r="AG289" s="6">
        <v>0.41499999999999998</v>
      </c>
      <c r="AH289" s="7">
        <v>257</v>
      </c>
    </row>
    <row r="290" spans="2:34" x14ac:dyDescent="0.25">
      <c r="B290" s="3">
        <v>286</v>
      </c>
      <c r="C290" s="3" t="s">
        <v>579</v>
      </c>
      <c r="D290" s="3" t="s">
        <v>580</v>
      </c>
      <c r="E290" s="3" t="s">
        <v>706</v>
      </c>
      <c r="F290" s="3">
        <v>12401</v>
      </c>
      <c r="G290" s="3">
        <v>12</v>
      </c>
      <c r="H290" s="3">
        <v>0.52700000000000002</v>
      </c>
      <c r="I290" s="4">
        <v>24152</v>
      </c>
      <c r="J290" s="4">
        <v>7321</v>
      </c>
      <c r="K290" s="18">
        <v>0</v>
      </c>
      <c r="L290" s="18">
        <v>6934</v>
      </c>
      <c r="M290" s="18">
        <v>0</v>
      </c>
      <c r="N290" s="18">
        <v>0</v>
      </c>
      <c r="O290" s="18">
        <v>387</v>
      </c>
      <c r="P290" s="18">
        <v>0</v>
      </c>
      <c r="Q290" s="6">
        <v>0.30312189466710832</v>
      </c>
      <c r="R290" s="3">
        <v>0.30299999999999999</v>
      </c>
      <c r="S290" s="6">
        <v>0.64449431305103921</v>
      </c>
      <c r="T290" s="25">
        <v>0.64400000000000002</v>
      </c>
      <c r="U290" s="7">
        <v>28</v>
      </c>
      <c r="V290" s="4">
        <v>24447</v>
      </c>
      <c r="W290" s="4">
        <v>7073</v>
      </c>
      <c r="X290" s="18">
        <v>0</v>
      </c>
      <c r="Y290" s="18">
        <v>6754</v>
      </c>
      <c r="Z290" s="18">
        <v>0</v>
      </c>
      <c r="AA290" s="18">
        <v>1</v>
      </c>
      <c r="AB290" s="18">
        <v>318</v>
      </c>
      <c r="AC290" s="18">
        <v>0</v>
      </c>
      <c r="AD290" s="6">
        <v>0.28931975293492046</v>
      </c>
      <c r="AE290" s="6">
        <v>0.28899999999999998</v>
      </c>
      <c r="AF290" s="6">
        <v>0.67164774501563018</v>
      </c>
      <c r="AG290" s="6">
        <v>0.67200000000000004</v>
      </c>
      <c r="AH290" s="7">
        <v>18</v>
      </c>
    </row>
    <row r="291" spans="2:34" x14ac:dyDescent="0.25">
      <c r="B291" s="3">
        <v>287</v>
      </c>
      <c r="C291" s="3" t="s">
        <v>581</v>
      </c>
      <c r="D291" s="3" t="s">
        <v>582</v>
      </c>
      <c r="E291" s="3" t="s">
        <v>706</v>
      </c>
      <c r="F291" s="3">
        <v>12301</v>
      </c>
      <c r="G291" s="3">
        <v>12</v>
      </c>
      <c r="H291" s="3">
        <v>0.53800000000000003</v>
      </c>
      <c r="I291" s="4">
        <v>6809</v>
      </c>
      <c r="J291" s="4">
        <v>1736</v>
      </c>
      <c r="K291" s="18">
        <v>0</v>
      </c>
      <c r="L291" s="18">
        <v>1682</v>
      </c>
      <c r="M291" s="18">
        <v>0</v>
      </c>
      <c r="N291" s="18">
        <v>0</v>
      </c>
      <c r="O291" s="18">
        <v>54</v>
      </c>
      <c r="P291" s="18">
        <v>0</v>
      </c>
      <c r="Q291" s="6">
        <v>0.25495667498898517</v>
      </c>
      <c r="R291" s="3">
        <v>0.255</v>
      </c>
      <c r="S291" s="6">
        <v>0.5948507309840082</v>
      </c>
      <c r="T291" s="25">
        <v>0.59499999999999997</v>
      </c>
      <c r="U291" s="7">
        <v>59</v>
      </c>
      <c r="V291" s="4">
        <v>7570</v>
      </c>
      <c r="W291" s="4">
        <v>1620</v>
      </c>
      <c r="X291" s="18">
        <v>0</v>
      </c>
      <c r="Y291" s="18">
        <v>1597</v>
      </c>
      <c r="Z291" s="18">
        <v>0</v>
      </c>
      <c r="AA291" s="18">
        <v>0</v>
      </c>
      <c r="AB291" s="18">
        <v>23</v>
      </c>
      <c r="AC291" s="18">
        <v>0</v>
      </c>
      <c r="AD291" s="6">
        <v>0.21400264200792601</v>
      </c>
      <c r="AE291" s="6">
        <v>0.214</v>
      </c>
      <c r="AF291" s="6">
        <v>0.5846403030662688</v>
      </c>
      <c r="AG291" s="6">
        <v>0.58499999999999996</v>
      </c>
      <c r="AH291" s="7">
        <v>72</v>
      </c>
    </row>
    <row r="292" spans="2:34" x14ac:dyDescent="0.25">
      <c r="B292" s="3">
        <v>288</v>
      </c>
      <c r="C292" s="3" t="s">
        <v>583</v>
      </c>
      <c r="D292" s="3" t="s">
        <v>584</v>
      </c>
      <c r="E292" s="3" t="s">
        <v>706</v>
      </c>
      <c r="F292" s="3">
        <v>12302</v>
      </c>
      <c r="G292" s="3">
        <v>12</v>
      </c>
      <c r="H292" s="3"/>
      <c r="I292" s="4">
        <v>431</v>
      </c>
      <c r="J292" s="4">
        <v>39</v>
      </c>
      <c r="K292" s="18">
        <v>0</v>
      </c>
      <c r="L292" s="18">
        <v>0</v>
      </c>
      <c r="M292" s="18">
        <v>0</v>
      </c>
      <c r="N292" s="18">
        <v>0</v>
      </c>
      <c r="O292" s="18">
        <v>39</v>
      </c>
      <c r="P292" s="18">
        <v>0</v>
      </c>
      <c r="Q292" s="6">
        <v>9.0487238979118326E-2</v>
      </c>
      <c r="R292" s="3">
        <v>0.09</v>
      </c>
      <c r="S292" s="6">
        <v>0.42533314134904104</v>
      </c>
      <c r="T292" s="25">
        <v>0.42499999999999999</v>
      </c>
      <c r="U292" s="7">
        <v>249</v>
      </c>
      <c r="V292" s="4">
        <v>679</v>
      </c>
      <c r="W292" s="4">
        <v>21</v>
      </c>
      <c r="X292" s="18">
        <v>0</v>
      </c>
      <c r="Y292" s="18">
        <v>0</v>
      </c>
      <c r="Z292" s="18">
        <v>0</v>
      </c>
      <c r="AA292" s="18">
        <v>0</v>
      </c>
      <c r="AB292" s="18">
        <v>21</v>
      </c>
      <c r="AC292" s="18">
        <v>0</v>
      </c>
      <c r="AD292" s="6">
        <v>3.0927835051546393E-2</v>
      </c>
      <c r="AE292" s="6">
        <v>3.1E-2</v>
      </c>
      <c r="AF292" s="6">
        <v>0.37234214470982707</v>
      </c>
      <c r="AG292" s="6">
        <v>0.373</v>
      </c>
      <c r="AH292" s="7">
        <v>319</v>
      </c>
    </row>
    <row r="293" spans="2:34" x14ac:dyDescent="0.25">
      <c r="B293" s="3">
        <v>289</v>
      </c>
      <c r="C293" s="3" t="s">
        <v>585</v>
      </c>
      <c r="D293" s="3" t="s">
        <v>586</v>
      </c>
      <c r="E293" s="3" t="s">
        <v>706</v>
      </c>
      <c r="F293" s="3">
        <v>12101</v>
      </c>
      <c r="G293" s="3">
        <v>12</v>
      </c>
      <c r="H293" s="3">
        <v>0.61899999999999999</v>
      </c>
      <c r="I293" s="4">
        <v>132363</v>
      </c>
      <c r="J293" s="4">
        <v>40396</v>
      </c>
      <c r="K293" s="18">
        <v>3</v>
      </c>
      <c r="L293" s="18">
        <v>32599</v>
      </c>
      <c r="M293" s="18">
        <v>7013</v>
      </c>
      <c r="N293" s="18">
        <v>0</v>
      </c>
      <c r="O293" s="18">
        <v>781</v>
      </c>
      <c r="P293" s="18">
        <v>0</v>
      </c>
      <c r="Q293" s="6">
        <v>0.30519102770411671</v>
      </c>
      <c r="R293" s="3">
        <v>0.30499999999999999</v>
      </c>
      <c r="S293" s="6">
        <v>0.64662695516119206</v>
      </c>
      <c r="T293" s="25">
        <v>0.64700000000000002</v>
      </c>
      <c r="U293" s="7">
        <v>25</v>
      </c>
      <c r="V293" s="4">
        <v>144938</v>
      </c>
      <c r="W293" s="4">
        <v>38990</v>
      </c>
      <c r="X293" s="18">
        <v>40</v>
      </c>
      <c r="Y293" s="18">
        <v>31560</v>
      </c>
      <c r="Z293" s="18">
        <v>6905</v>
      </c>
      <c r="AA293" s="18">
        <v>2</v>
      </c>
      <c r="AB293" s="18">
        <v>483</v>
      </c>
      <c r="AC293" s="18">
        <v>0</v>
      </c>
      <c r="AD293" s="6">
        <v>0.2690115773641143</v>
      </c>
      <c r="AE293" s="6">
        <v>0.26900000000000002</v>
      </c>
      <c r="AF293" s="6">
        <v>0.64844576049580049</v>
      </c>
      <c r="AG293" s="6">
        <v>0.64800000000000002</v>
      </c>
      <c r="AH293" s="7">
        <v>27</v>
      </c>
    </row>
    <row r="294" spans="2:34" x14ac:dyDescent="0.25">
      <c r="B294" s="3">
        <v>290</v>
      </c>
      <c r="C294" s="3" t="s">
        <v>587</v>
      </c>
      <c r="D294" s="3" t="s">
        <v>588</v>
      </c>
      <c r="E294" s="3" t="s">
        <v>706</v>
      </c>
      <c r="F294" s="3">
        <v>12103</v>
      </c>
      <c r="G294" s="3">
        <v>12</v>
      </c>
      <c r="H294" s="3"/>
      <c r="I294" s="4">
        <v>102</v>
      </c>
      <c r="J294" s="4">
        <v>1</v>
      </c>
      <c r="K294" s="18">
        <v>0</v>
      </c>
      <c r="L294" s="18">
        <v>1</v>
      </c>
      <c r="M294" s="18">
        <v>0</v>
      </c>
      <c r="N294" s="18">
        <v>0</v>
      </c>
      <c r="O294" s="18">
        <v>0</v>
      </c>
      <c r="P294" s="18">
        <v>0</v>
      </c>
      <c r="Q294" s="6">
        <v>9.8039215686274508E-3</v>
      </c>
      <c r="R294" s="3">
        <v>0.01</v>
      </c>
      <c r="S294" s="6">
        <v>0.34217336514382035</v>
      </c>
      <c r="T294" s="25">
        <v>0.34200000000000003</v>
      </c>
      <c r="U294" s="7">
        <v>345</v>
      </c>
      <c r="V294" s="4">
        <v>205</v>
      </c>
      <c r="W294" s="4">
        <v>1</v>
      </c>
      <c r="X294" s="18">
        <v>0</v>
      </c>
      <c r="Y294" s="18">
        <v>1</v>
      </c>
      <c r="Z294" s="18">
        <v>0</v>
      </c>
      <c r="AA294" s="18">
        <v>0</v>
      </c>
      <c r="AB294" s="18">
        <v>0</v>
      </c>
      <c r="AC294" s="18">
        <v>0</v>
      </c>
      <c r="AD294" s="6">
        <v>4.8780487804878049E-3</v>
      </c>
      <c r="AE294" s="6">
        <v>5.0000000000000001E-3</v>
      </c>
      <c r="AF294" s="6">
        <v>0.34217956483404843</v>
      </c>
      <c r="AG294" s="6">
        <v>0.34200000000000003</v>
      </c>
      <c r="AH294" s="7">
        <v>344</v>
      </c>
    </row>
    <row r="295" spans="2:34" x14ac:dyDescent="0.25">
      <c r="B295" s="3">
        <v>291</v>
      </c>
      <c r="C295" s="3" t="s">
        <v>589</v>
      </c>
      <c r="D295" s="3" t="s">
        <v>590</v>
      </c>
      <c r="E295" s="3" t="s">
        <v>706</v>
      </c>
      <c r="F295" s="3">
        <v>12104</v>
      </c>
      <c r="G295" s="3">
        <v>12</v>
      </c>
      <c r="H295" s="3"/>
      <c r="I295" s="4">
        <v>241</v>
      </c>
      <c r="J295" s="4">
        <v>42</v>
      </c>
      <c r="K295" s="18">
        <v>0</v>
      </c>
      <c r="L295" s="18">
        <v>0</v>
      </c>
      <c r="M295" s="18">
        <v>0</v>
      </c>
      <c r="N295" s="18">
        <v>0</v>
      </c>
      <c r="O295" s="18">
        <v>42</v>
      </c>
      <c r="P295" s="18">
        <v>0</v>
      </c>
      <c r="Q295" s="6">
        <v>0.17427385892116182</v>
      </c>
      <c r="R295" s="3">
        <v>0.17399999999999999</v>
      </c>
      <c r="S295" s="6">
        <v>0.51169147150944971</v>
      </c>
      <c r="T295" s="25">
        <v>0.51200000000000001</v>
      </c>
      <c r="U295" s="7">
        <v>145</v>
      </c>
      <c r="V295" s="4">
        <v>658</v>
      </c>
      <c r="W295" s="4">
        <v>26</v>
      </c>
      <c r="X295" s="18">
        <v>0</v>
      </c>
      <c r="Y295" s="18">
        <v>0</v>
      </c>
      <c r="Z295" s="18">
        <v>0</v>
      </c>
      <c r="AA295" s="18">
        <v>0</v>
      </c>
      <c r="AB295" s="18">
        <v>26</v>
      </c>
      <c r="AC295" s="18">
        <v>0</v>
      </c>
      <c r="AD295" s="6">
        <v>3.9513677811550151E-2</v>
      </c>
      <c r="AE295" s="6">
        <v>0.04</v>
      </c>
      <c r="AF295" s="6">
        <v>0.38278303774375039</v>
      </c>
      <c r="AG295" s="6">
        <v>0.38200000000000001</v>
      </c>
      <c r="AH295" s="7">
        <v>302</v>
      </c>
    </row>
    <row r="296" spans="2:34" x14ac:dyDescent="0.25">
      <c r="B296" s="3">
        <v>293</v>
      </c>
      <c r="C296" s="3" t="s">
        <v>591</v>
      </c>
      <c r="D296" s="3" t="s">
        <v>592</v>
      </c>
      <c r="E296" s="3" t="s">
        <v>706</v>
      </c>
      <c r="F296" s="3">
        <v>12303</v>
      </c>
      <c r="G296" s="3">
        <v>12</v>
      </c>
      <c r="H296" s="3"/>
      <c r="I296" s="4">
        <v>157</v>
      </c>
      <c r="J296" s="4">
        <v>32</v>
      </c>
      <c r="K296" s="18">
        <v>0</v>
      </c>
      <c r="L296" s="18">
        <v>0</v>
      </c>
      <c r="M296" s="18">
        <v>0</v>
      </c>
      <c r="N296" s="18">
        <v>0</v>
      </c>
      <c r="O296" s="18">
        <v>32</v>
      </c>
      <c r="P296" s="18">
        <v>0</v>
      </c>
      <c r="Q296" s="6">
        <v>0.20382165605095542</v>
      </c>
      <c r="R296" s="3">
        <v>0.20399999999999999</v>
      </c>
      <c r="S296" s="6">
        <v>0.54214619592502511</v>
      </c>
      <c r="T296" s="25">
        <v>0.54200000000000004</v>
      </c>
      <c r="U296" s="7">
        <v>116</v>
      </c>
      <c r="V296" s="4">
        <v>278</v>
      </c>
      <c r="W296" s="4">
        <v>24</v>
      </c>
      <c r="X296" s="18">
        <v>0</v>
      </c>
      <c r="Y296" s="18">
        <v>0</v>
      </c>
      <c r="Z296" s="18">
        <v>0</v>
      </c>
      <c r="AA296" s="18">
        <v>0</v>
      </c>
      <c r="AB296" s="18">
        <v>24</v>
      </c>
      <c r="AC296" s="18">
        <v>0</v>
      </c>
      <c r="AD296" s="6">
        <v>8.6330935251798566E-2</v>
      </c>
      <c r="AE296" s="6">
        <v>8.5999999999999993E-2</v>
      </c>
      <c r="AF296" s="6">
        <v>0.43614760213935871</v>
      </c>
      <c r="AG296" s="6">
        <v>0.437</v>
      </c>
      <c r="AH296" s="7">
        <v>233</v>
      </c>
    </row>
    <row r="297" spans="2:34" x14ac:dyDescent="0.25">
      <c r="B297" s="3">
        <v>294</v>
      </c>
      <c r="C297" s="3" t="s">
        <v>593</v>
      </c>
      <c r="D297" s="3" t="s">
        <v>594</v>
      </c>
      <c r="E297" s="3" t="s">
        <v>706</v>
      </c>
      <c r="F297" s="3">
        <v>12402</v>
      </c>
      <c r="G297" s="3">
        <v>12</v>
      </c>
      <c r="H297" s="3"/>
      <c r="I297" s="4">
        <v>203</v>
      </c>
      <c r="J297" s="4">
        <v>125</v>
      </c>
      <c r="K297" s="18">
        <v>0</v>
      </c>
      <c r="L297" s="18">
        <v>0</v>
      </c>
      <c r="M297" s="18">
        <v>0</v>
      </c>
      <c r="N297" s="18">
        <v>0</v>
      </c>
      <c r="O297" s="18">
        <v>125</v>
      </c>
      <c r="P297" s="18">
        <v>0</v>
      </c>
      <c r="Q297" s="6">
        <v>0.61576354679802958</v>
      </c>
      <c r="R297" s="3">
        <v>0.61599999999999999</v>
      </c>
      <c r="S297" s="6">
        <v>0.9667320526244163</v>
      </c>
      <c r="T297" s="25">
        <v>0.96699999999999997</v>
      </c>
      <c r="U297" s="7">
        <v>1</v>
      </c>
      <c r="V297" s="4">
        <v>1069</v>
      </c>
      <c r="W297" s="4">
        <v>74</v>
      </c>
      <c r="X297" s="18">
        <v>0</v>
      </c>
      <c r="Y297" s="18">
        <v>0</v>
      </c>
      <c r="Z297" s="18">
        <v>0</v>
      </c>
      <c r="AA297" s="18">
        <v>0</v>
      </c>
      <c r="AB297" s="18">
        <v>74</v>
      </c>
      <c r="AC297" s="18">
        <v>0</v>
      </c>
      <c r="AD297" s="6">
        <v>6.9223573433115054E-2</v>
      </c>
      <c r="AE297" s="6">
        <v>6.9000000000000006E-2</v>
      </c>
      <c r="AF297" s="6">
        <v>0.4164259152975035</v>
      </c>
      <c r="AG297" s="6">
        <v>0.41699999999999998</v>
      </c>
      <c r="AH297" s="7">
        <v>255</v>
      </c>
    </row>
    <row r="298" spans="2:34" x14ac:dyDescent="0.25">
      <c r="B298" s="3">
        <v>295</v>
      </c>
      <c r="C298" s="3" t="s">
        <v>595</v>
      </c>
      <c r="D298" s="3" t="s">
        <v>596</v>
      </c>
      <c r="E298" s="3" t="s">
        <v>707</v>
      </c>
      <c r="F298" s="3">
        <v>13502</v>
      </c>
      <c r="G298" s="3">
        <v>13</v>
      </c>
      <c r="H298" s="3">
        <v>0.46400000000000002</v>
      </c>
      <c r="I298" s="4">
        <v>7768</v>
      </c>
      <c r="J298" s="4">
        <v>2630</v>
      </c>
      <c r="K298" s="18">
        <v>0</v>
      </c>
      <c r="L298" s="18">
        <v>2607</v>
      </c>
      <c r="M298" s="18">
        <v>0</v>
      </c>
      <c r="N298" s="18">
        <v>0</v>
      </c>
      <c r="O298" s="18">
        <v>23</v>
      </c>
      <c r="P298" s="18">
        <v>0</v>
      </c>
      <c r="Q298" s="6">
        <v>0.3385684860968074</v>
      </c>
      <c r="R298" s="3">
        <v>0.33900000000000002</v>
      </c>
      <c r="S298" s="6">
        <v>0.68102888680356055</v>
      </c>
      <c r="T298" s="25">
        <v>0.68100000000000005</v>
      </c>
      <c r="U298" s="7">
        <v>15</v>
      </c>
      <c r="V298" s="4">
        <v>7756</v>
      </c>
      <c r="W298" s="4">
        <v>1408</v>
      </c>
      <c r="X298" s="18">
        <v>0</v>
      </c>
      <c r="Y298" s="18">
        <v>1391</v>
      </c>
      <c r="Z298" s="18">
        <v>0</v>
      </c>
      <c r="AA298" s="18">
        <v>0</v>
      </c>
      <c r="AB298" s="18">
        <v>17</v>
      </c>
      <c r="AC298" s="18">
        <v>0</v>
      </c>
      <c r="AD298" s="6">
        <v>0.18153687467766891</v>
      </c>
      <c r="AE298" s="6">
        <v>0.182</v>
      </c>
      <c r="AF298" s="6">
        <v>0.54751712783454132</v>
      </c>
      <c r="AG298" s="6">
        <v>0.54700000000000004</v>
      </c>
      <c r="AH298" s="7">
        <v>116</v>
      </c>
    </row>
    <row r="299" spans="2:34" x14ac:dyDescent="0.25">
      <c r="B299" s="3">
        <v>296</v>
      </c>
      <c r="C299" s="3" t="s">
        <v>597</v>
      </c>
      <c r="D299" s="3" t="s">
        <v>598</v>
      </c>
      <c r="E299" s="3" t="s">
        <v>707</v>
      </c>
      <c r="F299" s="3">
        <v>13402</v>
      </c>
      <c r="G299" s="3">
        <v>13</v>
      </c>
      <c r="H299" s="3">
        <v>0.53400000000000003</v>
      </c>
      <c r="I299" s="4">
        <v>116969</v>
      </c>
      <c r="J299" s="4">
        <v>21456</v>
      </c>
      <c r="K299" s="18">
        <v>1</v>
      </c>
      <c r="L299" s="18">
        <v>20877</v>
      </c>
      <c r="M299" s="18">
        <v>84</v>
      </c>
      <c r="N299" s="18">
        <v>0</v>
      </c>
      <c r="O299" s="18">
        <v>494</v>
      </c>
      <c r="P299" s="18">
        <v>0</v>
      </c>
      <c r="Q299" s="6">
        <v>0.18343321734818627</v>
      </c>
      <c r="R299" s="3">
        <v>0.183</v>
      </c>
      <c r="S299" s="6">
        <v>0.52113196331644274</v>
      </c>
      <c r="T299" s="25">
        <v>0.52100000000000002</v>
      </c>
      <c r="U299" s="7">
        <v>134</v>
      </c>
      <c r="V299" s="4">
        <v>116032</v>
      </c>
      <c r="W299" s="4">
        <v>21297</v>
      </c>
      <c r="X299" s="18">
        <v>15</v>
      </c>
      <c r="Y299" s="18">
        <v>20720</v>
      </c>
      <c r="Z299" s="18">
        <v>1</v>
      </c>
      <c r="AA299" s="18">
        <v>1</v>
      </c>
      <c r="AB299" s="18">
        <v>560</v>
      </c>
      <c r="AC299" s="18">
        <v>0</v>
      </c>
      <c r="AD299" s="6">
        <v>0.18354419470490899</v>
      </c>
      <c r="AE299" s="6">
        <v>0.184</v>
      </c>
      <c r="AF299" s="6">
        <v>0.54983732628652426</v>
      </c>
      <c r="AG299" s="6">
        <v>0.54900000000000004</v>
      </c>
      <c r="AH299" s="7">
        <v>111</v>
      </c>
    </row>
    <row r="300" spans="2:34" x14ac:dyDescent="0.25">
      <c r="B300" s="3">
        <v>297</v>
      </c>
      <c r="C300" s="3" t="s">
        <v>599</v>
      </c>
      <c r="D300" s="3" t="s">
        <v>600</v>
      </c>
      <c r="E300" s="3" t="s">
        <v>707</v>
      </c>
      <c r="F300" s="3">
        <v>13403</v>
      </c>
      <c r="G300" s="3">
        <v>13</v>
      </c>
      <c r="H300" s="3">
        <v>0.47899999999999998</v>
      </c>
      <c r="I300" s="4">
        <v>25491</v>
      </c>
      <c r="J300" s="4">
        <v>3578</v>
      </c>
      <c r="K300" s="18">
        <v>0</v>
      </c>
      <c r="L300" s="18">
        <v>3305</v>
      </c>
      <c r="M300" s="18">
        <v>0</v>
      </c>
      <c r="N300" s="18">
        <v>0</v>
      </c>
      <c r="O300" s="18">
        <v>273</v>
      </c>
      <c r="P300" s="18">
        <v>0</v>
      </c>
      <c r="Q300" s="6">
        <v>0.14036326546624298</v>
      </c>
      <c r="R300" s="3">
        <v>0.14000000000000001</v>
      </c>
      <c r="S300" s="6">
        <v>0.476740040988193</v>
      </c>
      <c r="T300" s="25">
        <v>0.47699999999999998</v>
      </c>
      <c r="U300" s="7">
        <v>192</v>
      </c>
      <c r="V300" s="4">
        <v>29880</v>
      </c>
      <c r="W300" s="4">
        <v>3302</v>
      </c>
      <c r="X300" s="18">
        <v>3</v>
      </c>
      <c r="Y300" s="18">
        <v>3099</v>
      </c>
      <c r="Z300" s="18">
        <v>0</v>
      </c>
      <c r="AA300" s="18">
        <v>0</v>
      </c>
      <c r="AB300" s="18">
        <v>200</v>
      </c>
      <c r="AC300" s="18">
        <v>0</v>
      </c>
      <c r="AD300" s="6">
        <v>0.1105087014725569</v>
      </c>
      <c r="AE300" s="6">
        <v>0.111</v>
      </c>
      <c r="AF300" s="6">
        <v>0.46515008278914582</v>
      </c>
      <c r="AG300" s="6">
        <v>0.46500000000000002</v>
      </c>
      <c r="AH300" s="7">
        <v>196</v>
      </c>
    </row>
    <row r="301" spans="2:34" x14ac:dyDescent="0.25">
      <c r="B301" s="3">
        <v>298</v>
      </c>
      <c r="C301" s="3" t="s">
        <v>601</v>
      </c>
      <c r="D301" s="3" t="s">
        <v>602</v>
      </c>
      <c r="E301" s="3" t="s">
        <v>707</v>
      </c>
      <c r="F301" s="3">
        <v>13102</v>
      </c>
      <c r="G301" s="3">
        <v>13</v>
      </c>
      <c r="H301" s="3">
        <v>0.53800000000000003</v>
      </c>
      <c r="I301" s="4">
        <v>85041</v>
      </c>
      <c r="J301" s="4">
        <v>21824</v>
      </c>
      <c r="K301" s="18">
        <v>0</v>
      </c>
      <c r="L301" s="18">
        <v>16482</v>
      </c>
      <c r="M301" s="18">
        <v>5047</v>
      </c>
      <c r="N301" s="18">
        <v>0</v>
      </c>
      <c r="O301" s="18">
        <v>295</v>
      </c>
      <c r="P301" s="18">
        <v>0</v>
      </c>
      <c r="Q301" s="6">
        <v>0.25662915534859654</v>
      </c>
      <c r="R301" s="3">
        <v>0.25700000000000001</v>
      </c>
      <c r="S301" s="6">
        <v>0.59657454573130353</v>
      </c>
      <c r="T301" s="25">
        <v>0.59699999999999998</v>
      </c>
      <c r="U301" s="7">
        <v>58</v>
      </c>
      <c r="V301" s="4">
        <v>90060</v>
      </c>
      <c r="W301" s="4">
        <v>21082</v>
      </c>
      <c r="X301" s="18">
        <v>6</v>
      </c>
      <c r="Y301" s="18">
        <v>15247</v>
      </c>
      <c r="Z301" s="18">
        <v>5392</v>
      </c>
      <c r="AA301" s="18">
        <v>0</v>
      </c>
      <c r="AB301" s="18">
        <v>437</v>
      </c>
      <c r="AC301" s="18">
        <v>0</v>
      </c>
      <c r="AD301" s="6">
        <v>0.23408838552076394</v>
      </c>
      <c r="AE301" s="6">
        <v>0.23400000000000001</v>
      </c>
      <c r="AF301" s="6">
        <v>0.6078422875860986</v>
      </c>
      <c r="AG301" s="6">
        <v>0.60799999999999998</v>
      </c>
      <c r="AH301" s="7">
        <v>53</v>
      </c>
    </row>
    <row r="302" spans="2:34" x14ac:dyDescent="0.25">
      <c r="B302" s="3">
        <v>299</v>
      </c>
      <c r="C302" s="3" t="s">
        <v>603</v>
      </c>
      <c r="D302" s="3" t="s">
        <v>604</v>
      </c>
      <c r="E302" s="3" t="s">
        <v>707</v>
      </c>
      <c r="F302" s="3">
        <v>13103</v>
      </c>
      <c r="G302" s="3">
        <v>13</v>
      </c>
      <c r="H302" s="3">
        <v>0.54600000000000004</v>
      </c>
      <c r="I302" s="4">
        <v>127250</v>
      </c>
      <c r="J302" s="4">
        <v>27446</v>
      </c>
      <c r="K302" s="18">
        <v>0</v>
      </c>
      <c r="L302" s="18">
        <v>27069</v>
      </c>
      <c r="M302" s="18">
        <v>67</v>
      </c>
      <c r="N302" s="18">
        <v>0</v>
      </c>
      <c r="O302" s="18">
        <v>310</v>
      </c>
      <c r="P302" s="18">
        <v>0</v>
      </c>
      <c r="Q302" s="6">
        <v>0.21568565815324164</v>
      </c>
      <c r="R302" s="3">
        <v>0.216</v>
      </c>
      <c r="S302" s="6">
        <v>0.55437434656866869</v>
      </c>
      <c r="T302" s="25">
        <v>0.55400000000000005</v>
      </c>
      <c r="U302" s="7">
        <v>106</v>
      </c>
      <c r="V302" s="4">
        <v>140581</v>
      </c>
      <c r="W302" s="4">
        <v>26102</v>
      </c>
      <c r="X302" s="18">
        <v>6</v>
      </c>
      <c r="Y302" s="18">
        <v>25511</v>
      </c>
      <c r="Z302" s="18">
        <v>4</v>
      </c>
      <c r="AA302" s="18">
        <v>0</v>
      </c>
      <c r="AB302" s="18">
        <v>581</v>
      </c>
      <c r="AC302" s="18">
        <v>0</v>
      </c>
      <c r="AD302" s="6">
        <v>0.18567231702719428</v>
      </c>
      <c r="AE302" s="6">
        <v>0.186</v>
      </c>
      <c r="AF302" s="6">
        <v>0.55215752473850721</v>
      </c>
      <c r="AG302" s="6">
        <v>0.55200000000000005</v>
      </c>
      <c r="AH302" s="7">
        <v>107</v>
      </c>
    </row>
    <row r="303" spans="2:34" x14ac:dyDescent="0.25">
      <c r="B303" s="3">
        <v>300</v>
      </c>
      <c r="C303" s="3" t="s">
        <v>605</v>
      </c>
      <c r="D303" s="3" t="s">
        <v>606</v>
      </c>
      <c r="E303" s="3" t="s">
        <v>707</v>
      </c>
      <c r="F303" s="3">
        <v>13301</v>
      </c>
      <c r="G303" s="3">
        <v>13</v>
      </c>
      <c r="H303" s="3">
        <v>0.58099999999999996</v>
      </c>
      <c r="I303" s="4">
        <v>173293</v>
      </c>
      <c r="J303" s="4">
        <v>36431</v>
      </c>
      <c r="K303" s="18">
        <v>7</v>
      </c>
      <c r="L303" s="18">
        <v>31897</v>
      </c>
      <c r="M303" s="18">
        <v>2957</v>
      </c>
      <c r="N303" s="18">
        <v>0</v>
      </c>
      <c r="O303" s="18">
        <v>1570</v>
      </c>
      <c r="P303" s="18">
        <v>0</v>
      </c>
      <c r="Q303" s="6">
        <v>0.21022776453751738</v>
      </c>
      <c r="R303" s="3">
        <v>0.21</v>
      </c>
      <c r="S303" s="6">
        <v>0.54874893073051778</v>
      </c>
      <c r="T303" s="25">
        <v>0.54900000000000004</v>
      </c>
      <c r="U303" s="7">
        <v>112</v>
      </c>
      <c r="V303" s="4">
        <v>193594</v>
      </c>
      <c r="W303" s="4">
        <v>34678</v>
      </c>
      <c r="X303" s="18">
        <v>10</v>
      </c>
      <c r="Y303" s="18">
        <v>30277</v>
      </c>
      <c r="Z303" s="18">
        <v>3014</v>
      </c>
      <c r="AA303" s="18">
        <v>0</v>
      </c>
      <c r="AB303" s="18">
        <v>1377</v>
      </c>
      <c r="AC303" s="18">
        <v>0</v>
      </c>
      <c r="AD303" s="6">
        <v>0.17912745229707533</v>
      </c>
      <c r="AE303" s="6">
        <v>0.17899999999999999</v>
      </c>
      <c r="AF303" s="6">
        <v>0.54403683015656679</v>
      </c>
      <c r="AG303" s="6">
        <v>0.54400000000000004</v>
      </c>
      <c r="AH303" s="7">
        <v>120</v>
      </c>
    </row>
    <row r="304" spans="2:34" x14ac:dyDescent="0.25">
      <c r="B304" s="3">
        <v>301</v>
      </c>
      <c r="C304" s="3" t="s">
        <v>607</v>
      </c>
      <c r="D304" s="3" t="s">
        <v>608</v>
      </c>
      <c r="E304" s="3" t="s">
        <v>707</v>
      </c>
      <c r="F304" s="3">
        <v>13104</v>
      </c>
      <c r="G304" s="3">
        <v>13</v>
      </c>
      <c r="H304" s="3">
        <v>0.51</v>
      </c>
      <c r="I304" s="4">
        <v>121587</v>
      </c>
      <c r="J304" s="4">
        <v>29946</v>
      </c>
      <c r="K304" s="18">
        <v>0</v>
      </c>
      <c r="L304" s="18">
        <v>24145</v>
      </c>
      <c r="M304" s="18">
        <v>5496</v>
      </c>
      <c r="N304" s="18">
        <v>0</v>
      </c>
      <c r="O304" s="18">
        <v>305</v>
      </c>
      <c r="P304" s="18">
        <v>0</v>
      </c>
      <c r="Q304" s="6">
        <v>0.24629277801080707</v>
      </c>
      <c r="R304" s="3">
        <v>0.246</v>
      </c>
      <c r="S304" s="6">
        <v>0.58592090810495168</v>
      </c>
      <c r="T304" s="25">
        <v>0.58599999999999997</v>
      </c>
      <c r="U304" s="7">
        <v>71</v>
      </c>
      <c r="V304" s="4">
        <v>137678</v>
      </c>
      <c r="W304" s="4">
        <v>29208</v>
      </c>
      <c r="X304" s="18">
        <v>39</v>
      </c>
      <c r="Y304" s="18">
        <v>22430</v>
      </c>
      <c r="Z304" s="18">
        <v>6149</v>
      </c>
      <c r="AA304" s="18">
        <v>0</v>
      </c>
      <c r="AB304" s="18">
        <v>590</v>
      </c>
      <c r="AC304" s="18">
        <v>0</v>
      </c>
      <c r="AD304" s="6">
        <v>0.21214718400906463</v>
      </c>
      <c r="AE304" s="6">
        <v>0.21199999999999999</v>
      </c>
      <c r="AF304" s="6">
        <v>0.58232010461428585</v>
      </c>
      <c r="AG304" s="6">
        <v>0.58199999999999996</v>
      </c>
      <c r="AH304" s="7">
        <v>75</v>
      </c>
    </row>
    <row r="305" spans="2:34" x14ac:dyDescent="0.25">
      <c r="B305" s="3">
        <v>302</v>
      </c>
      <c r="C305" s="3" t="s">
        <v>609</v>
      </c>
      <c r="D305" s="3" t="s">
        <v>610</v>
      </c>
      <c r="E305" s="3" t="s">
        <v>707</v>
      </c>
      <c r="F305" s="3">
        <v>13503</v>
      </c>
      <c r="G305" s="3">
        <v>13</v>
      </c>
      <c r="H305" s="3">
        <v>0.48499999999999999</v>
      </c>
      <c r="I305" s="4">
        <v>35165</v>
      </c>
      <c r="J305" s="4">
        <v>3965</v>
      </c>
      <c r="K305" s="18">
        <v>0</v>
      </c>
      <c r="L305" s="18">
        <v>3264</v>
      </c>
      <c r="M305" s="18">
        <v>16</v>
      </c>
      <c r="N305" s="18">
        <v>0</v>
      </c>
      <c r="O305" s="18">
        <v>685</v>
      </c>
      <c r="P305" s="18">
        <v>0</v>
      </c>
      <c r="Q305" s="6">
        <v>0.11275415896487985</v>
      </c>
      <c r="R305" s="3">
        <v>0.113</v>
      </c>
      <c r="S305" s="6">
        <v>0.44828351253140786</v>
      </c>
      <c r="T305" s="25">
        <v>0.44800000000000001</v>
      </c>
      <c r="U305" s="7">
        <v>222</v>
      </c>
      <c r="V305" s="4">
        <v>37932</v>
      </c>
      <c r="W305" s="4">
        <v>3473</v>
      </c>
      <c r="X305" s="18">
        <v>2</v>
      </c>
      <c r="Y305" s="18">
        <v>2827</v>
      </c>
      <c r="Z305" s="18">
        <v>0</v>
      </c>
      <c r="AA305" s="18">
        <v>0</v>
      </c>
      <c r="AB305" s="18">
        <v>644</v>
      </c>
      <c r="AC305" s="18">
        <v>0</v>
      </c>
      <c r="AD305" s="6">
        <v>9.1558578508910679E-2</v>
      </c>
      <c r="AE305" s="6">
        <v>9.1999999999999998E-2</v>
      </c>
      <c r="AF305" s="6">
        <v>0.44310819749530761</v>
      </c>
      <c r="AG305" s="6">
        <v>0.443</v>
      </c>
      <c r="AH305" s="7">
        <v>227</v>
      </c>
    </row>
    <row r="306" spans="2:34" x14ac:dyDescent="0.25">
      <c r="B306" s="3">
        <v>303</v>
      </c>
      <c r="C306" s="3" t="s">
        <v>611</v>
      </c>
      <c r="D306" s="3" t="s">
        <v>612</v>
      </c>
      <c r="E306" s="3" t="s">
        <v>707</v>
      </c>
      <c r="F306" s="3">
        <v>13105</v>
      </c>
      <c r="G306" s="3">
        <v>13</v>
      </c>
      <c r="H306" s="3">
        <v>0.56000000000000005</v>
      </c>
      <c r="I306" s="4">
        <v>155257</v>
      </c>
      <c r="J306" s="4">
        <v>37080</v>
      </c>
      <c r="K306" s="18">
        <v>0</v>
      </c>
      <c r="L306" s="18">
        <v>28086</v>
      </c>
      <c r="M306" s="18">
        <v>8673</v>
      </c>
      <c r="N306" s="18">
        <v>0</v>
      </c>
      <c r="O306" s="18">
        <v>321</v>
      </c>
      <c r="P306" s="18">
        <v>0</v>
      </c>
      <c r="Q306" s="6">
        <v>0.23882981121624144</v>
      </c>
      <c r="R306" s="3">
        <v>0.23899999999999999</v>
      </c>
      <c r="S306" s="6">
        <v>0.57822887624035246</v>
      </c>
      <c r="T306" s="25">
        <v>0.57799999999999996</v>
      </c>
      <c r="U306" s="7">
        <v>80</v>
      </c>
      <c r="V306" s="4">
        <v>170536</v>
      </c>
      <c r="W306" s="4">
        <v>36146</v>
      </c>
      <c r="X306" s="18">
        <v>7</v>
      </c>
      <c r="Y306" s="18">
        <v>25855</v>
      </c>
      <c r="Z306" s="18">
        <v>9757</v>
      </c>
      <c r="AA306" s="18">
        <v>0</v>
      </c>
      <c r="AB306" s="18">
        <v>527</v>
      </c>
      <c r="AC306" s="18">
        <v>0</v>
      </c>
      <c r="AD306" s="6">
        <v>0.21195524698597365</v>
      </c>
      <c r="AE306" s="6">
        <v>0.21199999999999999</v>
      </c>
      <c r="AF306" s="6">
        <v>0.58232010461428585</v>
      </c>
      <c r="AG306" s="6">
        <v>0.58199999999999996</v>
      </c>
      <c r="AH306" s="7">
        <v>76</v>
      </c>
    </row>
    <row r="307" spans="2:34" x14ac:dyDescent="0.25">
      <c r="B307" s="3">
        <v>304</v>
      </c>
      <c r="C307" s="3" t="s">
        <v>613</v>
      </c>
      <c r="D307" s="3" t="s">
        <v>614</v>
      </c>
      <c r="E307" s="3" t="s">
        <v>707</v>
      </c>
      <c r="F307" s="3">
        <v>13602</v>
      </c>
      <c r="G307" s="3">
        <v>13</v>
      </c>
      <c r="H307" s="3">
        <v>0.435</v>
      </c>
      <c r="I307" s="4">
        <v>37497</v>
      </c>
      <c r="J307" s="4">
        <v>6565</v>
      </c>
      <c r="K307" s="18">
        <v>0</v>
      </c>
      <c r="L307" s="18">
        <v>6254</v>
      </c>
      <c r="M307" s="18">
        <v>47</v>
      </c>
      <c r="N307" s="18">
        <v>0</v>
      </c>
      <c r="O307" s="18">
        <v>264</v>
      </c>
      <c r="P307" s="18">
        <v>0</v>
      </c>
      <c r="Q307" s="6">
        <v>0.17508067312051631</v>
      </c>
      <c r="R307" s="3">
        <v>0.17499999999999999</v>
      </c>
      <c r="S307" s="6">
        <v>0.5125230497143487</v>
      </c>
      <c r="T307" s="25">
        <v>0.51300000000000001</v>
      </c>
      <c r="U307" s="7">
        <v>141</v>
      </c>
      <c r="V307" s="4">
        <v>41711</v>
      </c>
      <c r="W307" s="4">
        <v>6532</v>
      </c>
      <c r="X307" s="18">
        <v>1</v>
      </c>
      <c r="Y307" s="18">
        <v>6176</v>
      </c>
      <c r="Z307" s="18">
        <v>8</v>
      </c>
      <c r="AA307" s="18">
        <v>0</v>
      </c>
      <c r="AB307" s="18">
        <v>347</v>
      </c>
      <c r="AC307" s="18">
        <v>0</v>
      </c>
      <c r="AD307" s="6">
        <v>0.15660137613579153</v>
      </c>
      <c r="AE307" s="6">
        <v>0.157</v>
      </c>
      <c r="AF307" s="6">
        <v>0.51851464718475415</v>
      </c>
      <c r="AG307" s="6">
        <v>0.51800000000000002</v>
      </c>
      <c r="AH307" s="7">
        <v>140</v>
      </c>
    </row>
    <row r="308" spans="2:34" x14ac:dyDescent="0.25">
      <c r="B308" s="3">
        <v>305</v>
      </c>
      <c r="C308" s="3" t="s">
        <v>615</v>
      </c>
      <c r="D308" s="3" t="s">
        <v>616</v>
      </c>
      <c r="E308" s="3" t="s">
        <v>707</v>
      </c>
      <c r="F308" s="3">
        <v>13106</v>
      </c>
      <c r="G308" s="3">
        <v>13</v>
      </c>
      <c r="H308" s="3">
        <v>0.54400000000000004</v>
      </c>
      <c r="I308" s="4">
        <v>181049</v>
      </c>
      <c r="J308" s="4">
        <v>52289</v>
      </c>
      <c r="K308" s="18">
        <v>2</v>
      </c>
      <c r="L308" s="18">
        <v>37036</v>
      </c>
      <c r="M308" s="18">
        <v>14911</v>
      </c>
      <c r="N308" s="18">
        <v>0</v>
      </c>
      <c r="O308" s="18">
        <v>340</v>
      </c>
      <c r="P308" s="18">
        <v>0</v>
      </c>
      <c r="Q308" s="6">
        <v>0.28881131627349504</v>
      </c>
      <c r="R308" s="3">
        <v>0.28899999999999998</v>
      </c>
      <c r="S308" s="6">
        <v>0.62974449196317439</v>
      </c>
      <c r="T308" s="25">
        <v>0.63</v>
      </c>
      <c r="U308" s="7">
        <v>35</v>
      </c>
      <c r="V308" s="4">
        <v>219897</v>
      </c>
      <c r="W308" s="4">
        <v>50808</v>
      </c>
      <c r="X308" s="18">
        <v>22</v>
      </c>
      <c r="Y308" s="18">
        <v>32900</v>
      </c>
      <c r="Z308" s="18">
        <v>17314</v>
      </c>
      <c r="AA308" s="18">
        <v>0</v>
      </c>
      <c r="AB308" s="18">
        <v>572</v>
      </c>
      <c r="AC308" s="18">
        <v>0</v>
      </c>
      <c r="AD308" s="6">
        <v>0.2310536296538834</v>
      </c>
      <c r="AE308" s="6">
        <v>0.23100000000000001</v>
      </c>
      <c r="AF308" s="6">
        <v>0.60436198990812406</v>
      </c>
      <c r="AG308" s="6">
        <v>0.60399999999999998</v>
      </c>
      <c r="AH308" s="7">
        <v>56</v>
      </c>
    </row>
    <row r="309" spans="2:34" x14ac:dyDescent="0.25">
      <c r="B309" s="3">
        <v>306</v>
      </c>
      <c r="C309" s="3" t="s">
        <v>617</v>
      </c>
      <c r="D309" s="3" t="s">
        <v>618</v>
      </c>
      <c r="E309" s="3" t="s">
        <v>707</v>
      </c>
      <c r="F309" s="3">
        <v>13107</v>
      </c>
      <c r="G309" s="3">
        <v>13</v>
      </c>
      <c r="H309" s="3">
        <v>0.57099999999999995</v>
      </c>
      <c r="I309" s="4">
        <v>101808</v>
      </c>
      <c r="J309" s="4">
        <v>25496</v>
      </c>
      <c r="K309" s="18">
        <v>11</v>
      </c>
      <c r="L309" s="18">
        <v>22435</v>
      </c>
      <c r="M309" s="18">
        <v>2761</v>
      </c>
      <c r="N309" s="18">
        <v>0</v>
      </c>
      <c r="O309" s="18">
        <v>289</v>
      </c>
      <c r="P309" s="18">
        <v>0</v>
      </c>
      <c r="Q309" s="6">
        <v>0.25043218607575041</v>
      </c>
      <c r="R309" s="3">
        <v>0.25</v>
      </c>
      <c r="S309" s="6">
        <v>0.5901873693679589</v>
      </c>
      <c r="T309" s="25">
        <v>0.59</v>
      </c>
      <c r="U309" s="7">
        <v>67</v>
      </c>
      <c r="V309" s="4">
        <v>117121</v>
      </c>
      <c r="W309" s="4">
        <v>23994</v>
      </c>
      <c r="X309" s="18">
        <v>43</v>
      </c>
      <c r="Y309" s="18">
        <v>21038</v>
      </c>
      <c r="Z309" s="18">
        <v>2579</v>
      </c>
      <c r="AA309" s="18">
        <v>0</v>
      </c>
      <c r="AB309" s="18">
        <v>334</v>
      </c>
      <c r="AC309" s="18">
        <v>0</v>
      </c>
      <c r="AD309" s="6">
        <v>0.20486505408936057</v>
      </c>
      <c r="AE309" s="6">
        <v>0.20499999999999999</v>
      </c>
      <c r="AF309" s="6">
        <v>0.57419941003234543</v>
      </c>
      <c r="AG309" s="6">
        <v>0.57399999999999995</v>
      </c>
      <c r="AH309" s="7">
        <v>88</v>
      </c>
    </row>
    <row r="310" spans="2:34" x14ac:dyDescent="0.25">
      <c r="B310" s="3">
        <v>307</v>
      </c>
      <c r="C310" s="3" t="s">
        <v>619</v>
      </c>
      <c r="D310" s="3" t="s">
        <v>620</v>
      </c>
      <c r="E310" s="3" t="s">
        <v>707</v>
      </c>
      <c r="F310" s="3">
        <v>13108</v>
      </c>
      <c r="G310" s="3">
        <v>13</v>
      </c>
      <c r="H310" s="3">
        <v>0.55800000000000005</v>
      </c>
      <c r="I310" s="4">
        <v>116943</v>
      </c>
      <c r="J310" s="4">
        <v>32588</v>
      </c>
      <c r="K310" s="18">
        <v>2</v>
      </c>
      <c r="L310" s="18">
        <v>19566</v>
      </c>
      <c r="M310" s="18">
        <v>12767</v>
      </c>
      <c r="N310" s="18">
        <v>0</v>
      </c>
      <c r="O310" s="18">
        <v>253</v>
      </c>
      <c r="P310" s="18">
        <v>0</v>
      </c>
      <c r="Q310" s="6">
        <v>0.27866567473042425</v>
      </c>
      <c r="R310" s="3">
        <v>0.27900000000000003</v>
      </c>
      <c r="S310" s="6">
        <v>0.61928744449340278</v>
      </c>
      <c r="T310" s="25">
        <v>0.61899999999999999</v>
      </c>
      <c r="U310" s="7">
        <v>43</v>
      </c>
      <c r="V310" s="4">
        <v>151890</v>
      </c>
      <c r="W310" s="4">
        <v>31969</v>
      </c>
      <c r="X310" s="18">
        <v>19</v>
      </c>
      <c r="Y310" s="18">
        <v>16883</v>
      </c>
      <c r="Z310" s="18">
        <v>14632</v>
      </c>
      <c r="AA310" s="18">
        <v>0</v>
      </c>
      <c r="AB310" s="18">
        <v>435</v>
      </c>
      <c r="AC310" s="18">
        <v>0</v>
      </c>
      <c r="AD310" s="6">
        <v>0.21047468562775692</v>
      </c>
      <c r="AE310" s="6">
        <v>0.21</v>
      </c>
      <c r="AF310" s="6">
        <v>0.5799999061623029</v>
      </c>
      <c r="AG310" s="6">
        <v>0.58099999999999996</v>
      </c>
      <c r="AH310" s="7">
        <v>77</v>
      </c>
    </row>
    <row r="311" spans="2:34" x14ac:dyDescent="0.25">
      <c r="B311" s="3">
        <v>308</v>
      </c>
      <c r="C311" s="3" t="s">
        <v>621</v>
      </c>
      <c r="D311" s="3" t="s">
        <v>622</v>
      </c>
      <c r="E311" s="3" t="s">
        <v>707</v>
      </c>
      <c r="F311" s="3">
        <v>13603</v>
      </c>
      <c r="G311" s="3">
        <v>13</v>
      </c>
      <c r="H311" s="3">
        <v>0.43</v>
      </c>
      <c r="I311" s="4">
        <v>39274</v>
      </c>
      <c r="J311" s="4">
        <v>6009</v>
      </c>
      <c r="K311" s="18">
        <v>0</v>
      </c>
      <c r="L311" s="18">
        <v>5803</v>
      </c>
      <c r="M311" s="18">
        <v>24</v>
      </c>
      <c r="N311" s="18">
        <v>0</v>
      </c>
      <c r="O311" s="18">
        <v>182</v>
      </c>
      <c r="P311" s="18">
        <v>0</v>
      </c>
      <c r="Q311" s="6">
        <v>0.15300198604674847</v>
      </c>
      <c r="R311" s="3">
        <v>0.153</v>
      </c>
      <c r="S311" s="6">
        <v>0.48976668898343884</v>
      </c>
      <c r="T311" s="25">
        <v>0.49</v>
      </c>
      <c r="U311" s="7">
        <v>175</v>
      </c>
      <c r="V311" s="4">
        <v>41876</v>
      </c>
      <c r="W311" s="4">
        <v>4628</v>
      </c>
      <c r="X311" s="18">
        <v>1</v>
      </c>
      <c r="Y311" s="18">
        <v>4445</v>
      </c>
      <c r="Z311" s="18">
        <v>1</v>
      </c>
      <c r="AA311" s="18">
        <v>0</v>
      </c>
      <c r="AB311" s="18">
        <v>181</v>
      </c>
      <c r="AC311" s="18">
        <v>0</v>
      </c>
      <c r="AD311" s="6">
        <v>0.11051676377877544</v>
      </c>
      <c r="AE311" s="6">
        <v>0.111</v>
      </c>
      <c r="AF311" s="6">
        <v>0.46515008278914582</v>
      </c>
      <c r="AG311" s="6">
        <v>0.46500000000000002</v>
      </c>
      <c r="AH311" s="7">
        <v>197</v>
      </c>
    </row>
    <row r="312" spans="2:34" x14ac:dyDescent="0.25">
      <c r="B312" s="3">
        <v>309</v>
      </c>
      <c r="C312" s="3" t="s">
        <v>623</v>
      </c>
      <c r="D312" s="3" t="s">
        <v>624</v>
      </c>
      <c r="E312" s="3" t="s">
        <v>707</v>
      </c>
      <c r="F312" s="3">
        <v>13109</v>
      </c>
      <c r="G312" s="3">
        <v>13</v>
      </c>
      <c r="H312" s="3">
        <v>0.55500000000000005</v>
      </c>
      <c r="I312" s="4">
        <v>103157</v>
      </c>
      <c r="J312" s="4">
        <v>33621</v>
      </c>
      <c r="K312" s="18">
        <v>6</v>
      </c>
      <c r="L312" s="18">
        <v>22390</v>
      </c>
      <c r="M312" s="18">
        <v>11032</v>
      </c>
      <c r="N312" s="18">
        <v>0</v>
      </c>
      <c r="O312" s="18">
        <v>193</v>
      </c>
      <c r="P312" s="18">
        <v>0</v>
      </c>
      <c r="Q312" s="6">
        <v>0.32592068400593271</v>
      </c>
      <c r="R312" s="3">
        <v>0.32600000000000001</v>
      </c>
      <c r="S312" s="6">
        <v>0.66799287855400014</v>
      </c>
      <c r="T312" s="25">
        <v>0.66800000000000004</v>
      </c>
      <c r="U312" s="7">
        <v>20</v>
      </c>
      <c r="V312" s="4">
        <v>101377</v>
      </c>
      <c r="W312" s="4">
        <v>31607</v>
      </c>
      <c r="X312" s="18">
        <v>29</v>
      </c>
      <c r="Y312" s="18">
        <v>18873</v>
      </c>
      <c r="Z312" s="18">
        <v>12396</v>
      </c>
      <c r="AA312" s="18">
        <v>0</v>
      </c>
      <c r="AB312" s="18">
        <v>309</v>
      </c>
      <c r="AC312" s="18">
        <v>0</v>
      </c>
      <c r="AD312" s="6">
        <v>0.31177683300945974</v>
      </c>
      <c r="AE312" s="6">
        <v>0.312</v>
      </c>
      <c r="AF312" s="6">
        <v>0.6983300272134344</v>
      </c>
      <c r="AG312" s="6">
        <v>0.69799999999999995</v>
      </c>
      <c r="AH312" s="7">
        <v>13</v>
      </c>
    </row>
    <row r="313" spans="2:34" x14ac:dyDescent="0.25">
      <c r="B313" s="3">
        <v>310</v>
      </c>
      <c r="C313" s="3" t="s">
        <v>625</v>
      </c>
      <c r="D313" s="3" t="s">
        <v>626</v>
      </c>
      <c r="E313" s="3" t="s">
        <v>707</v>
      </c>
      <c r="F313" s="3">
        <v>13110</v>
      </c>
      <c r="G313" s="3">
        <v>13</v>
      </c>
      <c r="H313" s="3">
        <v>0.56000000000000005</v>
      </c>
      <c r="I313" s="4">
        <v>374836</v>
      </c>
      <c r="J313" s="4">
        <v>113775</v>
      </c>
      <c r="K313" s="18">
        <v>14</v>
      </c>
      <c r="L313" s="18">
        <v>80524</v>
      </c>
      <c r="M313" s="18">
        <v>32813</v>
      </c>
      <c r="N313" s="18">
        <v>0</v>
      </c>
      <c r="O313" s="18">
        <v>424</v>
      </c>
      <c r="P313" s="18">
        <v>0</v>
      </c>
      <c r="Q313" s="6">
        <v>0.30353274498714106</v>
      </c>
      <c r="R313" s="3">
        <v>0.30399999999999999</v>
      </c>
      <c r="S313" s="6">
        <v>0.64491777383282556</v>
      </c>
      <c r="T313" s="25">
        <v>0.64500000000000002</v>
      </c>
      <c r="U313" s="7">
        <v>26</v>
      </c>
      <c r="V313" s="4">
        <v>406796</v>
      </c>
      <c r="W313" s="4">
        <v>109407</v>
      </c>
      <c r="X313" s="18">
        <v>67</v>
      </c>
      <c r="Y313" s="18">
        <v>73641</v>
      </c>
      <c r="Z313" s="18">
        <v>35119</v>
      </c>
      <c r="AA313" s="18">
        <v>1</v>
      </c>
      <c r="AB313" s="18">
        <v>579</v>
      </c>
      <c r="AC313" s="18">
        <v>0</v>
      </c>
      <c r="AD313" s="6">
        <v>0.26894807225243117</v>
      </c>
      <c r="AE313" s="6">
        <v>0.26900000000000002</v>
      </c>
      <c r="AF313" s="6">
        <v>0.64844576049580049</v>
      </c>
      <c r="AG313" s="6">
        <v>0.64800000000000002</v>
      </c>
      <c r="AH313" s="7">
        <v>28</v>
      </c>
    </row>
    <row r="314" spans="2:34" x14ac:dyDescent="0.25">
      <c r="B314" s="3">
        <v>311</v>
      </c>
      <c r="C314" s="3" t="s">
        <v>627</v>
      </c>
      <c r="D314" s="3" t="s">
        <v>628</v>
      </c>
      <c r="E314" s="3" t="s">
        <v>707</v>
      </c>
      <c r="F314" s="3">
        <v>13111</v>
      </c>
      <c r="G314" s="3">
        <v>13</v>
      </c>
      <c r="H314" s="3">
        <v>0.59399999999999997</v>
      </c>
      <c r="I314" s="4">
        <v>112022</v>
      </c>
      <c r="J314" s="4">
        <v>25273</v>
      </c>
      <c r="K314" s="18">
        <v>0</v>
      </c>
      <c r="L314" s="18">
        <v>20957</v>
      </c>
      <c r="M314" s="18">
        <v>4072</v>
      </c>
      <c r="N314" s="18">
        <v>0</v>
      </c>
      <c r="O314" s="18">
        <v>244</v>
      </c>
      <c r="P314" s="18">
        <v>0</v>
      </c>
      <c r="Q314" s="6">
        <v>0.22560746996125761</v>
      </c>
      <c r="R314" s="3">
        <v>0.22600000000000001</v>
      </c>
      <c r="S314" s="6">
        <v>0.56460069417045489</v>
      </c>
      <c r="T314" s="25">
        <v>0.56499999999999995</v>
      </c>
      <c r="U314" s="7">
        <v>100</v>
      </c>
      <c r="V314" s="4">
        <v>120249</v>
      </c>
      <c r="W314" s="4">
        <v>24390</v>
      </c>
      <c r="X314" s="18">
        <v>5</v>
      </c>
      <c r="Y314" s="18">
        <v>19411</v>
      </c>
      <c r="Z314" s="18">
        <v>4464</v>
      </c>
      <c r="AA314" s="18">
        <v>0</v>
      </c>
      <c r="AB314" s="18">
        <v>510</v>
      </c>
      <c r="AC314" s="18">
        <v>0</v>
      </c>
      <c r="AD314" s="6">
        <v>0.20282912955617094</v>
      </c>
      <c r="AE314" s="6">
        <v>0.20300000000000001</v>
      </c>
      <c r="AF314" s="6">
        <v>0.57187921158036248</v>
      </c>
      <c r="AG314" s="6">
        <v>0.57199999999999995</v>
      </c>
      <c r="AH314" s="7">
        <v>93</v>
      </c>
    </row>
    <row r="315" spans="2:34" x14ac:dyDescent="0.25">
      <c r="B315" s="3">
        <v>312</v>
      </c>
      <c r="C315" s="3" t="s">
        <v>629</v>
      </c>
      <c r="D315" s="3" t="s">
        <v>630</v>
      </c>
      <c r="E315" s="3" t="s">
        <v>707</v>
      </c>
      <c r="F315" s="3">
        <v>13112</v>
      </c>
      <c r="G315" s="3">
        <v>13</v>
      </c>
      <c r="H315" s="3">
        <v>0.51300000000000001</v>
      </c>
      <c r="I315" s="4">
        <v>175421</v>
      </c>
      <c r="J315" s="4">
        <v>16151</v>
      </c>
      <c r="K315" s="18">
        <v>1</v>
      </c>
      <c r="L315" s="18">
        <v>15588</v>
      </c>
      <c r="M315" s="18">
        <v>1</v>
      </c>
      <c r="N315" s="18">
        <v>0</v>
      </c>
      <c r="O315" s="18">
        <v>561</v>
      </c>
      <c r="P315" s="18">
        <v>0</v>
      </c>
      <c r="Q315" s="6">
        <v>9.2069934614441823E-2</v>
      </c>
      <c r="R315" s="3">
        <v>9.1999999999999998E-2</v>
      </c>
      <c r="S315" s="6">
        <v>0.42696441555861347</v>
      </c>
      <c r="T315" s="25">
        <v>0.42699999999999999</v>
      </c>
      <c r="U315" s="7">
        <v>245</v>
      </c>
      <c r="V315" s="4">
        <v>189151</v>
      </c>
      <c r="W315" s="4">
        <v>16424</v>
      </c>
      <c r="X315" s="18">
        <v>2</v>
      </c>
      <c r="Y315" s="18">
        <v>15556</v>
      </c>
      <c r="Z315" s="18">
        <v>0</v>
      </c>
      <c r="AA315" s="18">
        <v>0</v>
      </c>
      <c r="AB315" s="18">
        <v>866</v>
      </c>
      <c r="AC315" s="18">
        <v>0</v>
      </c>
      <c r="AD315" s="6">
        <v>8.6830098704209865E-2</v>
      </c>
      <c r="AE315" s="6">
        <v>8.6999999999999994E-2</v>
      </c>
      <c r="AF315" s="6">
        <v>0.43730770136535019</v>
      </c>
      <c r="AG315" s="6">
        <v>0.437</v>
      </c>
      <c r="AH315" s="7">
        <v>234</v>
      </c>
    </row>
    <row r="316" spans="2:34" x14ac:dyDescent="0.25">
      <c r="B316" s="3">
        <v>313</v>
      </c>
      <c r="C316" s="3" t="s">
        <v>631</v>
      </c>
      <c r="D316" s="3" t="s">
        <v>632</v>
      </c>
      <c r="E316" s="3" t="s">
        <v>707</v>
      </c>
      <c r="F316" s="3">
        <v>13113</v>
      </c>
      <c r="G316" s="3">
        <v>13</v>
      </c>
      <c r="H316" s="3">
        <v>0.61399999999999999</v>
      </c>
      <c r="I316" s="4">
        <v>89870</v>
      </c>
      <c r="J316" s="4">
        <v>27174</v>
      </c>
      <c r="K316" s="18">
        <v>16</v>
      </c>
      <c r="L316" s="18">
        <v>17753</v>
      </c>
      <c r="M316" s="18">
        <v>9188</v>
      </c>
      <c r="N316" s="18">
        <v>0</v>
      </c>
      <c r="O316" s="18">
        <v>217</v>
      </c>
      <c r="P316" s="18">
        <v>0</v>
      </c>
      <c r="Q316" s="6">
        <v>0.30237009013018806</v>
      </c>
      <c r="R316" s="3">
        <v>0.30199999999999999</v>
      </c>
      <c r="S316" s="6">
        <v>0.6437194329513245</v>
      </c>
      <c r="T316" s="25">
        <v>0.64400000000000002</v>
      </c>
      <c r="U316" s="7">
        <v>30</v>
      </c>
      <c r="V316" s="4">
        <v>99686</v>
      </c>
      <c r="W316" s="4">
        <v>26797</v>
      </c>
      <c r="X316" s="18">
        <v>74</v>
      </c>
      <c r="Y316" s="18">
        <v>16882</v>
      </c>
      <c r="Z316" s="18">
        <v>9668</v>
      </c>
      <c r="AA316" s="18">
        <v>0</v>
      </c>
      <c r="AB316" s="18">
        <v>173</v>
      </c>
      <c r="AC316" s="18">
        <v>0</v>
      </c>
      <c r="AD316" s="6">
        <v>0.26881407619926567</v>
      </c>
      <c r="AE316" s="6">
        <v>0.26900000000000002</v>
      </c>
      <c r="AF316" s="6">
        <v>0.64844576049580049</v>
      </c>
      <c r="AG316" s="6">
        <v>0.64800000000000002</v>
      </c>
      <c r="AH316" s="7">
        <v>29</v>
      </c>
    </row>
    <row r="317" spans="2:34" x14ac:dyDescent="0.25">
      <c r="B317" s="3">
        <v>314</v>
      </c>
      <c r="C317" s="3" t="s">
        <v>633</v>
      </c>
      <c r="D317" s="3" t="s">
        <v>634</v>
      </c>
      <c r="E317" s="3" t="s">
        <v>707</v>
      </c>
      <c r="F317" s="3">
        <v>13302</v>
      </c>
      <c r="G317" s="3">
        <v>13</v>
      </c>
      <c r="H317" s="3">
        <v>0.48899999999999999</v>
      </c>
      <c r="I317" s="4">
        <v>145160</v>
      </c>
      <c r="J317" s="4">
        <v>24037</v>
      </c>
      <c r="K317" s="18">
        <v>0</v>
      </c>
      <c r="L317" s="18">
        <v>19935</v>
      </c>
      <c r="M317" s="18">
        <v>3070</v>
      </c>
      <c r="N317" s="18">
        <v>0</v>
      </c>
      <c r="O317" s="18">
        <v>1032</v>
      </c>
      <c r="P317" s="18">
        <v>0</v>
      </c>
      <c r="Q317" s="6">
        <v>0.1655896941306145</v>
      </c>
      <c r="R317" s="3">
        <v>0.16600000000000001</v>
      </c>
      <c r="S317" s="6">
        <v>0.50274075872657065</v>
      </c>
      <c r="T317" s="25">
        <v>0.503</v>
      </c>
      <c r="U317" s="7">
        <v>159</v>
      </c>
      <c r="V317" s="4">
        <v>139266</v>
      </c>
      <c r="W317" s="4">
        <v>22688</v>
      </c>
      <c r="X317" s="18">
        <v>0</v>
      </c>
      <c r="Y317" s="18">
        <v>18547</v>
      </c>
      <c r="Z317" s="18">
        <v>3180</v>
      </c>
      <c r="AA317" s="18">
        <v>0</v>
      </c>
      <c r="AB317" s="18">
        <v>961</v>
      </c>
      <c r="AC317" s="18">
        <v>0</v>
      </c>
      <c r="AD317" s="6">
        <v>0.16291126333778524</v>
      </c>
      <c r="AE317" s="6">
        <v>0.16300000000000001</v>
      </c>
      <c r="AF317" s="6">
        <v>0.5254752425407031</v>
      </c>
      <c r="AG317" s="6">
        <v>0.52500000000000002</v>
      </c>
      <c r="AH317" s="7">
        <v>133</v>
      </c>
    </row>
    <row r="318" spans="2:34" x14ac:dyDescent="0.25">
      <c r="B318" s="3">
        <v>315</v>
      </c>
      <c r="C318" s="3" t="s">
        <v>635</v>
      </c>
      <c r="D318" s="3" t="s">
        <v>636</v>
      </c>
      <c r="E318" s="3" t="s">
        <v>707</v>
      </c>
      <c r="F318" s="3">
        <v>13114</v>
      </c>
      <c r="G318" s="3">
        <v>13</v>
      </c>
      <c r="H318" s="3">
        <v>0.69</v>
      </c>
      <c r="I318" s="4">
        <v>296134</v>
      </c>
      <c r="J318" s="4">
        <v>111283</v>
      </c>
      <c r="K318" s="18">
        <v>82</v>
      </c>
      <c r="L318" s="18">
        <v>66696</v>
      </c>
      <c r="M318" s="18">
        <v>43821</v>
      </c>
      <c r="N318" s="18">
        <v>0</v>
      </c>
      <c r="O318" s="18">
        <v>684</v>
      </c>
      <c r="P318" s="18">
        <v>0</v>
      </c>
      <c r="Q318" s="6">
        <v>0.37578596176055434</v>
      </c>
      <c r="R318" s="3">
        <v>0.376</v>
      </c>
      <c r="S318" s="6">
        <v>0.71938869954370976</v>
      </c>
      <c r="T318" s="25">
        <v>0.71899999999999997</v>
      </c>
      <c r="U318" s="7">
        <v>6</v>
      </c>
      <c r="V318" s="4">
        <v>341183</v>
      </c>
      <c r="W318" s="4">
        <v>109460</v>
      </c>
      <c r="X318" s="18">
        <v>269</v>
      </c>
      <c r="Y318" s="18">
        <v>62390</v>
      </c>
      <c r="Z318" s="18">
        <v>46201</v>
      </c>
      <c r="AA318" s="18">
        <v>1</v>
      </c>
      <c r="AB318" s="18">
        <v>599</v>
      </c>
      <c r="AC318" s="18">
        <v>0</v>
      </c>
      <c r="AD318" s="6">
        <v>0.32082489455805241</v>
      </c>
      <c r="AE318" s="6">
        <v>0.32100000000000001</v>
      </c>
      <c r="AF318" s="6">
        <v>0.70877092024735777</v>
      </c>
      <c r="AG318" s="6">
        <v>0.70799999999999996</v>
      </c>
      <c r="AH318" s="7">
        <v>9</v>
      </c>
    </row>
    <row r="319" spans="2:34" x14ac:dyDescent="0.25">
      <c r="B319" s="3">
        <v>316</v>
      </c>
      <c r="C319" s="3" t="s">
        <v>637</v>
      </c>
      <c r="D319" s="3" t="s">
        <v>638</v>
      </c>
      <c r="E319" s="3" t="s">
        <v>707</v>
      </c>
      <c r="F319" s="3">
        <v>13115</v>
      </c>
      <c r="G319" s="3">
        <v>13</v>
      </c>
      <c r="H319" s="3">
        <v>0.59</v>
      </c>
      <c r="I319" s="4">
        <v>112620</v>
      </c>
      <c r="J319" s="4">
        <v>27417</v>
      </c>
      <c r="K319" s="18">
        <v>39</v>
      </c>
      <c r="L319" s="18">
        <v>21451</v>
      </c>
      <c r="M319" s="18">
        <v>5355</v>
      </c>
      <c r="N319" s="18">
        <v>0</v>
      </c>
      <c r="O319" s="18">
        <v>572</v>
      </c>
      <c r="P319" s="18">
        <v>0</v>
      </c>
      <c r="Q319" s="6">
        <v>0.24344698987746405</v>
      </c>
      <c r="R319" s="3">
        <v>0.24299999999999999</v>
      </c>
      <c r="S319" s="6">
        <v>0.58298777258336365</v>
      </c>
      <c r="T319" s="25">
        <v>0.58299999999999996</v>
      </c>
      <c r="U319" s="7">
        <v>74</v>
      </c>
      <c r="V319" s="4">
        <v>129790</v>
      </c>
      <c r="W319" s="4">
        <v>26481</v>
      </c>
      <c r="X319" s="18">
        <v>68</v>
      </c>
      <c r="Y319" s="18">
        <v>20288</v>
      </c>
      <c r="Z319" s="18">
        <v>5708</v>
      </c>
      <c r="AA319" s="18">
        <v>0</v>
      </c>
      <c r="AB319" s="18">
        <v>417</v>
      </c>
      <c r="AC319" s="18">
        <v>0</v>
      </c>
      <c r="AD319" s="6">
        <v>0.20402958625471918</v>
      </c>
      <c r="AE319" s="6">
        <v>0.20399999999999999</v>
      </c>
      <c r="AF319" s="6">
        <v>0.57303931080635395</v>
      </c>
      <c r="AG319" s="6">
        <v>0.57299999999999995</v>
      </c>
      <c r="AH319" s="7">
        <v>91</v>
      </c>
    </row>
    <row r="320" spans="2:34" x14ac:dyDescent="0.25">
      <c r="B320" s="3">
        <v>317</v>
      </c>
      <c r="C320" s="3" t="s">
        <v>639</v>
      </c>
      <c r="D320" s="3" t="s">
        <v>640</v>
      </c>
      <c r="E320" s="3" t="s">
        <v>707</v>
      </c>
      <c r="F320" s="3">
        <v>13116</v>
      </c>
      <c r="G320" s="3">
        <v>13</v>
      </c>
      <c r="H320" s="3">
        <v>0.54</v>
      </c>
      <c r="I320" s="4">
        <v>87295</v>
      </c>
      <c r="J320" s="4">
        <v>15192</v>
      </c>
      <c r="K320" s="18">
        <v>1</v>
      </c>
      <c r="L320" s="18">
        <v>14442</v>
      </c>
      <c r="M320" s="18">
        <v>387</v>
      </c>
      <c r="N320" s="18">
        <v>0</v>
      </c>
      <c r="O320" s="18">
        <v>362</v>
      </c>
      <c r="P320" s="18">
        <v>0</v>
      </c>
      <c r="Q320" s="6">
        <v>0.17403058594421214</v>
      </c>
      <c r="R320" s="3">
        <v>0.17399999999999999</v>
      </c>
      <c r="S320" s="6">
        <v>0.51144073161712489</v>
      </c>
      <c r="T320" s="25">
        <v>0.51100000000000001</v>
      </c>
      <c r="U320" s="7">
        <v>146</v>
      </c>
      <c r="V320" s="4">
        <v>101615</v>
      </c>
      <c r="W320" s="4">
        <v>14382</v>
      </c>
      <c r="X320" s="18">
        <v>4</v>
      </c>
      <c r="Y320" s="18">
        <v>13500</v>
      </c>
      <c r="Z320" s="18">
        <v>287</v>
      </c>
      <c r="AA320" s="18">
        <v>0</v>
      </c>
      <c r="AB320" s="18">
        <v>591</v>
      </c>
      <c r="AC320" s="18">
        <v>0</v>
      </c>
      <c r="AD320" s="6">
        <v>0.14153422230969837</v>
      </c>
      <c r="AE320" s="6">
        <v>0.14199999999999999</v>
      </c>
      <c r="AF320" s="6">
        <v>0.50111315879488183</v>
      </c>
      <c r="AG320" s="6">
        <v>0.501</v>
      </c>
      <c r="AH320" s="7">
        <v>158</v>
      </c>
    </row>
    <row r="321" spans="2:34" x14ac:dyDescent="0.25">
      <c r="B321" s="3">
        <v>318</v>
      </c>
      <c r="C321" s="3" t="s">
        <v>641</v>
      </c>
      <c r="D321" s="3" t="s">
        <v>642</v>
      </c>
      <c r="E321" s="3" t="s">
        <v>707</v>
      </c>
      <c r="F321" s="3">
        <v>13117</v>
      </c>
      <c r="G321" s="3">
        <v>13</v>
      </c>
      <c r="H321" s="3">
        <v>0.48399999999999999</v>
      </c>
      <c r="I321" s="4">
        <v>91290</v>
      </c>
      <c r="J321" s="4">
        <v>21806</v>
      </c>
      <c r="K321" s="18">
        <v>0</v>
      </c>
      <c r="L321" s="18">
        <v>18699</v>
      </c>
      <c r="M321" s="18">
        <v>2908</v>
      </c>
      <c r="N321" s="18">
        <v>0</v>
      </c>
      <c r="O321" s="18">
        <v>199</v>
      </c>
      <c r="P321" s="18">
        <v>0</v>
      </c>
      <c r="Q321" s="6">
        <v>0.2388651550005477</v>
      </c>
      <c r="R321" s="3">
        <v>0.23899999999999999</v>
      </c>
      <c r="S321" s="6">
        <v>0.57826530485146421</v>
      </c>
      <c r="T321" s="25">
        <v>0.57799999999999996</v>
      </c>
      <c r="U321" s="7">
        <v>79</v>
      </c>
      <c r="V321" s="4">
        <v>102923</v>
      </c>
      <c r="W321" s="4">
        <v>20843</v>
      </c>
      <c r="X321" s="18">
        <v>5</v>
      </c>
      <c r="Y321" s="18">
        <v>17306</v>
      </c>
      <c r="Z321" s="18">
        <v>3122</v>
      </c>
      <c r="AA321" s="18">
        <v>0</v>
      </c>
      <c r="AB321" s="18">
        <v>410</v>
      </c>
      <c r="AC321" s="18">
        <v>0</v>
      </c>
      <c r="AD321" s="6">
        <v>0.20251061473140114</v>
      </c>
      <c r="AE321" s="6">
        <v>0.20300000000000001</v>
      </c>
      <c r="AF321" s="6">
        <v>0.57187921158036248</v>
      </c>
      <c r="AG321" s="6">
        <v>0.57099999999999995</v>
      </c>
      <c r="AH321" s="7">
        <v>95</v>
      </c>
    </row>
    <row r="322" spans="2:34" x14ac:dyDescent="0.25">
      <c r="B322" s="3">
        <v>319</v>
      </c>
      <c r="C322" s="3" t="s">
        <v>643</v>
      </c>
      <c r="D322" s="3" t="s">
        <v>644</v>
      </c>
      <c r="E322" s="3" t="s">
        <v>707</v>
      </c>
      <c r="F322" s="3">
        <v>13118</v>
      </c>
      <c r="G322" s="3">
        <v>13</v>
      </c>
      <c r="H322" s="3">
        <v>0.55900000000000005</v>
      </c>
      <c r="I322" s="4">
        <v>123800</v>
      </c>
      <c r="J322" s="4">
        <v>40786</v>
      </c>
      <c r="K322" s="18">
        <v>5</v>
      </c>
      <c r="L322" s="18">
        <v>29522</v>
      </c>
      <c r="M322" s="18">
        <v>11097</v>
      </c>
      <c r="N322" s="18">
        <v>0</v>
      </c>
      <c r="O322" s="18">
        <v>162</v>
      </c>
      <c r="P322" s="18">
        <v>0</v>
      </c>
      <c r="Q322" s="6">
        <v>0.32945072697899841</v>
      </c>
      <c r="R322" s="3">
        <v>0.32900000000000001</v>
      </c>
      <c r="S322" s="6">
        <v>0.67163127113696031</v>
      </c>
      <c r="T322" s="25">
        <v>0.67200000000000004</v>
      </c>
      <c r="U322" s="7">
        <v>19</v>
      </c>
      <c r="V322" s="4">
        <v>137735</v>
      </c>
      <c r="W322" s="4">
        <v>39621</v>
      </c>
      <c r="X322" s="18">
        <v>26</v>
      </c>
      <c r="Y322" s="18">
        <v>27267</v>
      </c>
      <c r="Z322" s="18">
        <v>12101</v>
      </c>
      <c r="AA322" s="18">
        <v>2</v>
      </c>
      <c r="AB322" s="18">
        <v>225</v>
      </c>
      <c r="AC322" s="18">
        <v>0</v>
      </c>
      <c r="AD322" s="6">
        <v>0.28766108832177734</v>
      </c>
      <c r="AE322" s="6">
        <v>0.28799999999999998</v>
      </c>
      <c r="AF322" s="6">
        <v>0.67048764578963871</v>
      </c>
      <c r="AG322" s="6">
        <v>0.67</v>
      </c>
      <c r="AH322" s="7">
        <v>19</v>
      </c>
    </row>
    <row r="323" spans="2:34" x14ac:dyDescent="0.25">
      <c r="B323" s="3">
        <v>320</v>
      </c>
      <c r="C323" s="3" t="s">
        <v>645</v>
      </c>
      <c r="D323" s="3" t="s">
        <v>646</v>
      </c>
      <c r="E323" s="3" t="s">
        <v>707</v>
      </c>
      <c r="F323" s="3">
        <v>13119</v>
      </c>
      <c r="G323" s="3">
        <v>13</v>
      </c>
      <c r="H323" s="3">
        <v>0.54800000000000004</v>
      </c>
      <c r="I323" s="4">
        <v>503635</v>
      </c>
      <c r="J323" s="4">
        <v>142581</v>
      </c>
      <c r="K323" s="18">
        <v>6</v>
      </c>
      <c r="L323" s="18">
        <v>98778</v>
      </c>
      <c r="M323" s="18">
        <v>43209</v>
      </c>
      <c r="N323" s="18">
        <v>0</v>
      </c>
      <c r="O323" s="18">
        <v>588</v>
      </c>
      <c r="P323" s="18">
        <v>0</v>
      </c>
      <c r="Q323" s="6">
        <v>0.28310383511868714</v>
      </c>
      <c r="R323" s="3">
        <v>0.28299999999999997</v>
      </c>
      <c r="S323" s="6">
        <v>0.62386182785412991</v>
      </c>
      <c r="T323" s="25">
        <v>0.624</v>
      </c>
      <c r="U323" s="7">
        <v>41</v>
      </c>
      <c r="V323" s="4">
        <v>586337</v>
      </c>
      <c r="W323" s="4">
        <v>141847</v>
      </c>
      <c r="X323" s="18">
        <v>29</v>
      </c>
      <c r="Y323" s="18">
        <v>94951</v>
      </c>
      <c r="Z323" s="18">
        <v>46098</v>
      </c>
      <c r="AA323" s="18">
        <v>0</v>
      </c>
      <c r="AB323" s="18">
        <v>769</v>
      </c>
      <c r="AC323" s="18">
        <v>0</v>
      </c>
      <c r="AD323" s="6">
        <v>0.24192060197463233</v>
      </c>
      <c r="AE323" s="6">
        <v>0.24199999999999999</v>
      </c>
      <c r="AF323" s="6">
        <v>0.61712308139403038</v>
      </c>
      <c r="AG323" s="6">
        <v>0.61699999999999999</v>
      </c>
      <c r="AH323" s="7">
        <v>46</v>
      </c>
    </row>
    <row r="324" spans="2:34" x14ac:dyDescent="0.25">
      <c r="B324" s="3">
        <v>321</v>
      </c>
      <c r="C324" s="3" t="s">
        <v>647</v>
      </c>
      <c r="D324" s="3" t="s">
        <v>648</v>
      </c>
      <c r="E324" s="3" t="s">
        <v>707</v>
      </c>
      <c r="F324" s="3">
        <v>13504</v>
      </c>
      <c r="G324" s="3">
        <v>13</v>
      </c>
      <c r="H324" s="3">
        <v>0.40699999999999997</v>
      </c>
      <c r="I324" s="4">
        <v>15352</v>
      </c>
      <c r="J324" s="4">
        <v>2882</v>
      </c>
      <c r="K324" s="18">
        <v>0</v>
      </c>
      <c r="L324" s="18">
        <v>2737</v>
      </c>
      <c r="M324" s="18">
        <v>0</v>
      </c>
      <c r="N324" s="18">
        <v>0</v>
      </c>
      <c r="O324" s="18">
        <v>145</v>
      </c>
      <c r="P324" s="18">
        <v>0</v>
      </c>
      <c r="Q324" s="6">
        <v>0.18772798332464827</v>
      </c>
      <c r="R324" s="3">
        <v>0.188</v>
      </c>
      <c r="S324" s="6">
        <v>0.52555855097940785</v>
      </c>
      <c r="T324" s="25">
        <v>0.52600000000000002</v>
      </c>
      <c r="U324" s="7">
        <v>129</v>
      </c>
      <c r="V324" s="4">
        <v>15503</v>
      </c>
      <c r="W324" s="4">
        <v>274</v>
      </c>
      <c r="X324" s="18">
        <v>0</v>
      </c>
      <c r="Y324" s="18">
        <v>155</v>
      </c>
      <c r="Z324" s="18">
        <v>0</v>
      </c>
      <c r="AA324" s="18">
        <v>0</v>
      </c>
      <c r="AB324" s="18">
        <v>119</v>
      </c>
      <c r="AC324" s="18">
        <v>0</v>
      </c>
      <c r="AD324" s="6">
        <v>1.7673998580919822E-2</v>
      </c>
      <c r="AE324" s="6">
        <v>1.7999999999999999E-2</v>
      </c>
      <c r="AF324" s="6">
        <v>0.3572608547719377</v>
      </c>
      <c r="AG324" s="6">
        <v>0.35699999999999998</v>
      </c>
      <c r="AH324" s="7">
        <v>334</v>
      </c>
    </row>
    <row r="325" spans="2:34" x14ac:dyDescent="0.25">
      <c r="B325" s="3">
        <v>322</v>
      </c>
      <c r="C325" s="3" t="s">
        <v>649</v>
      </c>
      <c r="D325" s="3" t="s">
        <v>650</v>
      </c>
      <c r="E325" s="3" t="s">
        <v>707</v>
      </c>
      <c r="F325" s="3">
        <v>13501</v>
      </c>
      <c r="G325" s="3">
        <v>13</v>
      </c>
      <c r="H325" s="3">
        <v>0.54300000000000004</v>
      </c>
      <c r="I325" s="4">
        <v>136325</v>
      </c>
      <c r="J325" s="4">
        <v>18834</v>
      </c>
      <c r="K325" s="18">
        <v>2</v>
      </c>
      <c r="L325" s="18">
        <v>16757</v>
      </c>
      <c r="M325" s="18">
        <v>1383</v>
      </c>
      <c r="N325" s="18">
        <v>0</v>
      </c>
      <c r="O325" s="18">
        <v>692</v>
      </c>
      <c r="P325" s="18">
        <v>0</v>
      </c>
      <c r="Q325" s="6">
        <v>0.13815514395745462</v>
      </c>
      <c r="R325" s="3">
        <v>0.13800000000000001</v>
      </c>
      <c r="S325" s="6">
        <v>0.47446414435431344</v>
      </c>
      <c r="T325" s="25">
        <v>0.47399999999999998</v>
      </c>
      <c r="U325" s="7">
        <v>194</v>
      </c>
      <c r="V325" s="4">
        <v>147275</v>
      </c>
      <c r="W325" s="4">
        <v>18290</v>
      </c>
      <c r="X325" s="18">
        <v>44</v>
      </c>
      <c r="Y325" s="18">
        <v>15978</v>
      </c>
      <c r="Z325" s="18">
        <v>1629</v>
      </c>
      <c r="AA325" s="18">
        <v>0</v>
      </c>
      <c r="AB325" s="18">
        <v>639</v>
      </c>
      <c r="AC325" s="18">
        <v>0</v>
      </c>
      <c r="AD325" s="6">
        <v>0.12418944152096419</v>
      </c>
      <c r="AE325" s="6">
        <v>0.124</v>
      </c>
      <c r="AF325" s="6">
        <v>0.48023137272703514</v>
      </c>
      <c r="AG325" s="6">
        <v>0.48099999999999998</v>
      </c>
      <c r="AH325" s="7">
        <v>186</v>
      </c>
    </row>
    <row r="326" spans="2:34" x14ac:dyDescent="0.25">
      <c r="B326" s="3">
        <v>323</v>
      </c>
      <c r="C326" s="3" t="s">
        <v>651</v>
      </c>
      <c r="D326" s="3" t="s">
        <v>652</v>
      </c>
      <c r="E326" s="3" t="s">
        <v>707</v>
      </c>
      <c r="F326" s="3">
        <v>13120</v>
      </c>
      <c r="G326" s="3">
        <v>13</v>
      </c>
      <c r="H326" s="3">
        <v>0.63100000000000001</v>
      </c>
      <c r="I326" s="4">
        <v>241467</v>
      </c>
      <c r="J326" s="4">
        <v>100630</v>
      </c>
      <c r="K326" s="18">
        <v>12</v>
      </c>
      <c r="L326" s="18">
        <v>71692</v>
      </c>
      <c r="M326" s="18">
        <v>28587</v>
      </c>
      <c r="N326" s="18">
        <v>0</v>
      </c>
      <c r="O326" s="18">
        <v>339</v>
      </c>
      <c r="P326" s="18">
        <v>0</v>
      </c>
      <c r="Q326" s="6">
        <v>0.41674431702882797</v>
      </c>
      <c r="R326" s="3">
        <v>0.41699999999999998</v>
      </c>
      <c r="S326" s="6">
        <v>0.76160421282651725</v>
      </c>
      <c r="T326" s="25">
        <v>0.76200000000000001</v>
      </c>
      <c r="U326" s="7">
        <v>4</v>
      </c>
      <c r="V326" s="4">
        <v>263319</v>
      </c>
      <c r="W326" s="4">
        <v>96407</v>
      </c>
      <c r="X326" s="18">
        <v>78</v>
      </c>
      <c r="Y326" s="18">
        <v>65952</v>
      </c>
      <c r="Z326" s="18">
        <v>30041</v>
      </c>
      <c r="AA326" s="18">
        <v>1</v>
      </c>
      <c r="AB326" s="18">
        <v>335</v>
      </c>
      <c r="AC326" s="18">
        <v>0</v>
      </c>
      <c r="AD326" s="6">
        <v>0.36612245983009201</v>
      </c>
      <c r="AE326" s="6">
        <v>0.36599999999999999</v>
      </c>
      <c r="AF326" s="6">
        <v>0.76097538541697451</v>
      </c>
      <c r="AG326" s="6">
        <v>0.76100000000000001</v>
      </c>
      <c r="AH326" s="7">
        <v>5</v>
      </c>
    </row>
    <row r="327" spans="2:34" x14ac:dyDescent="0.25">
      <c r="B327" s="3">
        <v>324</v>
      </c>
      <c r="C327" s="3" t="s">
        <v>653</v>
      </c>
      <c r="D327" s="3" t="s">
        <v>654</v>
      </c>
      <c r="E327" s="3" t="s">
        <v>707</v>
      </c>
      <c r="F327" s="3">
        <v>13604</v>
      </c>
      <c r="G327" s="3">
        <v>13</v>
      </c>
      <c r="H327" s="3">
        <v>0.56399999999999995</v>
      </c>
      <c r="I327" s="4">
        <v>81243</v>
      </c>
      <c r="J327" s="4">
        <v>20699</v>
      </c>
      <c r="K327" s="18">
        <v>0</v>
      </c>
      <c r="L327" s="18">
        <v>16601</v>
      </c>
      <c r="M327" s="18">
        <v>3799</v>
      </c>
      <c r="N327" s="18">
        <v>0</v>
      </c>
      <c r="O327" s="18">
        <v>299</v>
      </c>
      <c r="P327" s="18">
        <v>0</v>
      </c>
      <c r="Q327" s="6">
        <v>0.2547788732567729</v>
      </c>
      <c r="R327" s="3">
        <v>0.255</v>
      </c>
      <c r="S327" s="6">
        <v>0.5946674718824464</v>
      </c>
      <c r="T327" s="25">
        <v>0.59499999999999997</v>
      </c>
      <c r="U327" s="7">
        <v>60</v>
      </c>
      <c r="V327" s="4">
        <v>79925</v>
      </c>
      <c r="W327" s="4">
        <v>19737</v>
      </c>
      <c r="X327" s="18">
        <v>3</v>
      </c>
      <c r="Y327" s="18">
        <v>15291</v>
      </c>
      <c r="Z327" s="18">
        <v>4154</v>
      </c>
      <c r="AA327" s="18">
        <v>0</v>
      </c>
      <c r="AB327" s="18">
        <v>289</v>
      </c>
      <c r="AC327" s="18">
        <v>0</v>
      </c>
      <c r="AD327" s="6">
        <v>0.24694401000938379</v>
      </c>
      <c r="AE327" s="6">
        <v>0.247</v>
      </c>
      <c r="AF327" s="6">
        <v>0.62292357752398786</v>
      </c>
      <c r="AG327" s="6">
        <v>0.623</v>
      </c>
      <c r="AH327" s="7">
        <v>42</v>
      </c>
    </row>
    <row r="328" spans="2:34" x14ac:dyDescent="0.25">
      <c r="B328" s="3">
        <v>325</v>
      </c>
      <c r="C328" s="3" t="s">
        <v>655</v>
      </c>
      <c r="D328" s="3" t="s">
        <v>656</v>
      </c>
      <c r="E328" s="3" t="s">
        <v>707</v>
      </c>
      <c r="F328" s="3">
        <v>13404</v>
      </c>
      <c r="G328" s="3">
        <v>13</v>
      </c>
      <c r="H328" s="3">
        <v>0.47699999999999998</v>
      </c>
      <c r="I328" s="4">
        <v>78828</v>
      </c>
      <c r="J328" s="4">
        <v>7997</v>
      </c>
      <c r="K328" s="18">
        <v>0</v>
      </c>
      <c r="L328" s="18">
        <v>7382</v>
      </c>
      <c r="M328" s="18">
        <v>0</v>
      </c>
      <c r="N328" s="18">
        <v>0</v>
      </c>
      <c r="O328" s="18">
        <v>615</v>
      </c>
      <c r="P328" s="18">
        <v>0</v>
      </c>
      <c r="Q328" s="6">
        <v>0.10144872380372456</v>
      </c>
      <c r="R328" s="3">
        <v>0.10100000000000001</v>
      </c>
      <c r="S328" s="6">
        <v>0.43663107324063</v>
      </c>
      <c r="T328" s="25">
        <v>0.437</v>
      </c>
      <c r="U328" s="7">
        <v>236</v>
      </c>
      <c r="V328" s="4">
        <v>87059</v>
      </c>
      <c r="W328" s="4">
        <v>7425</v>
      </c>
      <c r="X328" s="18">
        <v>0</v>
      </c>
      <c r="Y328" s="18">
        <v>6897</v>
      </c>
      <c r="Z328" s="18">
        <v>0</v>
      </c>
      <c r="AA328" s="18">
        <v>0</v>
      </c>
      <c r="AB328" s="18">
        <v>528</v>
      </c>
      <c r="AC328" s="18">
        <v>0</v>
      </c>
      <c r="AD328" s="6">
        <v>8.5286989283129833E-2</v>
      </c>
      <c r="AE328" s="6">
        <v>8.5000000000000006E-2</v>
      </c>
      <c r="AF328" s="6">
        <v>0.43498750291336724</v>
      </c>
      <c r="AG328" s="6">
        <v>0.435</v>
      </c>
      <c r="AH328" s="7">
        <v>236</v>
      </c>
    </row>
    <row r="329" spans="2:34" x14ac:dyDescent="0.25">
      <c r="B329" s="3">
        <v>326</v>
      </c>
      <c r="C329" s="3" t="s">
        <v>657</v>
      </c>
      <c r="D329" s="3" t="s">
        <v>658</v>
      </c>
      <c r="E329" s="3" t="s">
        <v>707</v>
      </c>
      <c r="F329" s="3">
        <v>13121</v>
      </c>
      <c r="G329" s="3">
        <v>13</v>
      </c>
      <c r="H329" s="3">
        <v>0.60799999999999998</v>
      </c>
      <c r="I329" s="4">
        <v>96062</v>
      </c>
      <c r="J329" s="4">
        <v>22974</v>
      </c>
      <c r="K329" s="18">
        <v>0</v>
      </c>
      <c r="L329" s="18">
        <v>16230</v>
      </c>
      <c r="M329" s="18">
        <v>6519</v>
      </c>
      <c r="N329" s="18">
        <v>0</v>
      </c>
      <c r="O329" s="18">
        <v>225</v>
      </c>
      <c r="P329" s="18">
        <v>0</v>
      </c>
      <c r="Q329" s="6">
        <v>0.2391580437634028</v>
      </c>
      <c r="R329" s="3">
        <v>0.23899999999999999</v>
      </c>
      <c r="S329" s="6">
        <v>0.5785671834151348</v>
      </c>
      <c r="T329" s="25">
        <v>0.57899999999999996</v>
      </c>
      <c r="U329" s="7">
        <v>78</v>
      </c>
      <c r="V329" s="4">
        <v>105483</v>
      </c>
      <c r="W329" s="4">
        <v>22056</v>
      </c>
      <c r="X329" s="18">
        <v>4</v>
      </c>
      <c r="Y329" s="18">
        <v>15137</v>
      </c>
      <c r="Z329" s="18">
        <v>6494</v>
      </c>
      <c r="AA329" s="18">
        <v>0</v>
      </c>
      <c r="AB329" s="18">
        <v>421</v>
      </c>
      <c r="AC329" s="18">
        <v>0</v>
      </c>
      <c r="AD329" s="6">
        <v>0.20909530445664229</v>
      </c>
      <c r="AE329" s="6">
        <v>0.20899999999999999</v>
      </c>
      <c r="AF329" s="6">
        <v>0.57883980693631143</v>
      </c>
      <c r="AG329" s="6">
        <v>0.57899999999999996</v>
      </c>
      <c r="AH329" s="7">
        <v>81</v>
      </c>
    </row>
    <row r="330" spans="2:34" x14ac:dyDescent="0.25">
      <c r="B330" s="3">
        <v>327</v>
      </c>
      <c r="C330" s="3" t="s">
        <v>659</v>
      </c>
      <c r="D330" s="3" t="s">
        <v>660</v>
      </c>
      <c r="E330" s="3" t="s">
        <v>707</v>
      </c>
      <c r="F330" s="3">
        <v>13605</v>
      </c>
      <c r="G330" s="3">
        <v>13</v>
      </c>
      <c r="H330" s="3">
        <v>0.58299999999999996</v>
      </c>
      <c r="I330" s="4">
        <v>94402</v>
      </c>
      <c r="J330" s="4">
        <v>22482</v>
      </c>
      <c r="K330" s="18">
        <v>2</v>
      </c>
      <c r="L330" s="18">
        <v>18014</v>
      </c>
      <c r="M330" s="18">
        <v>3960</v>
      </c>
      <c r="N330" s="18">
        <v>0</v>
      </c>
      <c r="O330" s="18">
        <v>506</v>
      </c>
      <c r="P330" s="18">
        <v>0</v>
      </c>
      <c r="Q330" s="6">
        <v>0.23815173407343065</v>
      </c>
      <c r="R330" s="3">
        <v>0.23799999999999999</v>
      </c>
      <c r="S330" s="6">
        <v>0.57752998649144527</v>
      </c>
      <c r="T330" s="25">
        <v>0.57799999999999996</v>
      </c>
      <c r="U330" s="7">
        <v>81</v>
      </c>
      <c r="V330" s="4">
        <v>105498</v>
      </c>
      <c r="W330" s="4">
        <v>22016</v>
      </c>
      <c r="X330" s="18">
        <v>5</v>
      </c>
      <c r="Y330" s="18">
        <v>16966</v>
      </c>
      <c r="Z330" s="18">
        <v>4360</v>
      </c>
      <c r="AA330" s="18">
        <v>0</v>
      </c>
      <c r="AB330" s="18">
        <v>685</v>
      </c>
      <c r="AC330" s="18">
        <v>0</v>
      </c>
      <c r="AD330" s="6">
        <v>0.2086864205956511</v>
      </c>
      <c r="AE330" s="6">
        <v>0.20899999999999999</v>
      </c>
      <c r="AF330" s="6">
        <v>0.57883980693631143</v>
      </c>
      <c r="AG330" s="6">
        <v>0.57799999999999996</v>
      </c>
      <c r="AH330" s="7">
        <v>82</v>
      </c>
    </row>
    <row r="331" spans="2:34" x14ac:dyDescent="0.25">
      <c r="B331" s="3">
        <v>328</v>
      </c>
      <c r="C331" s="3" t="s">
        <v>661</v>
      </c>
      <c r="D331" s="3" t="s">
        <v>662</v>
      </c>
      <c r="E331" s="3" t="s">
        <v>707</v>
      </c>
      <c r="F331" s="3">
        <v>13122</v>
      </c>
      <c r="G331" s="3">
        <v>13</v>
      </c>
      <c r="H331" s="3">
        <v>0.55200000000000005</v>
      </c>
      <c r="I331" s="4">
        <v>236478</v>
      </c>
      <c r="J331" s="4">
        <v>54799</v>
      </c>
      <c r="K331" s="18">
        <v>8</v>
      </c>
      <c r="L331" s="18">
        <v>43083</v>
      </c>
      <c r="M331" s="18">
        <v>11218</v>
      </c>
      <c r="N331" s="18">
        <v>0</v>
      </c>
      <c r="O331" s="18">
        <v>490</v>
      </c>
      <c r="P331" s="18">
        <v>0</v>
      </c>
      <c r="Q331" s="6">
        <v>0.23172980150373396</v>
      </c>
      <c r="R331" s="3">
        <v>0.23200000000000001</v>
      </c>
      <c r="S331" s="6">
        <v>0.5709109419052647</v>
      </c>
      <c r="T331" s="25">
        <v>0.57099999999999995</v>
      </c>
      <c r="U331" s="7">
        <v>88</v>
      </c>
      <c r="V331" s="4">
        <v>271854</v>
      </c>
      <c r="W331" s="4">
        <v>53699</v>
      </c>
      <c r="X331" s="18">
        <v>25</v>
      </c>
      <c r="Y331" s="18">
        <v>41064</v>
      </c>
      <c r="Z331" s="18">
        <v>11985</v>
      </c>
      <c r="AA331" s="18">
        <v>0</v>
      </c>
      <c r="AB331" s="18">
        <v>625</v>
      </c>
      <c r="AC331" s="18">
        <v>0</v>
      </c>
      <c r="AD331" s="6">
        <v>0.19752882061694879</v>
      </c>
      <c r="AE331" s="6">
        <v>0.19800000000000001</v>
      </c>
      <c r="AF331" s="6">
        <v>0.56607871545040511</v>
      </c>
      <c r="AG331" s="6">
        <v>0.56599999999999995</v>
      </c>
      <c r="AH331" s="7">
        <v>98</v>
      </c>
    </row>
    <row r="332" spans="2:34" x14ac:dyDescent="0.25">
      <c r="B332" s="3">
        <v>329</v>
      </c>
      <c r="C332" s="3" t="s">
        <v>663</v>
      </c>
      <c r="D332" s="3" t="s">
        <v>664</v>
      </c>
      <c r="E332" s="3" t="s">
        <v>707</v>
      </c>
      <c r="F332" s="3">
        <v>13202</v>
      </c>
      <c r="G332" s="3">
        <v>13</v>
      </c>
      <c r="H332" s="3">
        <v>0.45100000000000001</v>
      </c>
      <c r="I332" s="4">
        <v>29060</v>
      </c>
      <c r="J332" s="4">
        <v>3083</v>
      </c>
      <c r="K332" s="18">
        <v>0</v>
      </c>
      <c r="L332" s="18">
        <v>2864</v>
      </c>
      <c r="M332" s="18">
        <v>37</v>
      </c>
      <c r="N332" s="18">
        <v>0</v>
      </c>
      <c r="O332" s="18">
        <v>182</v>
      </c>
      <c r="P332" s="18">
        <v>0</v>
      </c>
      <c r="Q332" s="6">
        <v>0.10609084652443221</v>
      </c>
      <c r="R332" s="3">
        <v>0.106</v>
      </c>
      <c r="S332" s="6">
        <v>0.44141567926528291</v>
      </c>
      <c r="T332" s="25">
        <v>0.441</v>
      </c>
      <c r="U332" s="7">
        <v>231</v>
      </c>
      <c r="V332" s="4">
        <v>32412</v>
      </c>
      <c r="W332" s="4">
        <v>2828</v>
      </c>
      <c r="X332" s="18">
        <v>6</v>
      </c>
      <c r="Y332" s="18">
        <v>2674</v>
      </c>
      <c r="Z332" s="18">
        <v>0</v>
      </c>
      <c r="AA332" s="18">
        <v>0</v>
      </c>
      <c r="AB332" s="18">
        <v>148</v>
      </c>
      <c r="AC332" s="18">
        <v>0</v>
      </c>
      <c r="AD332" s="6">
        <v>8.7251635196840677E-2</v>
      </c>
      <c r="AE332" s="6">
        <v>8.6999999999999994E-2</v>
      </c>
      <c r="AF332" s="6">
        <v>0.43730770136535019</v>
      </c>
      <c r="AG332" s="6">
        <v>0.438</v>
      </c>
      <c r="AH332" s="7">
        <v>232</v>
      </c>
    </row>
    <row r="333" spans="2:34" x14ac:dyDescent="0.25">
      <c r="B333" s="3">
        <v>330</v>
      </c>
      <c r="C333" s="3" t="s">
        <v>665</v>
      </c>
      <c r="D333" s="3" t="s">
        <v>666</v>
      </c>
      <c r="E333" s="3" t="s">
        <v>707</v>
      </c>
      <c r="F333" s="3">
        <v>13123</v>
      </c>
      <c r="G333" s="3">
        <v>13</v>
      </c>
      <c r="H333" s="3">
        <v>0.63</v>
      </c>
      <c r="I333" s="4">
        <v>143974</v>
      </c>
      <c r="J333" s="4">
        <v>62238</v>
      </c>
      <c r="K333" s="18">
        <v>37</v>
      </c>
      <c r="L333" s="18">
        <v>39343</v>
      </c>
      <c r="M333" s="18">
        <v>22378</v>
      </c>
      <c r="N333" s="18">
        <v>0</v>
      </c>
      <c r="O333" s="18">
        <v>480</v>
      </c>
      <c r="P333" s="18">
        <v>0</v>
      </c>
      <c r="Q333" s="6">
        <v>0.43228638504174366</v>
      </c>
      <c r="R333" s="3">
        <v>0.432</v>
      </c>
      <c r="S333" s="6">
        <v>0.77762332234261078</v>
      </c>
      <c r="T333" s="25">
        <v>0.77800000000000002</v>
      </c>
      <c r="U333" s="7">
        <v>3</v>
      </c>
      <c r="V333" s="4">
        <v>162837</v>
      </c>
      <c r="W333" s="4">
        <v>61628</v>
      </c>
      <c r="X333" s="18">
        <v>283</v>
      </c>
      <c r="Y333" s="18">
        <v>37515</v>
      </c>
      <c r="Z333" s="18">
        <v>23302</v>
      </c>
      <c r="AA333" s="18">
        <v>1</v>
      </c>
      <c r="AB333" s="18">
        <v>527</v>
      </c>
      <c r="AC333" s="18">
        <v>0</v>
      </c>
      <c r="AD333" s="6">
        <v>0.37846435392447664</v>
      </c>
      <c r="AE333" s="6">
        <v>0.378</v>
      </c>
      <c r="AF333" s="6">
        <v>0.77489657612887242</v>
      </c>
      <c r="AG333" s="6">
        <v>0.77500000000000002</v>
      </c>
      <c r="AH333" s="7">
        <v>3</v>
      </c>
    </row>
    <row r="334" spans="2:34" x14ac:dyDescent="0.25">
      <c r="B334" s="3">
        <v>331</v>
      </c>
      <c r="C334" s="3" t="s">
        <v>667</v>
      </c>
      <c r="D334" s="3" t="s">
        <v>668</v>
      </c>
      <c r="E334" s="3" t="s">
        <v>707</v>
      </c>
      <c r="F334" s="3">
        <v>13124</v>
      </c>
      <c r="G334" s="3">
        <v>13</v>
      </c>
      <c r="H334" s="3">
        <v>0.54900000000000004</v>
      </c>
      <c r="I334" s="4">
        <v>227820</v>
      </c>
      <c r="J334" s="4">
        <v>57856</v>
      </c>
      <c r="K334" s="18">
        <v>3</v>
      </c>
      <c r="L334" s="18">
        <v>48063</v>
      </c>
      <c r="M334" s="18">
        <v>9064</v>
      </c>
      <c r="N334" s="18">
        <v>0</v>
      </c>
      <c r="O334" s="18">
        <v>726</v>
      </c>
      <c r="P334" s="18">
        <v>0</v>
      </c>
      <c r="Q334" s="6">
        <v>0.25395487665700994</v>
      </c>
      <c r="R334" s="3">
        <v>0.254</v>
      </c>
      <c r="S334" s="6">
        <v>0.5938181838879838</v>
      </c>
      <c r="T334" s="25">
        <v>0.59399999999999997</v>
      </c>
      <c r="U334" s="7">
        <v>62</v>
      </c>
      <c r="V334" s="4">
        <v>260129</v>
      </c>
      <c r="W334" s="4">
        <v>56388</v>
      </c>
      <c r="X334" s="18">
        <v>12</v>
      </c>
      <c r="Y334" s="18">
        <v>45381</v>
      </c>
      <c r="Z334" s="18">
        <v>10070</v>
      </c>
      <c r="AA334" s="18">
        <v>0</v>
      </c>
      <c r="AB334" s="18">
        <v>925</v>
      </c>
      <c r="AC334" s="18">
        <v>0</v>
      </c>
      <c r="AD334" s="6">
        <v>0.21676937211921776</v>
      </c>
      <c r="AE334" s="6">
        <v>0.217</v>
      </c>
      <c r="AF334" s="6">
        <v>0.58812060074424333</v>
      </c>
      <c r="AG334" s="6">
        <v>0.58799999999999997</v>
      </c>
      <c r="AH334" s="7">
        <v>67</v>
      </c>
    </row>
    <row r="335" spans="2:34" x14ac:dyDescent="0.25">
      <c r="B335" s="3">
        <v>332</v>
      </c>
      <c r="C335" s="3" t="s">
        <v>669</v>
      </c>
      <c r="D335" s="3" t="s">
        <v>670</v>
      </c>
      <c r="E335" s="3" t="s">
        <v>707</v>
      </c>
      <c r="F335" s="3">
        <v>13201</v>
      </c>
      <c r="G335" s="3">
        <v>13</v>
      </c>
      <c r="H335" s="3">
        <v>0.57499999999999996</v>
      </c>
      <c r="I335" s="4">
        <v>568086</v>
      </c>
      <c r="J335" s="4">
        <v>143900</v>
      </c>
      <c r="K335" s="18">
        <v>9</v>
      </c>
      <c r="L335" s="18">
        <v>95993</v>
      </c>
      <c r="M335" s="18">
        <v>47128</v>
      </c>
      <c r="N335" s="18">
        <v>0</v>
      </c>
      <c r="O335" s="18">
        <v>770</v>
      </c>
      <c r="P335" s="18">
        <v>0</v>
      </c>
      <c r="Q335" s="6">
        <v>0.25330671764486362</v>
      </c>
      <c r="R335" s="3">
        <v>0.253</v>
      </c>
      <c r="S335" s="6">
        <v>0.59315013056388388</v>
      </c>
      <c r="T335" s="25">
        <v>0.59299999999999997</v>
      </c>
      <c r="U335" s="7">
        <v>63</v>
      </c>
      <c r="V335" s="4">
        <v>664370</v>
      </c>
      <c r="W335" s="4">
        <v>141976</v>
      </c>
      <c r="X335" s="18">
        <v>33</v>
      </c>
      <c r="Y335" s="18">
        <v>89811</v>
      </c>
      <c r="Z335" s="18">
        <v>50823</v>
      </c>
      <c r="AA335" s="18">
        <v>0</v>
      </c>
      <c r="AB335" s="18">
        <v>1309</v>
      </c>
      <c r="AC335" s="18">
        <v>0</v>
      </c>
      <c r="AD335" s="6">
        <v>0.21370019717928262</v>
      </c>
      <c r="AE335" s="6">
        <v>0.214</v>
      </c>
      <c r="AF335" s="6">
        <v>0.5846403030662688</v>
      </c>
      <c r="AG335" s="6">
        <v>0.58399999999999996</v>
      </c>
      <c r="AH335" s="7">
        <v>74</v>
      </c>
    </row>
    <row r="336" spans="2:34" x14ac:dyDescent="0.25">
      <c r="B336" s="3">
        <v>333</v>
      </c>
      <c r="C336" s="3" t="s">
        <v>671</v>
      </c>
      <c r="D336" s="3" t="s">
        <v>672</v>
      </c>
      <c r="E336" s="3" t="s">
        <v>707</v>
      </c>
      <c r="F336" s="3">
        <v>13125</v>
      </c>
      <c r="G336" s="3">
        <v>13</v>
      </c>
      <c r="H336" s="3">
        <v>0.54200000000000004</v>
      </c>
      <c r="I336" s="4">
        <v>205624</v>
      </c>
      <c r="J336" s="4">
        <v>48622</v>
      </c>
      <c r="K336" s="18">
        <v>5</v>
      </c>
      <c r="L336" s="18">
        <v>35912</v>
      </c>
      <c r="M336" s="18">
        <v>11999</v>
      </c>
      <c r="N336" s="18">
        <v>0</v>
      </c>
      <c r="O336" s="18">
        <v>706</v>
      </c>
      <c r="P336" s="18">
        <v>0</v>
      </c>
      <c r="Q336" s="6">
        <v>0.23646072442905497</v>
      </c>
      <c r="R336" s="3">
        <v>0.23599999999999999</v>
      </c>
      <c r="S336" s="6">
        <v>0.57578707372954552</v>
      </c>
      <c r="T336" s="25">
        <v>0.57599999999999996</v>
      </c>
      <c r="U336" s="7">
        <v>83</v>
      </c>
      <c r="V336" s="4">
        <v>271385</v>
      </c>
      <c r="W336" s="4">
        <v>47352</v>
      </c>
      <c r="X336" s="18">
        <v>18</v>
      </c>
      <c r="Y336" s="18">
        <v>33715</v>
      </c>
      <c r="Z336" s="18">
        <v>12822</v>
      </c>
      <c r="AA336" s="18">
        <v>1</v>
      </c>
      <c r="AB336" s="18">
        <v>796</v>
      </c>
      <c r="AC336" s="18">
        <v>0</v>
      </c>
      <c r="AD336" s="6">
        <v>0.17448274591447574</v>
      </c>
      <c r="AE336" s="6">
        <v>0.17399999999999999</v>
      </c>
      <c r="AF336" s="6">
        <v>0.53823633402660942</v>
      </c>
      <c r="AG336" s="6">
        <v>0.53900000000000003</v>
      </c>
      <c r="AH336" s="7">
        <v>123</v>
      </c>
    </row>
    <row r="337" spans="2:34" x14ac:dyDescent="0.25">
      <c r="B337" s="3">
        <v>334</v>
      </c>
      <c r="C337" s="3" t="s">
        <v>673</v>
      </c>
      <c r="D337" s="3" t="s">
        <v>674</v>
      </c>
      <c r="E337" s="3" t="s">
        <v>707</v>
      </c>
      <c r="F337" s="3">
        <v>13126</v>
      </c>
      <c r="G337" s="3">
        <v>13</v>
      </c>
      <c r="H337" s="3">
        <v>0.55800000000000005</v>
      </c>
      <c r="I337" s="4">
        <v>129351</v>
      </c>
      <c r="J337" s="4">
        <v>33925</v>
      </c>
      <c r="K337" s="18">
        <v>0</v>
      </c>
      <c r="L337" s="18">
        <v>22109</v>
      </c>
      <c r="M337" s="18">
        <v>11676</v>
      </c>
      <c r="N337" s="18">
        <v>0</v>
      </c>
      <c r="O337" s="18">
        <v>140</v>
      </c>
      <c r="P337" s="18">
        <v>0</v>
      </c>
      <c r="Q337" s="6">
        <v>0.26227087537011695</v>
      </c>
      <c r="R337" s="3">
        <v>0.26200000000000001</v>
      </c>
      <c r="S337" s="6">
        <v>0.60238943026332137</v>
      </c>
      <c r="T337" s="25">
        <v>0.60199999999999998</v>
      </c>
      <c r="U337" s="7">
        <v>55</v>
      </c>
      <c r="V337" s="4">
        <v>140964</v>
      </c>
      <c r="W337" s="4">
        <v>33193</v>
      </c>
      <c r="X337" s="18">
        <v>5</v>
      </c>
      <c r="Y337" s="18">
        <v>19660</v>
      </c>
      <c r="Z337" s="18">
        <v>13327</v>
      </c>
      <c r="AA337" s="18">
        <v>0</v>
      </c>
      <c r="AB337" s="18">
        <v>201</v>
      </c>
      <c r="AC337" s="18">
        <v>0</v>
      </c>
      <c r="AD337" s="6">
        <v>0.23547146789251155</v>
      </c>
      <c r="AE337" s="6">
        <v>0.23499999999999999</v>
      </c>
      <c r="AF337" s="6">
        <v>0.60900238681208996</v>
      </c>
      <c r="AG337" s="6">
        <v>0.60899999999999999</v>
      </c>
      <c r="AH337" s="7">
        <v>52</v>
      </c>
    </row>
    <row r="338" spans="2:34" x14ac:dyDescent="0.25">
      <c r="B338" s="3">
        <v>335</v>
      </c>
      <c r="C338" s="3" t="s">
        <v>675</v>
      </c>
      <c r="D338" s="3" t="s">
        <v>676</v>
      </c>
      <c r="E338" s="3" t="s">
        <v>707</v>
      </c>
      <c r="F338" s="3">
        <v>13127</v>
      </c>
      <c r="G338" s="3">
        <v>13</v>
      </c>
      <c r="H338" s="3">
        <v>0.58799999999999997</v>
      </c>
      <c r="I338" s="4">
        <v>154615</v>
      </c>
      <c r="J338" s="4">
        <v>36501</v>
      </c>
      <c r="K338" s="18">
        <v>1</v>
      </c>
      <c r="L338" s="18">
        <v>26391</v>
      </c>
      <c r="M338" s="18">
        <v>9757</v>
      </c>
      <c r="N338" s="18">
        <v>0</v>
      </c>
      <c r="O338" s="18">
        <v>352</v>
      </c>
      <c r="P338" s="18">
        <v>0</v>
      </c>
      <c r="Q338" s="6">
        <v>0.23607670665847427</v>
      </c>
      <c r="R338" s="3">
        <v>0.23599999999999999</v>
      </c>
      <c r="S338" s="6">
        <v>0.57539126908386096</v>
      </c>
      <c r="T338" s="25">
        <v>0.57499999999999996</v>
      </c>
      <c r="U338" s="7">
        <v>85</v>
      </c>
      <c r="V338" s="4">
        <v>196073</v>
      </c>
      <c r="W338" s="4">
        <v>35845</v>
      </c>
      <c r="X338" s="18">
        <v>12</v>
      </c>
      <c r="Y338" s="18">
        <v>24633</v>
      </c>
      <c r="Z338" s="18">
        <v>10663</v>
      </c>
      <c r="AA338" s="18">
        <v>0</v>
      </c>
      <c r="AB338" s="18">
        <v>537</v>
      </c>
      <c r="AC338" s="18">
        <v>0</v>
      </c>
      <c r="AD338" s="6">
        <v>0.1828145639634218</v>
      </c>
      <c r="AE338" s="6">
        <v>0.183</v>
      </c>
      <c r="AF338" s="6">
        <v>0.54867722706053279</v>
      </c>
      <c r="AG338" s="6">
        <v>0.54800000000000004</v>
      </c>
      <c r="AH338" s="7">
        <v>112</v>
      </c>
    </row>
    <row r="339" spans="2:34" x14ac:dyDescent="0.25">
      <c r="B339" s="3">
        <v>336</v>
      </c>
      <c r="C339" s="3" t="s">
        <v>677</v>
      </c>
      <c r="D339" s="3" t="s">
        <v>678</v>
      </c>
      <c r="E339" s="3" t="s">
        <v>707</v>
      </c>
      <c r="F339" s="3">
        <v>13128</v>
      </c>
      <c r="G339" s="3">
        <v>13</v>
      </c>
      <c r="H339" s="3">
        <v>0.54600000000000004</v>
      </c>
      <c r="I339" s="4">
        <v>143622</v>
      </c>
      <c r="J339" s="4">
        <v>31889</v>
      </c>
      <c r="K339" s="18">
        <v>1</v>
      </c>
      <c r="L339" s="18">
        <v>28021</v>
      </c>
      <c r="M339" s="18">
        <v>3441</v>
      </c>
      <c r="N339" s="18">
        <v>0</v>
      </c>
      <c r="O339" s="18">
        <v>426</v>
      </c>
      <c r="P339" s="18">
        <v>0</v>
      </c>
      <c r="Q339" s="6">
        <v>0.22203422873932963</v>
      </c>
      <c r="R339" s="3">
        <v>0.222</v>
      </c>
      <c r="S339" s="6">
        <v>0.56091777743029403</v>
      </c>
      <c r="T339" s="25">
        <v>0.56100000000000005</v>
      </c>
      <c r="U339" s="7">
        <v>102</v>
      </c>
      <c r="V339" s="4">
        <v>162854</v>
      </c>
      <c r="W339" s="4">
        <v>30900</v>
      </c>
      <c r="X339" s="18">
        <v>12</v>
      </c>
      <c r="Y339" s="18">
        <v>26612</v>
      </c>
      <c r="Z339" s="18">
        <v>3690</v>
      </c>
      <c r="AA339" s="18">
        <v>0</v>
      </c>
      <c r="AB339" s="18">
        <v>586</v>
      </c>
      <c r="AC339" s="18">
        <v>0</v>
      </c>
      <c r="AD339" s="6">
        <v>0.18974050376410773</v>
      </c>
      <c r="AE339" s="6">
        <v>0.19</v>
      </c>
      <c r="AF339" s="6">
        <v>0.55679792164247321</v>
      </c>
      <c r="AG339" s="6">
        <v>0.55700000000000005</v>
      </c>
      <c r="AH339" s="7">
        <v>104</v>
      </c>
    </row>
    <row r="340" spans="2:34" x14ac:dyDescent="0.25">
      <c r="B340" s="3">
        <v>337</v>
      </c>
      <c r="C340" s="3" t="s">
        <v>679</v>
      </c>
      <c r="D340" s="3" t="s">
        <v>680</v>
      </c>
      <c r="E340" s="3" t="s">
        <v>707</v>
      </c>
      <c r="F340" s="3">
        <v>13401</v>
      </c>
      <c r="G340" s="3">
        <v>13</v>
      </c>
      <c r="H340" s="3">
        <v>0.53900000000000003</v>
      </c>
      <c r="I340" s="4">
        <v>306371</v>
      </c>
      <c r="J340" s="4">
        <v>65805</v>
      </c>
      <c r="K340" s="18">
        <v>2</v>
      </c>
      <c r="L340" s="18">
        <v>49590</v>
      </c>
      <c r="M340" s="18">
        <v>15237</v>
      </c>
      <c r="N340" s="18">
        <v>0</v>
      </c>
      <c r="O340" s="18">
        <v>976</v>
      </c>
      <c r="P340" s="18">
        <v>0</v>
      </c>
      <c r="Q340" s="6">
        <v>0.21478860597119179</v>
      </c>
      <c r="R340" s="3">
        <v>0.215</v>
      </c>
      <c r="S340" s="6">
        <v>0.5534497606555222</v>
      </c>
      <c r="T340" s="25">
        <v>0.55300000000000005</v>
      </c>
      <c r="U340" s="7">
        <v>107</v>
      </c>
      <c r="V340" s="4">
        <v>345583</v>
      </c>
      <c r="W340" s="4">
        <v>65070</v>
      </c>
      <c r="X340" s="18">
        <v>30</v>
      </c>
      <c r="Y340" s="18">
        <v>47683</v>
      </c>
      <c r="Z340" s="18">
        <v>15976</v>
      </c>
      <c r="AA340" s="18">
        <v>0</v>
      </c>
      <c r="AB340" s="18">
        <v>1381</v>
      </c>
      <c r="AC340" s="18">
        <v>0</v>
      </c>
      <c r="AD340" s="6">
        <v>0.18829051197541546</v>
      </c>
      <c r="AE340" s="6">
        <v>0.188</v>
      </c>
      <c r="AF340" s="6">
        <v>0.55447772319049027</v>
      </c>
      <c r="AG340" s="6">
        <v>0.55500000000000005</v>
      </c>
      <c r="AH340" s="7">
        <v>105</v>
      </c>
    </row>
    <row r="341" spans="2:34" x14ac:dyDescent="0.25">
      <c r="B341" s="3">
        <v>338</v>
      </c>
      <c r="C341" s="3" t="s">
        <v>681</v>
      </c>
      <c r="D341" s="3" t="s">
        <v>682</v>
      </c>
      <c r="E341" s="3" t="s">
        <v>707</v>
      </c>
      <c r="F341" s="3">
        <v>13129</v>
      </c>
      <c r="G341" s="3">
        <v>13</v>
      </c>
      <c r="H341" s="3">
        <v>0.55600000000000005</v>
      </c>
      <c r="I341" s="4">
        <v>95602</v>
      </c>
      <c r="J341" s="4">
        <v>24028</v>
      </c>
      <c r="K341" s="18">
        <v>0</v>
      </c>
      <c r="L341" s="18">
        <v>17871</v>
      </c>
      <c r="M341" s="18">
        <v>6016</v>
      </c>
      <c r="N341" s="18">
        <v>0</v>
      </c>
      <c r="O341" s="18">
        <v>141</v>
      </c>
      <c r="P341" s="18">
        <v>0</v>
      </c>
      <c r="Q341" s="6">
        <v>0.25133365410765462</v>
      </c>
      <c r="R341" s="3">
        <v>0.251</v>
      </c>
      <c r="S341" s="6">
        <v>0.59111650666914239</v>
      </c>
      <c r="T341" s="25">
        <v>0.59099999999999997</v>
      </c>
      <c r="U341" s="7">
        <v>66</v>
      </c>
      <c r="V341" s="4">
        <v>103420</v>
      </c>
      <c r="W341" s="4">
        <v>23306</v>
      </c>
      <c r="X341" s="18">
        <v>11</v>
      </c>
      <c r="Y341" s="18">
        <v>16754</v>
      </c>
      <c r="Z341" s="18">
        <v>6338</v>
      </c>
      <c r="AA341" s="18">
        <v>0</v>
      </c>
      <c r="AB341" s="18">
        <v>203</v>
      </c>
      <c r="AC341" s="18">
        <v>0</v>
      </c>
      <c r="AD341" s="6">
        <v>0.22535292980081223</v>
      </c>
      <c r="AE341" s="6">
        <v>0.22500000000000001</v>
      </c>
      <c r="AF341" s="6">
        <v>0.59740139455217522</v>
      </c>
      <c r="AG341" s="6">
        <v>0.59799999999999998</v>
      </c>
      <c r="AH341" s="7">
        <v>60</v>
      </c>
    </row>
    <row r="342" spans="2:34" x14ac:dyDescent="0.25">
      <c r="B342" s="3">
        <v>339</v>
      </c>
      <c r="C342" s="3" t="s">
        <v>683</v>
      </c>
      <c r="D342" s="3" t="s">
        <v>684</v>
      </c>
      <c r="E342" s="3" t="s">
        <v>707</v>
      </c>
      <c r="F342" s="3">
        <v>13203</v>
      </c>
      <c r="G342" s="3">
        <v>13</v>
      </c>
      <c r="H342" s="3">
        <v>0.41099999999999998</v>
      </c>
      <c r="I342" s="4">
        <v>17441</v>
      </c>
      <c r="J342" s="4">
        <v>1435</v>
      </c>
      <c r="K342" s="18">
        <v>0</v>
      </c>
      <c r="L342" s="18">
        <v>1277</v>
      </c>
      <c r="M342" s="18">
        <v>14</v>
      </c>
      <c r="N342" s="18">
        <v>0</v>
      </c>
      <c r="O342" s="18">
        <v>144</v>
      </c>
      <c r="P342" s="18">
        <v>0</v>
      </c>
      <c r="Q342" s="6">
        <v>8.2277392351356005E-2</v>
      </c>
      <c r="R342" s="3">
        <v>8.2000000000000003E-2</v>
      </c>
      <c r="S342" s="6">
        <v>0.41687130524517346</v>
      </c>
      <c r="T342" s="25">
        <v>0.41699999999999998</v>
      </c>
      <c r="U342" s="7">
        <v>257</v>
      </c>
      <c r="V342" s="4">
        <v>19330</v>
      </c>
      <c r="W342" s="4">
        <v>1217</v>
      </c>
      <c r="X342" s="18">
        <v>24</v>
      </c>
      <c r="Y342" s="18">
        <v>1086</v>
      </c>
      <c r="Z342" s="18">
        <v>0</v>
      </c>
      <c r="AA342" s="18">
        <v>0</v>
      </c>
      <c r="AB342" s="18">
        <v>107</v>
      </c>
      <c r="AC342" s="18">
        <v>0</v>
      </c>
      <c r="AD342" s="6">
        <v>6.2959130884635284E-2</v>
      </c>
      <c r="AE342" s="6">
        <v>6.3E-2</v>
      </c>
      <c r="AF342" s="6">
        <v>0.40946531994155455</v>
      </c>
      <c r="AG342" s="6">
        <v>0.41</v>
      </c>
      <c r="AH342" s="7">
        <v>266</v>
      </c>
    </row>
    <row r="343" spans="2:34" x14ac:dyDescent="0.25">
      <c r="B343" s="3">
        <v>340</v>
      </c>
      <c r="C343" s="3" t="s">
        <v>685</v>
      </c>
      <c r="D343" s="3" t="s">
        <v>686</v>
      </c>
      <c r="E343" s="3" t="s">
        <v>707</v>
      </c>
      <c r="F343" s="3">
        <v>13130</v>
      </c>
      <c r="G343" s="3">
        <v>13</v>
      </c>
      <c r="H343" s="3">
        <v>0.59599999999999997</v>
      </c>
      <c r="I343" s="4">
        <v>150829</v>
      </c>
      <c r="J343" s="4">
        <v>54001</v>
      </c>
      <c r="K343" s="18">
        <v>4</v>
      </c>
      <c r="L343" s="18">
        <v>38425</v>
      </c>
      <c r="M343" s="18">
        <v>15419</v>
      </c>
      <c r="N343" s="18">
        <v>0</v>
      </c>
      <c r="O343" s="18">
        <v>153</v>
      </c>
      <c r="P343" s="18">
        <v>0</v>
      </c>
      <c r="Q343" s="6">
        <v>0.35802796544431109</v>
      </c>
      <c r="R343" s="3">
        <v>0.35799999999999998</v>
      </c>
      <c r="S343" s="6">
        <v>0.70108564698082754</v>
      </c>
      <c r="T343" s="25">
        <v>0.70099999999999996</v>
      </c>
      <c r="U343" s="7">
        <v>11</v>
      </c>
      <c r="V343" s="4">
        <v>142549</v>
      </c>
      <c r="W343" s="4">
        <v>53305</v>
      </c>
      <c r="X343" s="18">
        <v>22</v>
      </c>
      <c r="Y343" s="18">
        <v>36820</v>
      </c>
      <c r="Z343" s="18">
        <v>16278</v>
      </c>
      <c r="AA343" s="18">
        <v>0</v>
      </c>
      <c r="AB343" s="18">
        <v>184</v>
      </c>
      <c r="AC343" s="18">
        <v>1</v>
      </c>
      <c r="AD343" s="6">
        <v>0.37394159201397414</v>
      </c>
      <c r="AE343" s="6">
        <v>0.374</v>
      </c>
      <c r="AF343" s="6">
        <v>0.77025617922490652</v>
      </c>
      <c r="AG343" s="6">
        <v>0.77</v>
      </c>
      <c r="AH343" s="7">
        <v>4</v>
      </c>
    </row>
    <row r="344" spans="2:34" x14ac:dyDescent="0.25">
      <c r="B344" s="3">
        <v>341</v>
      </c>
      <c r="C344" s="3" t="s">
        <v>687</v>
      </c>
      <c r="D344" s="3" t="s">
        <v>688</v>
      </c>
      <c r="E344" s="3" t="s">
        <v>707</v>
      </c>
      <c r="F344" s="3">
        <v>13505</v>
      </c>
      <c r="G344" s="3">
        <v>13</v>
      </c>
      <c r="H344" s="3">
        <v>0.41899999999999998</v>
      </c>
      <c r="I344" s="4">
        <v>11108</v>
      </c>
      <c r="J344" s="4">
        <v>509</v>
      </c>
      <c r="K344" s="18">
        <v>0</v>
      </c>
      <c r="L344" s="18">
        <v>352</v>
      </c>
      <c r="M344" s="18">
        <v>0</v>
      </c>
      <c r="N344" s="18">
        <v>0</v>
      </c>
      <c r="O344" s="18">
        <v>157</v>
      </c>
      <c r="P344" s="18">
        <v>0</v>
      </c>
      <c r="Q344" s="6">
        <v>4.5822830392509901E-2</v>
      </c>
      <c r="R344" s="3">
        <v>4.5999999999999999E-2</v>
      </c>
      <c r="S344" s="6">
        <v>0.37929782275270946</v>
      </c>
      <c r="T344" s="25">
        <v>0.379</v>
      </c>
      <c r="U344" s="7">
        <v>309</v>
      </c>
      <c r="V344" s="4">
        <v>12412</v>
      </c>
      <c r="W344" s="4">
        <v>475</v>
      </c>
      <c r="X344" s="18">
        <v>0</v>
      </c>
      <c r="Y344" s="18">
        <v>336</v>
      </c>
      <c r="Z344" s="18">
        <v>0</v>
      </c>
      <c r="AA344" s="18">
        <v>0</v>
      </c>
      <c r="AB344" s="18">
        <v>139</v>
      </c>
      <c r="AC344" s="18">
        <v>0</v>
      </c>
      <c r="AD344" s="6">
        <v>3.82694166935224E-2</v>
      </c>
      <c r="AE344" s="6">
        <v>3.7999999999999999E-2</v>
      </c>
      <c r="AF344" s="6">
        <v>0.38046283929176744</v>
      </c>
      <c r="AG344" s="6">
        <v>0.38100000000000001</v>
      </c>
      <c r="AH344" s="7">
        <v>303</v>
      </c>
    </row>
    <row r="345" spans="2:34" x14ac:dyDescent="0.25">
      <c r="B345" s="3">
        <v>342</v>
      </c>
      <c r="C345" s="3" t="s">
        <v>689</v>
      </c>
      <c r="D345" s="3" t="s">
        <v>690</v>
      </c>
      <c r="E345" s="3" t="s">
        <v>707</v>
      </c>
      <c r="F345" s="3">
        <v>13131</v>
      </c>
      <c r="G345" s="3">
        <v>13</v>
      </c>
      <c r="H345" s="3">
        <v>0.54600000000000004</v>
      </c>
      <c r="I345" s="4">
        <v>76002</v>
      </c>
      <c r="J345" s="4">
        <v>14512</v>
      </c>
      <c r="K345" s="18">
        <v>0</v>
      </c>
      <c r="L345" s="18">
        <v>12288</v>
      </c>
      <c r="M345" s="18">
        <v>2013</v>
      </c>
      <c r="N345" s="18">
        <v>0</v>
      </c>
      <c r="O345" s="18">
        <v>211</v>
      </c>
      <c r="P345" s="18">
        <v>0</v>
      </c>
      <c r="Q345" s="6">
        <v>0.19094234362253626</v>
      </c>
      <c r="R345" s="3">
        <v>0.191</v>
      </c>
      <c r="S345" s="6">
        <v>0.52887157145990382</v>
      </c>
      <c r="T345" s="25">
        <v>0.52900000000000003</v>
      </c>
      <c r="U345" s="7">
        <v>128</v>
      </c>
      <c r="V345" s="4">
        <v>84495</v>
      </c>
      <c r="W345" s="4">
        <v>13997</v>
      </c>
      <c r="X345" s="18">
        <v>6</v>
      </c>
      <c r="Y345" s="18">
        <v>12102</v>
      </c>
      <c r="Z345" s="18">
        <v>1582</v>
      </c>
      <c r="AA345" s="18">
        <v>0</v>
      </c>
      <c r="AB345" s="18">
        <v>307</v>
      </c>
      <c r="AC345" s="18">
        <v>0</v>
      </c>
      <c r="AD345" s="6">
        <v>0.1656547724717439</v>
      </c>
      <c r="AE345" s="6">
        <v>0.16600000000000001</v>
      </c>
      <c r="AF345" s="6">
        <v>0.52895554021867752</v>
      </c>
      <c r="AG345" s="6">
        <v>0.52900000000000003</v>
      </c>
      <c r="AH345" s="7">
        <v>128</v>
      </c>
    </row>
    <row r="346" spans="2:34" x14ac:dyDescent="0.25">
      <c r="B346" s="3">
        <v>343</v>
      </c>
      <c r="C346" s="3" t="s">
        <v>691</v>
      </c>
      <c r="D346" s="3" t="s">
        <v>692</v>
      </c>
      <c r="E346" s="3" t="s">
        <v>707</v>
      </c>
      <c r="F346" s="3">
        <v>13101</v>
      </c>
      <c r="G346" s="3">
        <v>13</v>
      </c>
      <c r="H346" s="3">
        <v>0.56000000000000005</v>
      </c>
      <c r="I346" s="4">
        <v>438856</v>
      </c>
      <c r="J346" s="4">
        <v>149879</v>
      </c>
      <c r="K346" s="18">
        <v>101</v>
      </c>
      <c r="L346" s="18">
        <v>114029</v>
      </c>
      <c r="M346" s="18">
        <v>32232</v>
      </c>
      <c r="N346" s="18">
        <v>846</v>
      </c>
      <c r="O346" s="18">
        <v>2671</v>
      </c>
      <c r="P346" s="18">
        <v>0</v>
      </c>
      <c r="Q346" s="6">
        <v>0.34152204823450061</v>
      </c>
      <c r="R346" s="3">
        <v>0.34200000000000003</v>
      </c>
      <c r="S346" s="6">
        <v>0.68407310429810353</v>
      </c>
      <c r="T346" s="25">
        <v>0.68400000000000005</v>
      </c>
      <c r="U346" s="7">
        <v>12</v>
      </c>
      <c r="V346" s="4">
        <v>536089</v>
      </c>
      <c r="W346" s="4">
        <v>147549</v>
      </c>
      <c r="X346" s="18">
        <v>1464</v>
      </c>
      <c r="Y346" s="18">
        <v>107239</v>
      </c>
      <c r="Z346" s="18">
        <v>33979</v>
      </c>
      <c r="AA346" s="18">
        <v>1192</v>
      </c>
      <c r="AB346" s="18">
        <v>3675</v>
      </c>
      <c r="AC346" s="18">
        <v>0</v>
      </c>
      <c r="AD346" s="6">
        <v>0.27523228419161744</v>
      </c>
      <c r="AE346" s="6">
        <v>0.27500000000000002</v>
      </c>
      <c r="AF346" s="6">
        <v>0.65540635585174944</v>
      </c>
      <c r="AG346" s="6">
        <v>0.65600000000000003</v>
      </c>
      <c r="AH346" s="7">
        <v>23</v>
      </c>
    </row>
    <row r="347" spans="2:34" x14ac:dyDescent="0.25">
      <c r="B347" s="3">
        <v>344</v>
      </c>
      <c r="C347" s="3" t="s">
        <v>693</v>
      </c>
      <c r="D347" s="3" t="s">
        <v>694</v>
      </c>
      <c r="E347" s="3" t="s">
        <v>707</v>
      </c>
      <c r="F347" s="3">
        <v>13601</v>
      </c>
      <c r="G347" s="3">
        <v>13</v>
      </c>
      <c r="H347" s="3">
        <v>0.51900000000000002</v>
      </c>
      <c r="I347" s="4">
        <v>76429</v>
      </c>
      <c r="J347" s="4">
        <v>15251</v>
      </c>
      <c r="K347" s="18">
        <v>1</v>
      </c>
      <c r="L347" s="18">
        <v>13008</v>
      </c>
      <c r="M347" s="18">
        <v>1698</v>
      </c>
      <c r="N347" s="18">
        <v>0</v>
      </c>
      <c r="O347" s="18">
        <v>544</v>
      </c>
      <c r="P347" s="18">
        <v>0</v>
      </c>
      <c r="Q347" s="6">
        <v>0.19954467545041804</v>
      </c>
      <c r="R347" s="3">
        <v>0.2</v>
      </c>
      <c r="S347" s="6">
        <v>0.53773793953460913</v>
      </c>
      <c r="T347" s="25">
        <v>0.53800000000000003</v>
      </c>
      <c r="U347" s="7">
        <v>118</v>
      </c>
      <c r="V347" s="4">
        <v>84670</v>
      </c>
      <c r="W347" s="4">
        <v>14901</v>
      </c>
      <c r="X347" s="18">
        <v>17</v>
      </c>
      <c r="Y347" s="18">
        <v>12350</v>
      </c>
      <c r="Z347" s="18">
        <v>1955</v>
      </c>
      <c r="AA347" s="18">
        <v>0</v>
      </c>
      <c r="AB347" s="18">
        <v>579</v>
      </c>
      <c r="AC347" s="18">
        <v>0</v>
      </c>
      <c r="AD347" s="6">
        <v>0.17598913428605173</v>
      </c>
      <c r="AE347" s="6">
        <v>0.17599999999999999</v>
      </c>
      <c r="AF347" s="6">
        <v>0.54055653247859237</v>
      </c>
      <c r="AG347" s="6">
        <v>0.54100000000000004</v>
      </c>
      <c r="AH347" s="7">
        <v>121</v>
      </c>
    </row>
    <row r="348" spans="2:34" x14ac:dyDescent="0.25">
      <c r="B348" s="3">
        <v>345</v>
      </c>
      <c r="C348" s="3" t="s">
        <v>695</v>
      </c>
      <c r="D348" s="3" t="s">
        <v>696</v>
      </c>
      <c r="E348" s="3" t="s">
        <v>707</v>
      </c>
      <c r="F348" s="3">
        <v>13303</v>
      </c>
      <c r="G348" s="3">
        <v>13</v>
      </c>
      <c r="H348" s="3">
        <v>0.39400000000000002</v>
      </c>
      <c r="I348" s="4">
        <v>19742</v>
      </c>
      <c r="J348" s="4">
        <v>3388</v>
      </c>
      <c r="K348" s="18">
        <v>0</v>
      </c>
      <c r="L348" s="18">
        <v>3184</v>
      </c>
      <c r="M348" s="18">
        <v>0</v>
      </c>
      <c r="N348" s="18">
        <v>0</v>
      </c>
      <c r="O348" s="18">
        <v>204</v>
      </c>
      <c r="P348" s="18">
        <v>0</v>
      </c>
      <c r="Q348" s="6">
        <v>0.1716138182554959</v>
      </c>
      <c r="R348" s="3">
        <v>0.17199999999999999</v>
      </c>
      <c r="S348" s="6">
        <v>0.50894978470785068</v>
      </c>
      <c r="T348" s="25">
        <v>0.50900000000000001</v>
      </c>
      <c r="U348" s="7">
        <v>152</v>
      </c>
      <c r="V348" s="4">
        <v>22262</v>
      </c>
      <c r="W348" s="4">
        <v>2908</v>
      </c>
      <c r="X348" s="18">
        <v>0</v>
      </c>
      <c r="Y348" s="18">
        <v>2777</v>
      </c>
      <c r="Z348" s="18">
        <v>5</v>
      </c>
      <c r="AA348" s="18">
        <v>0</v>
      </c>
      <c r="AB348" s="18">
        <v>126</v>
      </c>
      <c r="AC348" s="18">
        <v>0</v>
      </c>
      <c r="AD348" s="6">
        <v>0.13062617913934058</v>
      </c>
      <c r="AE348" s="6">
        <v>0.13100000000000001</v>
      </c>
      <c r="AF348" s="6">
        <v>0.48835206730897557</v>
      </c>
      <c r="AG348" s="6">
        <v>0.48799999999999999</v>
      </c>
      <c r="AH348" s="7">
        <v>176</v>
      </c>
    </row>
    <row r="349" spans="2:34" x14ac:dyDescent="0.25">
      <c r="B349" s="3">
        <v>346</v>
      </c>
      <c r="C349" s="3" t="s">
        <v>697</v>
      </c>
      <c r="D349" s="3" t="s">
        <v>698</v>
      </c>
      <c r="E349" s="3" t="s">
        <v>707</v>
      </c>
      <c r="F349" s="3">
        <v>13132</v>
      </c>
      <c r="G349" s="3">
        <v>13</v>
      </c>
      <c r="H349" s="3">
        <v>0.63700000000000001</v>
      </c>
      <c r="I349" s="4">
        <v>86420</v>
      </c>
      <c r="J349" s="4">
        <v>31105</v>
      </c>
      <c r="K349" s="18">
        <v>31</v>
      </c>
      <c r="L349" s="18">
        <v>19399</v>
      </c>
      <c r="M349" s="18">
        <v>11324</v>
      </c>
      <c r="N349" s="18">
        <v>0</v>
      </c>
      <c r="O349" s="18">
        <v>351</v>
      </c>
      <c r="P349" s="18">
        <v>0</v>
      </c>
      <c r="Q349" s="6">
        <v>0.35992825734783612</v>
      </c>
      <c r="R349" s="3">
        <v>0.36</v>
      </c>
      <c r="S349" s="6">
        <v>0.70304426562088351</v>
      </c>
      <c r="T349" s="25">
        <v>0.70299999999999996</v>
      </c>
      <c r="U349" s="7">
        <v>9</v>
      </c>
      <c r="V349" s="4">
        <v>97388</v>
      </c>
      <c r="W349" s="4">
        <v>30475</v>
      </c>
      <c r="X349" s="18">
        <v>94</v>
      </c>
      <c r="Y349" s="18">
        <v>18154</v>
      </c>
      <c r="Z349" s="18">
        <v>11957</v>
      </c>
      <c r="AA349" s="18">
        <v>0</v>
      </c>
      <c r="AB349" s="18">
        <v>270</v>
      </c>
      <c r="AC349" s="18">
        <v>0</v>
      </c>
      <c r="AD349" s="6">
        <v>0.31292356347804656</v>
      </c>
      <c r="AE349" s="6">
        <v>0.313</v>
      </c>
      <c r="AF349" s="6">
        <v>0.69949012643942587</v>
      </c>
      <c r="AG349" s="6">
        <v>0.69899999999999995</v>
      </c>
      <c r="AH349" s="7">
        <v>12</v>
      </c>
    </row>
  </sheetData>
  <autoFilter ref="B4:AH349" xr:uid="{4075C3D5-7B34-465C-AD03-0491C19349E6}">
    <sortState xmlns:xlrd2="http://schemas.microsoft.com/office/spreadsheetml/2017/richdata2" ref="B5:AH349">
      <sortCondition ref="B5:B349"/>
    </sortState>
  </autoFilter>
  <mergeCells count="8">
    <mergeCell ref="B2:H2"/>
    <mergeCell ref="J3:P3"/>
    <mergeCell ref="Q3:U3"/>
    <mergeCell ref="I2:U2"/>
    <mergeCell ref="V2:AH2"/>
    <mergeCell ref="W3:AC3"/>
    <mergeCell ref="AD3:AH3"/>
    <mergeCell ref="C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020F-81DD-4F3F-BFB2-8724B4A0917A}">
  <dimension ref="B1:BH349"/>
  <sheetViews>
    <sheetView showGridLines="0" topLeftCell="AA337" zoomScaleNormal="100" workbookViewId="0">
      <selection activeCell="AL349" sqref="AL4:AL349"/>
    </sheetView>
  </sheetViews>
  <sheetFormatPr baseColWidth="10" defaultRowHeight="13.5" x14ac:dyDescent="0.25"/>
  <cols>
    <col min="1" max="2" width="4" style="1" customWidth="1"/>
    <col min="3" max="3" width="23.140625" style="1" customWidth="1"/>
    <col min="4" max="4" width="8.7109375" style="1" customWidth="1"/>
    <col min="5" max="5" width="11.42578125" style="1" customWidth="1"/>
    <col min="6" max="6" width="6.7109375" style="1" customWidth="1"/>
    <col min="7" max="7" width="6.42578125" style="1" customWidth="1"/>
    <col min="8" max="8" width="8.140625" style="1" customWidth="1"/>
    <col min="9" max="9" width="8.5703125" style="1" customWidth="1"/>
    <col min="10" max="12" width="9.42578125" style="1" customWidth="1"/>
    <col min="13" max="20" width="8.7109375" style="2" customWidth="1"/>
    <col min="21" max="21" width="11.85546875" style="2" customWidth="1"/>
    <col min="22" max="23" width="8.7109375" style="2" customWidth="1"/>
    <col min="24" max="24" width="12.7109375" style="1" customWidth="1"/>
    <col min="25" max="31" width="8.7109375" style="1" customWidth="1"/>
    <col min="32" max="52" width="9" style="1" customWidth="1"/>
    <col min="53" max="54" width="9.5703125" style="1" customWidth="1"/>
    <col min="55" max="58" width="9" style="1" customWidth="1"/>
    <col min="59" max="60" width="9.5703125" style="1" customWidth="1"/>
    <col min="61" max="16384" width="11.42578125" style="1"/>
  </cols>
  <sheetData>
    <row r="1" spans="2:60" ht="14.25" thickBot="1" x14ac:dyDescent="0.3"/>
    <row r="2" spans="2:60" s="41" customFormat="1" ht="15.75" customHeight="1" thickBot="1" x14ac:dyDescent="0.3">
      <c r="B2" s="39" t="s">
        <v>701</v>
      </c>
      <c r="C2" s="31" t="s">
        <v>719</v>
      </c>
      <c r="D2" s="32"/>
      <c r="E2" s="32"/>
      <c r="F2" s="32"/>
      <c r="G2" s="33"/>
      <c r="H2" s="40" t="s">
        <v>767</v>
      </c>
      <c r="I2" s="31" t="s">
        <v>768</v>
      </c>
      <c r="J2" s="32"/>
      <c r="K2" s="32"/>
      <c r="L2" s="33"/>
      <c r="M2" s="34" t="s">
        <v>773</v>
      </c>
      <c r="N2" s="35"/>
      <c r="O2" s="35"/>
      <c r="P2" s="35"/>
      <c r="Q2" s="35"/>
      <c r="R2" s="35"/>
      <c r="S2" s="35"/>
      <c r="T2" s="35"/>
      <c r="U2" s="36"/>
      <c r="V2" s="34" t="s">
        <v>774</v>
      </c>
      <c r="W2" s="35"/>
      <c r="X2" s="35"/>
      <c r="Y2" s="35"/>
      <c r="Z2" s="35"/>
      <c r="AA2" s="35"/>
      <c r="AB2" s="35"/>
      <c r="AC2" s="35"/>
      <c r="AD2" s="35"/>
      <c r="AE2" s="36"/>
      <c r="AF2" s="34" t="s">
        <v>785</v>
      </c>
      <c r="AG2" s="35"/>
      <c r="AH2" s="36"/>
      <c r="AI2" s="31" t="s">
        <v>720</v>
      </c>
      <c r="AJ2" s="32"/>
      <c r="AK2" s="32"/>
      <c r="AL2" s="32"/>
      <c r="AM2" s="32"/>
      <c r="AN2" s="32"/>
      <c r="AO2" s="33"/>
      <c r="AP2" s="31" t="s">
        <v>721</v>
      </c>
      <c r="AQ2" s="32"/>
      <c r="AR2" s="32"/>
      <c r="AS2" s="33"/>
      <c r="AT2" s="31" t="s">
        <v>758</v>
      </c>
      <c r="AU2" s="32"/>
      <c r="AV2" s="32"/>
      <c r="AW2" s="32"/>
      <c r="AX2" s="32"/>
      <c r="AY2" s="32"/>
      <c r="AZ2" s="32"/>
      <c r="BA2" s="32"/>
      <c r="BB2" s="33"/>
      <c r="BC2" s="31" t="s">
        <v>740</v>
      </c>
      <c r="BD2" s="32"/>
      <c r="BE2" s="32"/>
      <c r="BF2" s="32"/>
      <c r="BG2" s="32"/>
      <c r="BH2" s="33"/>
    </row>
    <row r="3" spans="2:60" s="10" customFormat="1" ht="68.25" thickBot="1" x14ac:dyDescent="0.3">
      <c r="B3" s="19" t="s">
        <v>701</v>
      </c>
      <c r="C3" s="20" t="s">
        <v>0</v>
      </c>
      <c r="D3" s="20" t="s">
        <v>741</v>
      </c>
      <c r="E3" s="20" t="s">
        <v>2</v>
      </c>
      <c r="F3" s="20" t="s">
        <v>742</v>
      </c>
      <c r="G3" s="20" t="s">
        <v>743</v>
      </c>
      <c r="H3" s="20" t="s">
        <v>728</v>
      </c>
      <c r="I3" s="20" t="s">
        <v>770</v>
      </c>
      <c r="J3" s="20" t="s">
        <v>771</v>
      </c>
      <c r="K3" s="20" t="s">
        <v>772</v>
      </c>
      <c r="L3" s="21" t="s">
        <v>769</v>
      </c>
      <c r="M3" s="23" t="s">
        <v>745</v>
      </c>
      <c r="N3" s="30" t="s">
        <v>759</v>
      </c>
      <c r="O3" s="30" t="s">
        <v>760</v>
      </c>
      <c r="P3" s="30" t="s">
        <v>761</v>
      </c>
      <c r="Q3" s="30" t="s">
        <v>762</v>
      </c>
      <c r="R3" s="30" t="s">
        <v>763</v>
      </c>
      <c r="S3" s="30" t="s">
        <v>764</v>
      </c>
      <c r="T3" s="30" t="s">
        <v>765</v>
      </c>
      <c r="U3" s="30" t="s">
        <v>744</v>
      </c>
      <c r="V3" s="24" t="s">
        <v>775</v>
      </c>
      <c r="W3" s="24" t="s">
        <v>776</v>
      </c>
      <c r="X3" s="20" t="s">
        <v>777</v>
      </c>
      <c r="Y3" s="30" t="s">
        <v>778</v>
      </c>
      <c r="Z3" s="30" t="s">
        <v>779</v>
      </c>
      <c r="AA3" s="30" t="s">
        <v>780</v>
      </c>
      <c r="AB3" s="30" t="s">
        <v>781</v>
      </c>
      <c r="AC3" s="30" t="s">
        <v>782</v>
      </c>
      <c r="AD3" s="30" t="s">
        <v>783</v>
      </c>
      <c r="AE3" s="30" t="s">
        <v>784</v>
      </c>
      <c r="AF3" s="24" t="s">
        <v>746</v>
      </c>
      <c r="AG3" s="21" t="s">
        <v>747</v>
      </c>
      <c r="AH3" s="24" t="s">
        <v>766</v>
      </c>
      <c r="AI3" s="23" t="s">
        <v>748</v>
      </c>
      <c r="AJ3" s="24" t="s">
        <v>749</v>
      </c>
      <c r="AK3" s="24" t="s">
        <v>750</v>
      </c>
      <c r="AL3" s="24" t="s">
        <v>786</v>
      </c>
      <c r="AM3" s="24" t="s">
        <v>751</v>
      </c>
      <c r="AN3" s="24" t="s">
        <v>752</v>
      </c>
      <c r="AO3" s="21" t="s">
        <v>753</v>
      </c>
      <c r="AP3" s="23" t="s">
        <v>754</v>
      </c>
      <c r="AQ3" s="24" t="s">
        <v>755</v>
      </c>
      <c r="AR3" s="24" t="s">
        <v>756</v>
      </c>
      <c r="AS3" s="21" t="s">
        <v>757</v>
      </c>
      <c r="AT3" s="23" t="s">
        <v>710</v>
      </c>
      <c r="AU3" s="24" t="s">
        <v>711</v>
      </c>
      <c r="AV3" s="24" t="s">
        <v>712</v>
      </c>
      <c r="AW3" s="24" t="s">
        <v>713</v>
      </c>
      <c r="AX3" s="24" t="s">
        <v>717</v>
      </c>
      <c r="AY3" s="24" t="s">
        <v>718</v>
      </c>
      <c r="AZ3" s="24" t="s">
        <v>716</v>
      </c>
      <c r="BA3" s="24" t="s">
        <v>714</v>
      </c>
      <c r="BB3" s="21" t="s">
        <v>715</v>
      </c>
      <c r="BC3" s="23" t="s">
        <v>723</v>
      </c>
      <c r="BD3" s="24" t="s">
        <v>724</v>
      </c>
      <c r="BE3" s="24" t="s">
        <v>725</v>
      </c>
      <c r="BF3" s="24" t="s">
        <v>722</v>
      </c>
      <c r="BG3" s="24" t="s">
        <v>726</v>
      </c>
      <c r="BH3" s="21" t="s">
        <v>727</v>
      </c>
    </row>
    <row r="4" spans="2:60" x14ac:dyDescent="0.25">
      <c r="B4" s="17">
        <v>1</v>
      </c>
      <c r="C4" s="17" t="s">
        <v>3</v>
      </c>
      <c r="D4" s="17" t="s">
        <v>4</v>
      </c>
      <c r="E4" s="17" t="s">
        <v>703</v>
      </c>
      <c r="F4" s="17">
        <v>15101</v>
      </c>
      <c r="G4" s="17">
        <v>15</v>
      </c>
      <c r="H4" s="17">
        <v>0.57199999999999995</v>
      </c>
      <c r="I4" s="18">
        <v>241653</v>
      </c>
      <c r="J4" s="18">
        <v>257163</v>
      </c>
      <c r="K4" s="18">
        <v>255195</v>
      </c>
      <c r="L4" s="18">
        <v>-15510</v>
      </c>
      <c r="M4" s="18">
        <v>55745</v>
      </c>
      <c r="N4" s="18">
        <v>0</v>
      </c>
      <c r="O4" s="18">
        <v>27094</v>
      </c>
      <c r="P4" s="18">
        <v>27744</v>
      </c>
      <c r="Q4" s="18">
        <v>0</v>
      </c>
      <c r="R4" s="18">
        <v>907</v>
      </c>
      <c r="S4" s="18">
        <v>0</v>
      </c>
      <c r="T4" s="18">
        <v>55745</v>
      </c>
      <c r="U4" s="18" t="b">
        <v>1</v>
      </c>
      <c r="V4" s="18">
        <v>55036</v>
      </c>
      <c r="W4" s="18">
        <v>55036</v>
      </c>
      <c r="X4" s="17" t="b">
        <v>1</v>
      </c>
      <c r="Y4" s="18">
        <v>53</v>
      </c>
      <c r="Z4" s="18">
        <v>26271</v>
      </c>
      <c r="AA4" s="18">
        <v>27754</v>
      </c>
      <c r="AB4" s="18">
        <v>1</v>
      </c>
      <c r="AC4" s="18">
        <v>957</v>
      </c>
      <c r="AD4" s="18">
        <v>0</v>
      </c>
      <c r="AE4" s="18">
        <v>55036</v>
      </c>
      <c r="AF4" s="18">
        <v>709</v>
      </c>
      <c r="AG4" s="22">
        <v>1.271862947349538E-2</v>
      </c>
      <c r="AH4" s="18">
        <f t="shared" ref="AH4:AH67" si="0">O4-Z4</f>
        <v>823</v>
      </c>
      <c r="AI4" s="25">
        <v>0.23068201098269006</v>
      </c>
      <c r="AJ4" s="17">
        <v>0.23100000000000001</v>
      </c>
      <c r="AK4" s="25">
        <v>0.56983099095584289</v>
      </c>
      <c r="AL4" s="25">
        <v>0.56999999999999995</v>
      </c>
      <c r="AM4" s="25">
        <v>0.21676913086252689</v>
      </c>
      <c r="AN4" s="17">
        <v>0.217</v>
      </c>
      <c r="AO4" s="25">
        <v>0.57340511249484361</v>
      </c>
      <c r="AP4" s="25">
        <v>0.21566253257313034</v>
      </c>
      <c r="AQ4" s="25">
        <v>0.216</v>
      </c>
      <c r="AR4" s="25">
        <v>0.58696050151825174</v>
      </c>
      <c r="AS4" s="25">
        <v>0.58699999999999997</v>
      </c>
      <c r="AT4" s="25">
        <v>1.5019478409559722E-2</v>
      </c>
      <c r="AU4" s="25">
        <v>-1.7129510562408856E-2</v>
      </c>
      <c r="AV4" s="25">
        <v>1.1065982893965487E-3</v>
      </c>
      <c r="AW4" s="25">
        <v>-1.3555389023408138E-2</v>
      </c>
      <c r="AX4" s="26">
        <v>91</v>
      </c>
      <c r="AY4" s="26">
        <v>82</v>
      </c>
      <c r="AZ4" s="26">
        <v>70</v>
      </c>
      <c r="BA4" s="26">
        <v>-21</v>
      </c>
      <c r="BB4" s="26">
        <v>-12</v>
      </c>
      <c r="BC4" s="25">
        <v>0.22774805195880043</v>
      </c>
      <c r="BD4" s="25">
        <v>0.22800000000000001</v>
      </c>
      <c r="BE4" s="27">
        <v>0.58371326543979274</v>
      </c>
      <c r="BF4" s="26">
        <v>83</v>
      </c>
      <c r="BG4" s="26">
        <v>-13</v>
      </c>
      <c r="BH4" s="26">
        <v>-8</v>
      </c>
    </row>
    <row r="5" spans="2:60" x14ac:dyDescent="0.25">
      <c r="B5" s="3">
        <v>2</v>
      </c>
      <c r="C5" s="3" t="s">
        <v>5</v>
      </c>
      <c r="D5" s="3" t="s">
        <v>6</v>
      </c>
      <c r="E5" s="3" t="s">
        <v>703</v>
      </c>
      <c r="F5" s="3">
        <v>15102</v>
      </c>
      <c r="G5" s="3">
        <v>15</v>
      </c>
      <c r="H5" s="3"/>
      <c r="I5" s="4">
        <v>861</v>
      </c>
      <c r="J5" s="4">
        <v>1246</v>
      </c>
      <c r="K5" s="4">
        <v>1244</v>
      </c>
      <c r="L5" s="4">
        <v>-385</v>
      </c>
      <c r="M5" s="4">
        <v>33</v>
      </c>
      <c r="N5" s="18">
        <v>0</v>
      </c>
      <c r="O5" s="18">
        <v>0</v>
      </c>
      <c r="P5" s="18">
        <v>0</v>
      </c>
      <c r="Q5" s="18">
        <v>0</v>
      </c>
      <c r="R5" s="18">
        <v>33</v>
      </c>
      <c r="S5" s="18">
        <v>0</v>
      </c>
      <c r="T5" s="18">
        <v>33</v>
      </c>
      <c r="U5" s="18" t="b">
        <v>1</v>
      </c>
      <c r="V5" s="4">
        <v>30</v>
      </c>
      <c r="W5" s="4">
        <v>30</v>
      </c>
      <c r="X5" s="3" t="b">
        <v>1</v>
      </c>
      <c r="Y5" s="18">
        <v>0</v>
      </c>
      <c r="Z5" s="18">
        <v>0</v>
      </c>
      <c r="AA5" s="18">
        <v>0</v>
      </c>
      <c r="AB5" s="18">
        <v>0</v>
      </c>
      <c r="AC5" s="18">
        <v>30</v>
      </c>
      <c r="AD5" s="18">
        <v>0</v>
      </c>
      <c r="AE5" s="18">
        <v>30</v>
      </c>
      <c r="AF5" s="4">
        <v>3</v>
      </c>
      <c r="AG5" s="5">
        <v>9.0909090909090912E-2</v>
      </c>
      <c r="AH5" s="18">
        <f t="shared" si="0"/>
        <v>0</v>
      </c>
      <c r="AI5" s="6">
        <v>3.8327526132404179E-2</v>
      </c>
      <c r="AJ5" s="3">
        <v>3.7999999999999999E-2</v>
      </c>
      <c r="AK5" s="6">
        <v>0.37157246087041051</v>
      </c>
      <c r="AL5" s="25">
        <v>0.372</v>
      </c>
      <c r="AM5" s="6">
        <v>2.6484751203852328E-2</v>
      </c>
      <c r="AN5" s="3">
        <v>2.5999999999999999E-2</v>
      </c>
      <c r="AO5" s="6">
        <v>0.3572420558657633</v>
      </c>
      <c r="AP5" s="6">
        <v>2.4115755627009645E-2</v>
      </c>
      <c r="AQ5" s="6">
        <v>2.4E-2</v>
      </c>
      <c r="AR5" s="6">
        <v>0.36422145012788665</v>
      </c>
      <c r="AS5" s="6">
        <v>0.36499999999999999</v>
      </c>
      <c r="AT5" s="6">
        <v>1.4211770505394534E-2</v>
      </c>
      <c r="AU5" s="6">
        <v>7.3510107425238669E-3</v>
      </c>
      <c r="AV5" s="6">
        <v>2.3689955768426835E-3</v>
      </c>
      <c r="AW5" s="6">
        <v>-6.9793942621233507E-3</v>
      </c>
      <c r="AX5" s="7">
        <v>314</v>
      </c>
      <c r="AY5" s="7">
        <v>328</v>
      </c>
      <c r="AZ5" s="7">
        <v>324</v>
      </c>
      <c r="BA5" s="26">
        <v>10</v>
      </c>
      <c r="BB5" s="26">
        <v>-4</v>
      </c>
      <c r="BC5" s="6">
        <v>3.484320557491289E-2</v>
      </c>
      <c r="BD5" s="6">
        <v>3.5000000000000003E-2</v>
      </c>
      <c r="BE5" s="11">
        <v>0.3764805600706973</v>
      </c>
      <c r="BF5" s="7">
        <v>311</v>
      </c>
      <c r="BG5" s="26">
        <v>13</v>
      </c>
      <c r="BH5" s="7">
        <v>-3</v>
      </c>
    </row>
    <row r="6" spans="2:60" x14ac:dyDescent="0.25">
      <c r="B6" s="3">
        <v>3</v>
      </c>
      <c r="C6" s="3" t="s">
        <v>7</v>
      </c>
      <c r="D6" s="3" t="s">
        <v>8</v>
      </c>
      <c r="E6" s="3" t="s">
        <v>703</v>
      </c>
      <c r="F6" s="3">
        <v>15202</v>
      </c>
      <c r="G6" s="3">
        <v>15</v>
      </c>
      <c r="H6" s="3"/>
      <c r="I6" s="4">
        <v>508</v>
      </c>
      <c r="J6" s="4">
        <v>801</v>
      </c>
      <c r="K6" s="4">
        <v>804</v>
      </c>
      <c r="L6" s="4">
        <v>-293</v>
      </c>
      <c r="M6" s="4">
        <v>22</v>
      </c>
      <c r="N6" s="18">
        <v>0</v>
      </c>
      <c r="O6" s="18">
        <v>1</v>
      </c>
      <c r="P6" s="18">
        <v>0</v>
      </c>
      <c r="Q6" s="18">
        <v>0</v>
      </c>
      <c r="R6" s="18">
        <v>21</v>
      </c>
      <c r="S6" s="18">
        <v>0</v>
      </c>
      <c r="T6" s="18">
        <v>22</v>
      </c>
      <c r="U6" s="18" t="b">
        <v>1</v>
      </c>
      <c r="V6" s="4">
        <v>26</v>
      </c>
      <c r="W6" s="4">
        <v>26</v>
      </c>
      <c r="X6" s="3" t="b">
        <v>1</v>
      </c>
      <c r="Y6" s="18">
        <v>0</v>
      </c>
      <c r="Z6" s="18">
        <v>0</v>
      </c>
      <c r="AA6" s="18">
        <v>0</v>
      </c>
      <c r="AB6" s="18">
        <v>0</v>
      </c>
      <c r="AC6" s="18">
        <v>26</v>
      </c>
      <c r="AD6" s="18">
        <v>0</v>
      </c>
      <c r="AE6" s="18">
        <v>26</v>
      </c>
      <c r="AF6" s="4">
        <v>-4</v>
      </c>
      <c r="AG6" s="5">
        <v>-0.18181818181818182</v>
      </c>
      <c r="AH6" s="18">
        <f t="shared" si="0"/>
        <v>1</v>
      </c>
      <c r="AI6" s="6">
        <v>4.3307086614173228E-2</v>
      </c>
      <c r="AJ6" s="3">
        <v>4.2999999999999997E-2</v>
      </c>
      <c r="AK6" s="6">
        <v>0.37670486182459384</v>
      </c>
      <c r="AL6" s="25">
        <v>0.377</v>
      </c>
      <c r="AM6" s="6">
        <v>2.7465667915106119E-2</v>
      </c>
      <c r="AN6" s="3">
        <v>2.7E-2</v>
      </c>
      <c r="AO6" s="6">
        <v>0.35835637725663894</v>
      </c>
      <c r="AP6" s="6">
        <v>3.2338308457711441E-2</v>
      </c>
      <c r="AQ6" s="6">
        <v>3.2000000000000001E-2</v>
      </c>
      <c r="AR6" s="6">
        <v>0.37350224393581855</v>
      </c>
      <c r="AS6" s="6">
        <v>0.374</v>
      </c>
      <c r="AT6" s="6">
        <v>1.0968778156461786E-2</v>
      </c>
      <c r="AU6" s="6">
        <v>3.2026178887752943E-3</v>
      </c>
      <c r="AV6" s="6">
        <v>-4.8726405426053228E-3</v>
      </c>
      <c r="AW6" s="6">
        <v>-1.5145866679179609E-2</v>
      </c>
      <c r="AX6" s="26">
        <v>311</v>
      </c>
      <c r="AY6" s="26">
        <v>326</v>
      </c>
      <c r="AZ6" s="7">
        <v>317</v>
      </c>
      <c r="BA6" s="26">
        <v>6</v>
      </c>
      <c r="BB6" s="26">
        <v>-9</v>
      </c>
      <c r="BC6" s="6">
        <v>5.1181102362204724E-2</v>
      </c>
      <c r="BD6" s="6">
        <v>5.0999999999999997E-2</v>
      </c>
      <c r="BE6" s="11">
        <v>0.39403194156649329</v>
      </c>
      <c r="BF6" s="26">
        <v>287</v>
      </c>
      <c r="BG6" s="26">
        <v>30</v>
      </c>
      <c r="BH6" s="7">
        <v>-24</v>
      </c>
    </row>
    <row r="7" spans="2:60" x14ac:dyDescent="0.25">
      <c r="B7" s="3">
        <v>4</v>
      </c>
      <c r="C7" s="3" t="s">
        <v>9</v>
      </c>
      <c r="D7" s="3" t="s">
        <v>10</v>
      </c>
      <c r="E7" s="3" t="s">
        <v>703</v>
      </c>
      <c r="F7" s="3">
        <v>15201</v>
      </c>
      <c r="G7" s="3">
        <v>15</v>
      </c>
      <c r="H7" s="3"/>
      <c r="I7" s="4">
        <v>1547</v>
      </c>
      <c r="J7" s="4">
        <v>2569</v>
      </c>
      <c r="K7" s="4">
        <v>2559</v>
      </c>
      <c r="L7" s="4">
        <v>-1022</v>
      </c>
      <c r="M7" s="4">
        <v>47</v>
      </c>
      <c r="N7" s="18">
        <v>0</v>
      </c>
      <c r="O7" s="18">
        <v>0</v>
      </c>
      <c r="P7" s="18">
        <v>0</v>
      </c>
      <c r="Q7" s="18">
        <v>0</v>
      </c>
      <c r="R7" s="18">
        <v>47</v>
      </c>
      <c r="S7" s="18">
        <v>0</v>
      </c>
      <c r="T7" s="18">
        <v>47</v>
      </c>
      <c r="U7" s="18" t="b">
        <v>1</v>
      </c>
      <c r="V7" s="4">
        <v>38</v>
      </c>
      <c r="W7" s="4">
        <v>38</v>
      </c>
      <c r="X7" s="3" t="b">
        <v>1</v>
      </c>
      <c r="Y7" s="18">
        <v>12</v>
      </c>
      <c r="Z7" s="18">
        <v>0</v>
      </c>
      <c r="AA7" s="18">
        <v>0</v>
      </c>
      <c r="AB7" s="18">
        <v>0</v>
      </c>
      <c r="AC7" s="18">
        <v>26</v>
      </c>
      <c r="AD7" s="18">
        <v>0</v>
      </c>
      <c r="AE7" s="18">
        <v>38</v>
      </c>
      <c r="AF7" s="4">
        <v>9</v>
      </c>
      <c r="AG7" s="5">
        <v>0.19148936170212766</v>
      </c>
      <c r="AH7" s="18">
        <f t="shared" si="0"/>
        <v>0</v>
      </c>
      <c r="AI7" s="6">
        <v>3.0381383322559793E-2</v>
      </c>
      <c r="AJ7" s="3">
        <v>0.03</v>
      </c>
      <c r="AK7" s="6">
        <v>0.36338242259521858</v>
      </c>
      <c r="AL7" s="25">
        <v>0.36299999999999999</v>
      </c>
      <c r="AM7" s="6">
        <v>1.8295056442195406E-2</v>
      </c>
      <c r="AN7" s="3">
        <v>1.7999999999999999E-2</v>
      </c>
      <c r="AO7" s="6">
        <v>0.34793856255898503</v>
      </c>
      <c r="AP7" s="6">
        <v>1.4849550605705353E-2</v>
      </c>
      <c r="AQ7" s="6">
        <v>1.4999999999999999E-2</v>
      </c>
      <c r="AR7" s="6">
        <v>0.35378055709396328</v>
      </c>
      <c r="AS7" s="6">
        <v>0.35399999999999998</v>
      </c>
      <c r="AT7" s="6">
        <v>1.5531832716854439E-2</v>
      </c>
      <c r="AU7" s="6">
        <v>9.6018655012553022E-3</v>
      </c>
      <c r="AV7" s="6">
        <v>3.4455058364900523E-3</v>
      </c>
      <c r="AW7" s="6">
        <v>-5.8419945349782454E-3</v>
      </c>
      <c r="AX7" s="7">
        <v>325</v>
      </c>
      <c r="AY7" s="7">
        <v>339</v>
      </c>
      <c r="AZ7" s="7">
        <v>338</v>
      </c>
      <c r="BA7" s="26">
        <v>13</v>
      </c>
      <c r="BB7" s="26">
        <v>-1</v>
      </c>
      <c r="BC7" s="6">
        <v>2.4563671622495151E-2</v>
      </c>
      <c r="BD7" s="6">
        <v>2.5000000000000001E-2</v>
      </c>
      <c r="BE7" s="11">
        <v>0.36543752164617938</v>
      </c>
      <c r="BF7" s="7">
        <v>326</v>
      </c>
      <c r="BG7" s="26">
        <v>12</v>
      </c>
      <c r="BH7" s="7">
        <v>1</v>
      </c>
    </row>
    <row r="8" spans="2:60" x14ac:dyDescent="0.25">
      <c r="B8" s="3">
        <v>5</v>
      </c>
      <c r="C8" s="3" t="s">
        <v>11</v>
      </c>
      <c r="D8" s="3" t="s">
        <v>12</v>
      </c>
      <c r="E8" s="3" t="s">
        <v>13</v>
      </c>
      <c r="F8" s="3">
        <v>1107</v>
      </c>
      <c r="G8" s="3">
        <v>1</v>
      </c>
      <c r="H8" s="3">
        <v>0.57599999999999996</v>
      </c>
      <c r="I8" s="4">
        <v>142086</v>
      </c>
      <c r="J8" s="4">
        <v>143294</v>
      </c>
      <c r="K8" s="4">
        <v>140282</v>
      </c>
      <c r="L8" s="4">
        <v>-1208</v>
      </c>
      <c r="M8" s="4">
        <v>22796</v>
      </c>
      <c r="N8" s="18">
        <v>1</v>
      </c>
      <c r="O8" s="18">
        <v>14962</v>
      </c>
      <c r="P8" s="18">
        <v>7315</v>
      </c>
      <c r="Q8" s="18">
        <v>0</v>
      </c>
      <c r="R8" s="18">
        <v>518</v>
      </c>
      <c r="S8" s="18">
        <v>0</v>
      </c>
      <c r="T8" s="18">
        <v>22796</v>
      </c>
      <c r="U8" s="18" t="b">
        <v>1</v>
      </c>
      <c r="V8" s="4">
        <v>21139</v>
      </c>
      <c r="W8" s="4">
        <v>21139</v>
      </c>
      <c r="X8" s="3" t="b">
        <v>1</v>
      </c>
      <c r="Y8" s="18">
        <v>8</v>
      </c>
      <c r="Z8" s="18">
        <v>12896</v>
      </c>
      <c r="AA8" s="18">
        <v>7698</v>
      </c>
      <c r="AB8" s="18">
        <v>0</v>
      </c>
      <c r="AC8" s="18">
        <v>537</v>
      </c>
      <c r="AD8" s="18">
        <v>0</v>
      </c>
      <c r="AE8" s="18">
        <v>21139</v>
      </c>
      <c r="AF8" s="4">
        <v>1657</v>
      </c>
      <c r="AG8" s="5">
        <v>7.2688190910686082E-2</v>
      </c>
      <c r="AH8" s="18">
        <f t="shared" si="0"/>
        <v>2066</v>
      </c>
      <c r="AI8" s="6">
        <v>0.16043804456455948</v>
      </c>
      <c r="AJ8" s="3">
        <v>0.16</v>
      </c>
      <c r="AK8" s="6">
        <v>0.49743098666029273</v>
      </c>
      <c r="AL8" s="25">
        <v>0.497</v>
      </c>
      <c r="AM8" s="6">
        <v>0.15908551649057184</v>
      </c>
      <c r="AN8" s="3">
        <v>0.159</v>
      </c>
      <c r="AO8" s="6">
        <v>0.50787652616305157</v>
      </c>
      <c r="AP8" s="6">
        <v>0.1506893257866298</v>
      </c>
      <c r="AQ8" s="6">
        <v>0.151</v>
      </c>
      <c r="AR8" s="6">
        <v>0.5115540518288052</v>
      </c>
      <c r="AS8" s="6">
        <v>0.51100000000000001</v>
      </c>
      <c r="AT8" s="6">
        <v>9.7487187779296824E-3</v>
      </c>
      <c r="AU8" s="6">
        <v>-1.4123065168512472E-2</v>
      </c>
      <c r="AV8" s="6">
        <v>8.3961907039420414E-3</v>
      </c>
      <c r="AW8" s="6">
        <v>-3.6775256657536337E-3</v>
      </c>
      <c r="AX8" s="26">
        <v>166</v>
      </c>
      <c r="AY8" s="26">
        <v>149</v>
      </c>
      <c r="AZ8" s="7">
        <v>149</v>
      </c>
      <c r="BA8" s="26">
        <v>-17</v>
      </c>
      <c r="BB8" s="26">
        <v>0</v>
      </c>
      <c r="BC8" s="6">
        <v>0.14877609335191364</v>
      </c>
      <c r="BD8" s="6">
        <v>0.14899999999999999</v>
      </c>
      <c r="BE8" s="11">
        <v>0.49887572539254421</v>
      </c>
      <c r="BF8" s="26">
        <v>160</v>
      </c>
      <c r="BG8" s="26">
        <v>-11</v>
      </c>
      <c r="BH8" s="7">
        <v>-6</v>
      </c>
    </row>
    <row r="9" spans="2:60" x14ac:dyDescent="0.25">
      <c r="B9" s="3">
        <v>6</v>
      </c>
      <c r="C9" s="3" t="s">
        <v>14</v>
      </c>
      <c r="D9" s="3" t="s">
        <v>15</v>
      </c>
      <c r="E9" s="3" t="s">
        <v>13</v>
      </c>
      <c r="F9" s="3">
        <v>1402</v>
      </c>
      <c r="G9" s="3">
        <v>1</v>
      </c>
      <c r="H9" s="3"/>
      <c r="I9" s="4">
        <v>1335</v>
      </c>
      <c r="J9" s="4">
        <v>1374</v>
      </c>
      <c r="K9" s="4">
        <v>1379</v>
      </c>
      <c r="L9" s="4">
        <v>-39</v>
      </c>
      <c r="M9" s="4">
        <v>20</v>
      </c>
      <c r="N9" s="18">
        <v>0</v>
      </c>
      <c r="O9" s="18">
        <v>0</v>
      </c>
      <c r="P9" s="18">
        <v>0</v>
      </c>
      <c r="Q9" s="18">
        <v>0</v>
      </c>
      <c r="R9" s="18">
        <v>20</v>
      </c>
      <c r="S9" s="18">
        <v>0</v>
      </c>
      <c r="T9" s="18">
        <v>20</v>
      </c>
      <c r="U9" s="18" t="b">
        <v>1</v>
      </c>
      <c r="V9" s="4">
        <v>35</v>
      </c>
      <c r="W9" s="4">
        <v>35</v>
      </c>
      <c r="X9" s="3" t="b">
        <v>1</v>
      </c>
      <c r="Y9" s="18">
        <v>0</v>
      </c>
      <c r="Z9" s="18">
        <v>0</v>
      </c>
      <c r="AA9" s="18">
        <v>0</v>
      </c>
      <c r="AB9" s="18">
        <v>0</v>
      </c>
      <c r="AC9" s="18">
        <v>35</v>
      </c>
      <c r="AD9" s="18">
        <v>0</v>
      </c>
      <c r="AE9" s="18">
        <v>35</v>
      </c>
      <c r="AF9" s="4">
        <v>-15</v>
      </c>
      <c r="AG9" s="5">
        <v>-0.75</v>
      </c>
      <c r="AH9" s="18">
        <f t="shared" si="0"/>
        <v>0</v>
      </c>
      <c r="AI9" s="6">
        <v>1.4981273408239701E-2</v>
      </c>
      <c r="AJ9" s="3">
        <v>1.4999999999999999E-2</v>
      </c>
      <c r="AK9" s="6">
        <v>0.34750962837810651</v>
      </c>
      <c r="AL9" s="25">
        <v>0.34799999999999998</v>
      </c>
      <c r="AM9" s="6">
        <v>1.4556040756914119E-2</v>
      </c>
      <c r="AN9" s="3">
        <v>1.4999999999999999E-2</v>
      </c>
      <c r="AO9" s="6">
        <v>0.34369104071423739</v>
      </c>
      <c r="AP9" s="6">
        <v>2.5380710659898477E-2</v>
      </c>
      <c r="AQ9" s="6">
        <v>2.5000000000000001E-2</v>
      </c>
      <c r="AR9" s="6">
        <v>0.36538154935387812</v>
      </c>
      <c r="AS9" s="6">
        <v>0.36599999999999999</v>
      </c>
      <c r="AT9" s="6">
        <v>-1.0399437251658776E-2</v>
      </c>
      <c r="AU9" s="6">
        <v>-1.7871920975771616E-2</v>
      </c>
      <c r="AV9" s="6">
        <v>-1.0824669902984358E-2</v>
      </c>
      <c r="AW9" s="6">
        <v>-2.1690508639640727E-2</v>
      </c>
      <c r="AX9" s="7">
        <v>340</v>
      </c>
      <c r="AY9" s="7">
        <v>340</v>
      </c>
      <c r="AZ9" s="7">
        <v>321</v>
      </c>
      <c r="BA9" s="26">
        <v>-19</v>
      </c>
      <c r="BB9" s="26">
        <v>-19</v>
      </c>
      <c r="BC9" s="6">
        <v>2.6217228464419477E-2</v>
      </c>
      <c r="BD9" s="6">
        <v>2.5999999999999999E-2</v>
      </c>
      <c r="BE9" s="11">
        <v>0.36721389514978553</v>
      </c>
      <c r="BF9" s="7">
        <v>325</v>
      </c>
      <c r="BG9" s="26">
        <v>-4</v>
      </c>
      <c r="BH9" s="7">
        <v>-15</v>
      </c>
    </row>
    <row r="10" spans="2:60" x14ac:dyDescent="0.25">
      <c r="B10" s="3">
        <v>7</v>
      </c>
      <c r="C10" s="3" t="s">
        <v>16</v>
      </c>
      <c r="D10" s="3" t="s">
        <v>17</v>
      </c>
      <c r="E10" s="3" t="s">
        <v>13</v>
      </c>
      <c r="F10" s="3">
        <v>1403</v>
      </c>
      <c r="G10" s="3">
        <v>1</v>
      </c>
      <c r="H10" s="3"/>
      <c r="I10" s="4">
        <v>790</v>
      </c>
      <c r="J10" s="4">
        <v>1558</v>
      </c>
      <c r="K10" s="4">
        <v>1569</v>
      </c>
      <c r="L10" s="4">
        <v>-768</v>
      </c>
      <c r="M10" s="4">
        <v>61</v>
      </c>
      <c r="N10" s="18">
        <v>0</v>
      </c>
      <c r="O10" s="18">
        <v>0</v>
      </c>
      <c r="P10" s="18">
        <v>0</v>
      </c>
      <c r="Q10" s="18">
        <v>0</v>
      </c>
      <c r="R10" s="18">
        <v>61</v>
      </c>
      <c r="S10" s="18">
        <v>0</v>
      </c>
      <c r="T10" s="18">
        <v>61</v>
      </c>
      <c r="U10" s="18" t="b">
        <v>1</v>
      </c>
      <c r="V10" s="4">
        <v>40</v>
      </c>
      <c r="W10" s="4">
        <v>40</v>
      </c>
      <c r="X10" s="3" t="b">
        <v>1</v>
      </c>
      <c r="Y10" s="18">
        <v>0</v>
      </c>
      <c r="Z10" s="18">
        <v>0</v>
      </c>
      <c r="AA10" s="18">
        <v>0</v>
      </c>
      <c r="AB10" s="18">
        <v>0</v>
      </c>
      <c r="AC10" s="18">
        <v>40</v>
      </c>
      <c r="AD10" s="18">
        <v>0</v>
      </c>
      <c r="AE10" s="18">
        <v>40</v>
      </c>
      <c r="AF10" s="4">
        <v>21</v>
      </c>
      <c r="AG10" s="5">
        <v>0.34426229508196721</v>
      </c>
      <c r="AH10" s="18">
        <f t="shared" si="0"/>
        <v>0</v>
      </c>
      <c r="AI10" s="6">
        <v>7.7215189873417717E-2</v>
      </c>
      <c r="AJ10" s="3">
        <v>7.6999999999999999E-2</v>
      </c>
      <c r="AK10" s="6">
        <v>0.41165372571718883</v>
      </c>
      <c r="AL10" s="25">
        <v>0.41199999999999998</v>
      </c>
      <c r="AM10" s="6">
        <v>3.9152759948652117E-2</v>
      </c>
      <c r="AN10" s="3">
        <v>3.9E-2</v>
      </c>
      <c r="AO10" s="6">
        <v>0.37163291388885378</v>
      </c>
      <c r="AP10" s="6">
        <v>2.5493945188017845E-2</v>
      </c>
      <c r="AQ10" s="6">
        <v>2.5000000000000001E-2</v>
      </c>
      <c r="AR10" s="6">
        <v>0.36538154935387812</v>
      </c>
      <c r="AS10" s="6">
        <v>0.36599999999999999</v>
      </c>
      <c r="AT10" s="6">
        <v>5.1721244685399875E-2</v>
      </c>
      <c r="AU10" s="6">
        <v>4.6272176363310713E-2</v>
      </c>
      <c r="AV10" s="6">
        <v>1.3658814760634273E-2</v>
      </c>
      <c r="AW10" s="6">
        <v>6.2513645349756564E-3</v>
      </c>
      <c r="AX10" s="26">
        <v>267</v>
      </c>
      <c r="AY10" s="26">
        <v>313</v>
      </c>
      <c r="AZ10" s="7">
        <v>322</v>
      </c>
      <c r="BA10" s="26">
        <v>55</v>
      </c>
      <c r="BB10" s="26">
        <v>9</v>
      </c>
      <c r="BC10" s="6">
        <v>5.0632911392405063E-2</v>
      </c>
      <c r="BD10" s="6">
        <v>5.0999999999999997E-2</v>
      </c>
      <c r="BE10" s="11">
        <v>0.39344303413435744</v>
      </c>
      <c r="BF10" s="26">
        <v>289</v>
      </c>
      <c r="BG10" s="26">
        <v>33</v>
      </c>
      <c r="BH10" s="7">
        <v>22</v>
      </c>
    </row>
    <row r="11" spans="2:60" x14ac:dyDescent="0.25">
      <c r="B11" s="3">
        <v>8</v>
      </c>
      <c r="C11" s="3" t="s">
        <v>18</v>
      </c>
      <c r="D11" s="3" t="s">
        <v>19</v>
      </c>
      <c r="E11" s="3" t="s">
        <v>13</v>
      </c>
      <c r="F11" s="3">
        <v>1404</v>
      </c>
      <c r="G11" s="3">
        <v>1</v>
      </c>
      <c r="H11" s="3"/>
      <c r="I11" s="4">
        <v>2858</v>
      </c>
      <c r="J11" s="4">
        <v>3095</v>
      </c>
      <c r="K11" s="4">
        <v>3080</v>
      </c>
      <c r="L11" s="4">
        <v>-237</v>
      </c>
      <c r="M11" s="4">
        <v>77</v>
      </c>
      <c r="N11" s="18">
        <v>0</v>
      </c>
      <c r="O11" s="18">
        <v>0</v>
      </c>
      <c r="P11" s="18">
        <v>0</v>
      </c>
      <c r="Q11" s="18">
        <v>0</v>
      </c>
      <c r="R11" s="18">
        <v>77</v>
      </c>
      <c r="S11" s="18">
        <v>0</v>
      </c>
      <c r="T11" s="18">
        <v>77</v>
      </c>
      <c r="U11" s="18" t="b">
        <v>1</v>
      </c>
      <c r="V11" s="4">
        <v>63</v>
      </c>
      <c r="W11" s="4">
        <v>63</v>
      </c>
      <c r="X11" s="3" t="b">
        <v>1</v>
      </c>
      <c r="Y11" s="18">
        <v>0</v>
      </c>
      <c r="Z11" s="18">
        <v>0</v>
      </c>
      <c r="AA11" s="18">
        <v>0</v>
      </c>
      <c r="AB11" s="18">
        <v>0</v>
      </c>
      <c r="AC11" s="18">
        <v>63</v>
      </c>
      <c r="AD11" s="18">
        <v>0</v>
      </c>
      <c r="AE11" s="18">
        <v>63</v>
      </c>
      <c r="AF11" s="4">
        <v>14</v>
      </c>
      <c r="AG11" s="5">
        <v>0.18181818181818182</v>
      </c>
      <c r="AH11" s="18">
        <f t="shared" si="0"/>
        <v>0</v>
      </c>
      <c r="AI11" s="6">
        <v>2.6941917424772567E-2</v>
      </c>
      <c r="AJ11" s="3">
        <v>2.7E-2</v>
      </c>
      <c r="AK11" s="6">
        <v>0.35983738722104985</v>
      </c>
      <c r="AL11" s="25">
        <v>0.36</v>
      </c>
      <c r="AM11" s="6">
        <v>2.4878836833602584E-2</v>
      </c>
      <c r="AN11" s="3">
        <v>2.5000000000000001E-2</v>
      </c>
      <c r="AO11" s="6">
        <v>0.3554177371298774</v>
      </c>
      <c r="AP11" s="6">
        <v>2.0454545454545454E-2</v>
      </c>
      <c r="AQ11" s="6">
        <v>0.02</v>
      </c>
      <c r="AR11" s="6">
        <v>0.3595810532239207</v>
      </c>
      <c r="AS11" s="6">
        <v>0.36</v>
      </c>
      <c r="AT11" s="6">
        <v>6.4873719702271126E-3</v>
      </c>
      <c r="AU11" s="6">
        <v>2.563339971291545E-4</v>
      </c>
      <c r="AV11" s="6">
        <v>4.4242913790571298E-3</v>
      </c>
      <c r="AW11" s="6">
        <v>-4.1633160940433012E-3</v>
      </c>
      <c r="AX11" s="7">
        <v>331</v>
      </c>
      <c r="AY11" s="7">
        <v>332</v>
      </c>
      <c r="AZ11" s="7">
        <v>330</v>
      </c>
      <c r="BA11" s="26">
        <v>-1</v>
      </c>
      <c r="BB11" s="26">
        <v>-2</v>
      </c>
      <c r="BC11" s="6">
        <v>2.2043386983904827E-2</v>
      </c>
      <c r="BD11" s="6">
        <v>2.1999999999999999E-2</v>
      </c>
      <c r="BE11" s="11">
        <v>0.36273004480593507</v>
      </c>
      <c r="BF11" s="7">
        <v>328</v>
      </c>
      <c r="BG11" s="26">
        <v>2</v>
      </c>
      <c r="BH11" s="7">
        <v>-3</v>
      </c>
    </row>
    <row r="12" spans="2:60" x14ac:dyDescent="0.25">
      <c r="B12" s="3">
        <v>9</v>
      </c>
      <c r="C12" s="3" t="s">
        <v>20</v>
      </c>
      <c r="D12" s="3" t="s">
        <v>21</v>
      </c>
      <c r="E12" s="3" t="s">
        <v>13</v>
      </c>
      <c r="F12" s="3">
        <v>1101</v>
      </c>
      <c r="G12" s="3">
        <v>1</v>
      </c>
      <c r="H12" s="3">
        <v>0.56299999999999994</v>
      </c>
      <c r="I12" s="4">
        <v>199587</v>
      </c>
      <c r="J12" s="4">
        <v>231962</v>
      </c>
      <c r="K12" s="4">
        <v>230595</v>
      </c>
      <c r="L12" s="4">
        <v>-32375</v>
      </c>
      <c r="M12" s="4">
        <v>51614</v>
      </c>
      <c r="N12" s="18">
        <v>4</v>
      </c>
      <c r="O12" s="18">
        <v>28952</v>
      </c>
      <c r="P12" s="18">
        <v>21742</v>
      </c>
      <c r="Q12" s="18">
        <v>0</v>
      </c>
      <c r="R12" s="18">
        <v>916</v>
      </c>
      <c r="S12" s="18">
        <v>0</v>
      </c>
      <c r="T12" s="18">
        <v>51614</v>
      </c>
      <c r="U12" s="18" t="b">
        <v>1</v>
      </c>
      <c r="V12" s="4">
        <v>50789</v>
      </c>
      <c r="W12" s="4">
        <v>50789</v>
      </c>
      <c r="X12" s="3" t="b">
        <v>1</v>
      </c>
      <c r="Y12" s="18">
        <v>165</v>
      </c>
      <c r="Z12" s="18">
        <v>26616</v>
      </c>
      <c r="AA12" s="18">
        <v>23071</v>
      </c>
      <c r="AB12" s="18">
        <v>1</v>
      </c>
      <c r="AC12" s="18">
        <v>936</v>
      </c>
      <c r="AD12" s="18">
        <v>0</v>
      </c>
      <c r="AE12" s="18">
        <v>50789</v>
      </c>
      <c r="AF12" s="4">
        <v>825</v>
      </c>
      <c r="AG12" s="5">
        <v>1.5984035339249043E-2</v>
      </c>
      <c r="AH12" s="18">
        <f t="shared" si="0"/>
        <v>2336</v>
      </c>
      <c r="AI12" s="6">
        <v>0.25860401729571564</v>
      </c>
      <c r="AJ12" s="3">
        <v>0.25900000000000001</v>
      </c>
      <c r="AK12" s="6">
        <v>0.59861002323556978</v>
      </c>
      <c r="AL12" s="25">
        <v>0.59899999999999998</v>
      </c>
      <c r="AM12" s="6">
        <v>0.22251058363007734</v>
      </c>
      <c r="AN12" s="3">
        <v>0.223</v>
      </c>
      <c r="AO12" s="6">
        <v>0.57992740287911693</v>
      </c>
      <c r="AP12" s="6">
        <v>0.22025195689412172</v>
      </c>
      <c r="AQ12" s="6">
        <v>0.22</v>
      </c>
      <c r="AR12" s="6">
        <v>0.59160089842221775</v>
      </c>
      <c r="AS12" s="6">
        <v>0.59199999999999997</v>
      </c>
      <c r="AT12" s="6">
        <v>3.8352060401593918E-2</v>
      </c>
      <c r="AU12" s="6">
        <v>7.0091248133520301E-3</v>
      </c>
      <c r="AV12" s="6">
        <v>2.2586267359556156E-3</v>
      </c>
      <c r="AW12" s="6">
        <v>-1.167349554310082E-2</v>
      </c>
      <c r="AX12" s="26">
        <v>56</v>
      </c>
      <c r="AY12" s="26">
        <v>73</v>
      </c>
      <c r="AZ12" s="7">
        <v>63</v>
      </c>
      <c r="BA12" s="26">
        <v>7</v>
      </c>
      <c r="BB12" s="26">
        <v>-10</v>
      </c>
      <c r="BC12" s="6">
        <v>0.25447048154438917</v>
      </c>
      <c r="BD12" s="6">
        <v>0.254</v>
      </c>
      <c r="BE12" s="11">
        <v>0.61242048291444529</v>
      </c>
      <c r="BF12" s="26">
        <v>50</v>
      </c>
      <c r="BG12" s="26">
        <v>13</v>
      </c>
      <c r="BH12" s="7">
        <v>-6</v>
      </c>
    </row>
    <row r="13" spans="2:60" x14ac:dyDescent="0.25">
      <c r="B13" s="3">
        <v>10</v>
      </c>
      <c r="C13" s="3" t="s">
        <v>22</v>
      </c>
      <c r="D13" s="3" t="s">
        <v>23</v>
      </c>
      <c r="E13" s="3" t="s">
        <v>13</v>
      </c>
      <c r="F13" s="3">
        <v>1405</v>
      </c>
      <c r="G13" s="3">
        <v>1</v>
      </c>
      <c r="H13" s="3">
        <v>0.442</v>
      </c>
      <c r="I13" s="4">
        <v>6272</v>
      </c>
      <c r="J13" s="4">
        <v>6291</v>
      </c>
      <c r="K13" s="4">
        <v>6231</v>
      </c>
      <c r="L13" s="4">
        <v>-19</v>
      </c>
      <c r="M13" s="4">
        <v>176</v>
      </c>
      <c r="N13" s="18">
        <v>23</v>
      </c>
      <c r="O13" s="18">
        <v>0</v>
      </c>
      <c r="P13" s="18">
        <v>0</v>
      </c>
      <c r="Q13" s="18">
        <v>0</v>
      </c>
      <c r="R13" s="18">
        <v>153</v>
      </c>
      <c r="S13" s="18">
        <v>0</v>
      </c>
      <c r="T13" s="18">
        <v>176</v>
      </c>
      <c r="U13" s="18" t="b">
        <v>1</v>
      </c>
      <c r="V13" s="4">
        <v>144</v>
      </c>
      <c r="W13" s="4">
        <v>144</v>
      </c>
      <c r="X13" s="3" t="b">
        <v>1</v>
      </c>
      <c r="Y13" s="18">
        <v>35</v>
      </c>
      <c r="Z13" s="18">
        <v>0</v>
      </c>
      <c r="AA13" s="18">
        <v>0</v>
      </c>
      <c r="AB13" s="18">
        <v>0</v>
      </c>
      <c r="AC13" s="18">
        <v>109</v>
      </c>
      <c r="AD13" s="18">
        <v>0</v>
      </c>
      <c r="AE13" s="18">
        <v>144</v>
      </c>
      <c r="AF13" s="4">
        <v>32</v>
      </c>
      <c r="AG13" s="5">
        <v>0.18181818181818182</v>
      </c>
      <c r="AH13" s="18">
        <f t="shared" si="0"/>
        <v>0</v>
      </c>
      <c r="AI13" s="6">
        <v>2.8061224489795918E-2</v>
      </c>
      <c r="AJ13" s="3">
        <v>2.8000000000000001E-2</v>
      </c>
      <c r="AK13" s="6">
        <v>0.36099104981227298</v>
      </c>
      <c r="AL13" s="25">
        <v>0.36099999999999999</v>
      </c>
      <c r="AM13" s="6">
        <v>2.7976474328405658E-2</v>
      </c>
      <c r="AN13" s="3">
        <v>2.8000000000000001E-2</v>
      </c>
      <c r="AO13" s="6">
        <v>0.35893665334573588</v>
      </c>
      <c r="AP13" s="6">
        <v>2.3110255175734232E-2</v>
      </c>
      <c r="AQ13" s="6">
        <v>2.3E-2</v>
      </c>
      <c r="AR13" s="6">
        <v>0.36306135090189517</v>
      </c>
      <c r="AS13" s="6">
        <v>0.36299999999999999</v>
      </c>
      <c r="AT13" s="6">
        <v>4.9509693140616859E-3</v>
      </c>
      <c r="AU13" s="6">
        <v>-2.0703010896221952E-3</v>
      </c>
      <c r="AV13" s="6">
        <v>4.8662191526714256E-3</v>
      </c>
      <c r="AW13" s="6">
        <v>-4.1246975561592958E-3</v>
      </c>
      <c r="AX13" s="7">
        <v>329</v>
      </c>
      <c r="AY13" s="7">
        <v>325</v>
      </c>
      <c r="AZ13" s="7">
        <v>327</v>
      </c>
      <c r="BA13" s="26">
        <v>-2</v>
      </c>
      <c r="BB13" s="26">
        <v>2</v>
      </c>
      <c r="BC13" s="6">
        <v>2.2959183673469389E-2</v>
      </c>
      <c r="BD13" s="6">
        <v>2.3E-2</v>
      </c>
      <c r="BE13" s="11">
        <v>0.36371386158972319</v>
      </c>
      <c r="BF13" s="7">
        <v>327</v>
      </c>
      <c r="BG13" s="26">
        <v>0</v>
      </c>
      <c r="BH13" s="7">
        <v>-2</v>
      </c>
    </row>
    <row r="14" spans="2:60" x14ac:dyDescent="0.25">
      <c r="B14" s="3">
        <v>11</v>
      </c>
      <c r="C14" s="3" t="s">
        <v>24</v>
      </c>
      <c r="D14" s="3" t="s">
        <v>25</v>
      </c>
      <c r="E14" s="3" t="s">
        <v>13</v>
      </c>
      <c r="F14" s="3">
        <v>1401</v>
      </c>
      <c r="G14" s="3">
        <v>1</v>
      </c>
      <c r="H14" s="3">
        <v>0.48199999999999998</v>
      </c>
      <c r="I14" s="4">
        <v>16878</v>
      </c>
      <c r="J14" s="4">
        <v>18713</v>
      </c>
      <c r="K14" s="4">
        <v>18452</v>
      </c>
      <c r="L14" s="4">
        <v>-1835</v>
      </c>
      <c r="M14" s="4">
        <v>1798</v>
      </c>
      <c r="N14" s="18">
        <v>2</v>
      </c>
      <c r="O14" s="18">
        <v>1372</v>
      </c>
      <c r="P14" s="18">
        <v>0</v>
      </c>
      <c r="Q14" s="18">
        <v>0</v>
      </c>
      <c r="R14" s="18">
        <v>424</v>
      </c>
      <c r="S14" s="18">
        <v>0</v>
      </c>
      <c r="T14" s="18">
        <v>1798</v>
      </c>
      <c r="U14" s="18" t="b">
        <v>1</v>
      </c>
      <c r="V14" s="4">
        <v>1724</v>
      </c>
      <c r="W14" s="4">
        <v>1724</v>
      </c>
      <c r="X14" s="3" t="b">
        <v>1</v>
      </c>
      <c r="Y14" s="18">
        <v>17</v>
      </c>
      <c r="Z14" s="18">
        <v>1395</v>
      </c>
      <c r="AA14" s="18">
        <v>0</v>
      </c>
      <c r="AB14" s="18">
        <v>0</v>
      </c>
      <c r="AC14" s="18">
        <v>312</v>
      </c>
      <c r="AD14" s="18">
        <v>0</v>
      </c>
      <c r="AE14" s="18">
        <v>1724</v>
      </c>
      <c r="AF14" s="4">
        <v>74</v>
      </c>
      <c r="AG14" s="5">
        <v>4.1156840934371525E-2</v>
      </c>
      <c r="AH14" s="18">
        <f t="shared" si="0"/>
        <v>-23</v>
      </c>
      <c r="AI14" s="6">
        <v>0.10652920962199312</v>
      </c>
      <c r="AJ14" s="3">
        <v>0.107</v>
      </c>
      <c r="AK14" s="6">
        <v>0.44186749728987312</v>
      </c>
      <c r="AL14" s="25">
        <v>0.442</v>
      </c>
      <c r="AM14" s="6">
        <v>9.6082936995671456E-2</v>
      </c>
      <c r="AN14" s="3">
        <v>9.6000000000000002E-2</v>
      </c>
      <c r="AO14" s="6">
        <v>0.4363055954142257</v>
      </c>
      <c r="AP14" s="6">
        <v>9.3431606329937134E-2</v>
      </c>
      <c r="AQ14" s="6">
        <v>9.2999999999999999E-2</v>
      </c>
      <c r="AR14" s="6">
        <v>0.44426829672129908</v>
      </c>
      <c r="AS14" s="6">
        <v>0.44500000000000001</v>
      </c>
      <c r="AT14" s="6">
        <v>1.309760329205599E-2</v>
      </c>
      <c r="AU14" s="6">
        <v>-2.4007994314259595E-3</v>
      </c>
      <c r="AV14" s="6">
        <v>2.6513306657343222E-3</v>
      </c>
      <c r="AW14" s="6">
        <v>-7.9627013070733832E-3</v>
      </c>
      <c r="AX14" s="26">
        <v>229</v>
      </c>
      <c r="AY14" s="26">
        <v>237</v>
      </c>
      <c r="AZ14" s="7">
        <v>226</v>
      </c>
      <c r="BA14" s="26">
        <v>-3</v>
      </c>
      <c r="BB14" s="26">
        <v>-11</v>
      </c>
      <c r="BC14" s="6">
        <v>0.10214480388671643</v>
      </c>
      <c r="BD14" s="6">
        <v>0.10199999999999999</v>
      </c>
      <c r="BE14" s="11">
        <v>0.44878093279468773</v>
      </c>
      <c r="BF14" s="26">
        <v>221</v>
      </c>
      <c r="BG14" s="26">
        <v>5</v>
      </c>
      <c r="BH14" s="7">
        <v>-8</v>
      </c>
    </row>
    <row r="15" spans="2:60" x14ac:dyDescent="0.25">
      <c r="B15" s="3">
        <v>12</v>
      </c>
      <c r="C15" s="3" t="s">
        <v>26</v>
      </c>
      <c r="D15" s="3" t="s">
        <v>27</v>
      </c>
      <c r="E15" s="3" t="s">
        <v>26</v>
      </c>
      <c r="F15" s="3">
        <v>2101</v>
      </c>
      <c r="G15" s="3">
        <v>2</v>
      </c>
      <c r="H15" s="3">
        <v>0.56100000000000005</v>
      </c>
      <c r="I15" s="4">
        <v>401096</v>
      </c>
      <c r="J15" s="4">
        <v>444276</v>
      </c>
      <c r="K15" s="4">
        <v>441211</v>
      </c>
      <c r="L15" s="4">
        <v>-43180</v>
      </c>
      <c r="M15" s="4">
        <v>108161</v>
      </c>
      <c r="N15" s="18">
        <v>10</v>
      </c>
      <c r="O15" s="18">
        <v>49804</v>
      </c>
      <c r="P15" s="18">
        <v>55765</v>
      </c>
      <c r="Q15" s="18">
        <v>0</v>
      </c>
      <c r="R15" s="18">
        <v>2582</v>
      </c>
      <c r="S15" s="18">
        <v>0</v>
      </c>
      <c r="T15" s="18">
        <v>108161</v>
      </c>
      <c r="U15" s="18" t="b">
        <v>1</v>
      </c>
      <c r="V15" s="4">
        <v>106410</v>
      </c>
      <c r="W15" s="4">
        <v>106410</v>
      </c>
      <c r="X15" s="3" t="b">
        <v>1</v>
      </c>
      <c r="Y15" s="18">
        <v>128</v>
      </c>
      <c r="Z15" s="18">
        <v>46742</v>
      </c>
      <c r="AA15" s="18">
        <v>57076</v>
      </c>
      <c r="AB15" s="18">
        <v>2</v>
      </c>
      <c r="AC15" s="18">
        <v>2462</v>
      </c>
      <c r="AD15" s="18">
        <v>0</v>
      </c>
      <c r="AE15" s="18">
        <v>106410</v>
      </c>
      <c r="AF15" s="4">
        <v>1751</v>
      </c>
      <c r="AG15" s="5">
        <v>1.6188829615110808E-2</v>
      </c>
      <c r="AH15" s="18">
        <f t="shared" si="0"/>
        <v>3062</v>
      </c>
      <c r="AI15" s="6">
        <v>0.26966362167660612</v>
      </c>
      <c r="AJ15" s="3">
        <v>0.27</v>
      </c>
      <c r="AK15" s="6">
        <v>0.61000908632260076</v>
      </c>
      <c r="AL15" s="25">
        <v>0.61</v>
      </c>
      <c r="AM15" s="6">
        <v>0.24345451926280059</v>
      </c>
      <c r="AN15" s="3">
        <v>0.24299999999999999</v>
      </c>
      <c r="AO15" s="6">
        <v>0.60371971390503032</v>
      </c>
      <c r="AP15" s="6">
        <v>0.24117712387043841</v>
      </c>
      <c r="AQ15" s="6">
        <v>0.24099999999999999</v>
      </c>
      <c r="AR15" s="6">
        <v>0.61596298216803891</v>
      </c>
      <c r="AS15" s="6">
        <v>0.61599999999999999</v>
      </c>
      <c r="AT15" s="6">
        <v>2.8486497806167715E-2</v>
      </c>
      <c r="AU15" s="6">
        <v>-5.9538958454381508E-3</v>
      </c>
      <c r="AV15" s="6">
        <v>2.2773953923621859E-3</v>
      </c>
      <c r="AW15" s="6">
        <v>-1.2243268263008589E-2</v>
      </c>
      <c r="AX15" s="7">
        <v>47</v>
      </c>
      <c r="AY15" s="7">
        <v>53</v>
      </c>
      <c r="AZ15" s="7">
        <v>48</v>
      </c>
      <c r="BA15" s="26">
        <v>1</v>
      </c>
      <c r="BB15" s="26">
        <v>-5</v>
      </c>
      <c r="BC15" s="6">
        <v>0.2652980832518898</v>
      </c>
      <c r="BD15" s="6">
        <v>0.26500000000000001</v>
      </c>
      <c r="BE15" s="11">
        <v>0.62405229640470405</v>
      </c>
      <c r="BF15" s="7">
        <v>40</v>
      </c>
      <c r="BG15" s="26">
        <v>8</v>
      </c>
      <c r="BH15" s="7">
        <v>-7</v>
      </c>
    </row>
    <row r="16" spans="2:60" x14ac:dyDescent="0.25">
      <c r="B16" s="3">
        <v>13</v>
      </c>
      <c r="C16" s="3" t="s">
        <v>28</v>
      </c>
      <c r="D16" s="3" t="s">
        <v>29</v>
      </c>
      <c r="E16" s="3" t="s">
        <v>26</v>
      </c>
      <c r="F16" s="3">
        <v>2201</v>
      </c>
      <c r="G16" s="3">
        <v>2</v>
      </c>
      <c r="H16" s="3">
        <v>0.53700000000000003</v>
      </c>
      <c r="I16" s="4">
        <v>166334</v>
      </c>
      <c r="J16" s="4">
        <v>196152</v>
      </c>
      <c r="K16" s="4">
        <v>195423</v>
      </c>
      <c r="L16" s="4">
        <v>-29818</v>
      </c>
      <c r="M16" s="4">
        <v>44280</v>
      </c>
      <c r="N16" s="18">
        <v>0</v>
      </c>
      <c r="O16" s="18">
        <v>20279</v>
      </c>
      <c r="P16" s="18">
        <v>22575</v>
      </c>
      <c r="Q16" s="18">
        <v>0</v>
      </c>
      <c r="R16" s="18">
        <v>1426</v>
      </c>
      <c r="S16" s="18">
        <v>0</v>
      </c>
      <c r="T16" s="18">
        <v>44280</v>
      </c>
      <c r="U16" s="18" t="b">
        <v>1</v>
      </c>
      <c r="V16" s="4">
        <v>43865</v>
      </c>
      <c r="W16" s="4">
        <v>43865</v>
      </c>
      <c r="X16" s="3" t="b">
        <v>1</v>
      </c>
      <c r="Y16" s="18">
        <v>79</v>
      </c>
      <c r="Z16" s="18">
        <v>18886</v>
      </c>
      <c r="AA16" s="18">
        <v>23646</v>
      </c>
      <c r="AB16" s="18">
        <v>2</v>
      </c>
      <c r="AC16" s="18">
        <v>1252</v>
      </c>
      <c r="AD16" s="18">
        <v>0</v>
      </c>
      <c r="AE16" s="18">
        <v>43865</v>
      </c>
      <c r="AF16" s="4">
        <v>415</v>
      </c>
      <c r="AG16" s="5">
        <v>9.3721770551038839E-3</v>
      </c>
      <c r="AH16" s="18">
        <f t="shared" si="0"/>
        <v>1393</v>
      </c>
      <c r="AI16" s="6">
        <v>0.26621135787030914</v>
      </c>
      <c r="AJ16" s="3">
        <v>0.26600000000000001</v>
      </c>
      <c r="AK16" s="6">
        <v>0.60645086022646222</v>
      </c>
      <c r="AL16" s="25">
        <v>0.60599999999999998</v>
      </c>
      <c r="AM16" s="6">
        <v>0.22574330111342225</v>
      </c>
      <c r="AN16" s="3">
        <v>0.22600000000000001</v>
      </c>
      <c r="AO16" s="6">
        <v>0.58359976996290797</v>
      </c>
      <c r="AP16" s="6">
        <v>0.22446180848723027</v>
      </c>
      <c r="AQ16" s="6">
        <v>0.224</v>
      </c>
      <c r="AR16" s="6">
        <v>0.59624129532618364</v>
      </c>
      <c r="AS16" s="6">
        <v>0.59699999999999998</v>
      </c>
      <c r="AT16" s="6">
        <v>4.1749549383078871E-2</v>
      </c>
      <c r="AU16" s="6">
        <v>1.0209564900278578E-2</v>
      </c>
      <c r="AV16" s="6">
        <v>1.2814926261919823E-3</v>
      </c>
      <c r="AW16" s="6">
        <v>-1.2641525363275674E-2</v>
      </c>
      <c r="AX16" s="26">
        <v>51</v>
      </c>
      <c r="AY16" s="26">
        <v>70</v>
      </c>
      <c r="AZ16" s="7">
        <v>61</v>
      </c>
      <c r="BA16" s="26">
        <v>10</v>
      </c>
      <c r="BB16" s="26">
        <v>-9</v>
      </c>
      <c r="BC16" s="6">
        <v>0.26371637789026897</v>
      </c>
      <c r="BD16" s="6">
        <v>0.26400000000000001</v>
      </c>
      <c r="BE16" s="11">
        <v>0.62235311109479641</v>
      </c>
      <c r="BF16" s="26">
        <v>41</v>
      </c>
      <c r="BG16" s="26">
        <v>20</v>
      </c>
      <c r="BH16" s="7">
        <v>-10</v>
      </c>
    </row>
    <row r="17" spans="2:60" x14ac:dyDescent="0.25">
      <c r="B17" s="3">
        <v>14</v>
      </c>
      <c r="C17" s="3" t="s">
        <v>30</v>
      </c>
      <c r="D17" s="3" t="s">
        <v>31</v>
      </c>
      <c r="E17" s="3" t="s">
        <v>26</v>
      </c>
      <c r="F17" s="3">
        <v>2302</v>
      </c>
      <c r="G17" s="3">
        <v>2</v>
      </c>
      <c r="H17" s="3">
        <v>0.39400000000000002</v>
      </c>
      <c r="I17" s="4">
        <v>4834</v>
      </c>
      <c r="J17" s="4">
        <v>6507</v>
      </c>
      <c r="K17" s="4">
        <v>6592</v>
      </c>
      <c r="L17" s="4">
        <v>-1673</v>
      </c>
      <c r="M17" s="4">
        <v>246</v>
      </c>
      <c r="N17" s="18">
        <v>85</v>
      </c>
      <c r="O17" s="18">
        <v>3</v>
      </c>
      <c r="P17" s="18">
        <v>0</v>
      </c>
      <c r="Q17" s="18">
        <v>0</v>
      </c>
      <c r="R17" s="18">
        <v>158</v>
      </c>
      <c r="S17" s="18">
        <v>0</v>
      </c>
      <c r="T17" s="18">
        <v>246</v>
      </c>
      <c r="U17" s="18" t="b">
        <v>1</v>
      </c>
      <c r="V17" s="4">
        <v>223</v>
      </c>
      <c r="W17" s="4">
        <v>223</v>
      </c>
      <c r="X17" s="3" t="b">
        <v>1</v>
      </c>
      <c r="Y17" s="18">
        <v>130</v>
      </c>
      <c r="Z17" s="18">
        <v>2</v>
      </c>
      <c r="AA17" s="18">
        <v>0</v>
      </c>
      <c r="AB17" s="18">
        <v>0</v>
      </c>
      <c r="AC17" s="18">
        <v>91</v>
      </c>
      <c r="AD17" s="18">
        <v>0</v>
      </c>
      <c r="AE17" s="18">
        <v>223</v>
      </c>
      <c r="AF17" s="4">
        <v>23</v>
      </c>
      <c r="AG17" s="5">
        <v>9.3495934959349589E-2</v>
      </c>
      <c r="AH17" s="18">
        <f t="shared" si="0"/>
        <v>1</v>
      </c>
      <c r="AI17" s="6">
        <v>5.0889532478278855E-2</v>
      </c>
      <c r="AJ17" s="3">
        <v>5.0999999999999997E-2</v>
      </c>
      <c r="AK17" s="6">
        <v>0.38452003999753837</v>
      </c>
      <c r="AL17" s="25">
        <v>0.38500000000000001</v>
      </c>
      <c r="AM17" s="6">
        <v>3.7805440295066849E-2</v>
      </c>
      <c r="AN17" s="3">
        <v>3.7999999999999999E-2</v>
      </c>
      <c r="AO17" s="6">
        <v>0.37010235875291553</v>
      </c>
      <c r="AP17" s="6">
        <v>3.382888349514563E-2</v>
      </c>
      <c r="AQ17" s="6">
        <v>3.4000000000000002E-2</v>
      </c>
      <c r="AR17" s="6">
        <v>0.37582244238780149</v>
      </c>
      <c r="AS17" s="6">
        <v>0.376</v>
      </c>
      <c r="AT17" s="6">
        <v>1.7060648983133225E-2</v>
      </c>
      <c r="AU17" s="6">
        <v>8.6975976097368735E-3</v>
      </c>
      <c r="AV17" s="6">
        <v>3.9765567999212187E-3</v>
      </c>
      <c r="AW17" s="6">
        <v>-5.7200836348859641E-3</v>
      </c>
      <c r="AX17" s="7">
        <v>303</v>
      </c>
      <c r="AY17" s="7">
        <v>314</v>
      </c>
      <c r="AZ17" s="7">
        <v>309</v>
      </c>
      <c r="BA17" s="26">
        <v>6</v>
      </c>
      <c r="BB17" s="26">
        <v>-5</v>
      </c>
      <c r="BC17" s="6">
        <v>4.6131568059577986E-2</v>
      </c>
      <c r="BD17" s="6">
        <v>4.5999999999999999E-2</v>
      </c>
      <c r="BE17" s="11">
        <v>0.38860735699019422</v>
      </c>
      <c r="BF17" s="7">
        <v>298</v>
      </c>
      <c r="BG17" s="26">
        <v>11</v>
      </c>
      <c r="BH17" s="7">
        <v>-5</v>
      </c>
    </row>
    <row r="18" spans="2:60" x14ac:dyDescent="0.25">
      <c r="B18" s="3">
        <v>15</v>
      </c>
      <c r="C18" s="3" t="s">
        <v>32</v>
      </c>
      <c r="D18" s="3" t="s">
        <v>33</v>
      </c>
      <c r="E18" s="3" t="s">
        <v>26</v>
      </c>
      <c r="F18" s="3">
        <v>2102</v>
      </c>
      <c r="G18" s="3">
        <v>2</v>
      </c>
      <c r="H18" s="3">
        <v>0.51800000000000002</v>
      </c>
      <c r="I18" s="4">
        <v>14084</v>
      </c>
      <c r="J18" s="4">
        <v>15877</v>
      </c>
      <c r="K18" s="4">
        <v>15659</v>
      </c>
      <c r="L18" s="4">
        <v>-1793</v>
      </c>
      <c r="M18" s="4">
        <v>2523</v>
      </c>
      <c r="N18" s="18">
        <v>0</v>
      </c>
      <c r="O18" s="18">
        <v>2323</v>
      </c>
      <c r="P18" s="18">
        <v>0</v>
      </c>
      <c r="Q18" s="18">
        <v>0</v>
      </c>
      <c r="R18" s="18">
        <v>200</v>
      </c>
      <c r="S18" s="18">
        <v>0</v>
      </c>
      <c r="T18" s="18">
        <v>2523</v>
      </c>
      <c r="U18" s="18" t="b">
        <v>1</v>
      </c>
      <c r="V18" s="4">
        <v>2349</v>
      </c>
      <c r="W18" s="4">
        <v>2349</v>
      </c>
      <c r="X18" s="3" t="b">
        <v>1</v>
      </c>
      <c r="Y18" s="18">
        <v>3</v>
      </c>
      <c r="Z18" s="18">
        <v>2243</v>
      </c>
      <c r="AA18" s="18">
        <v>0</v>
      </c>
      <c r="AB18" s="18">
        <v>0</v>
      </c>
      <c r="AC18" s="18">
        <v>103</v>
      </c>
      <c r="AD18" s="18">
        <v>0</v>
      </c>
      <c r="AE18" s="18">
        <v>2349</v>
      </c>
      <c r="AF18" s="4">
        <v>174</v>
      </c>
      <c r="AG18" s="5">
        <v>6.8965517241379309E-2</v>
      </c>
      <c r="AH18" s="18">
        <f t="shared" si="0"/>
        <v>80</v>
      </c>
      <c r="AI18" s="6">
        <v>0.17913944902016474</v>
      </c>
      <c r="AJ18" s="3">
        <v>0.17899999999999999</v>
      </c>
      <c r="AK18" s="6">
        <v>0.51670640392330713</v>
      </c>
      <c r="AL18" s="25">
        <v>0.51700000000000002</v>
      </c>
      <c r="AM18" s="6">
        <v>0.15890911381243308</v>
      </c>
      <c r="AN18" s="3">
        <v>0.159</v>
      </c>
      <c r="AO18" s="6">
        <v>0.50767613271944667</v>
      </c>
      <c r="AP18" s="6">
        <v>0.15000957915575708</v>
      </c>
      <c r="AQ18" s="6">
        <v>0.15</v>
      </c>
      <c r="AR18" s="6">
        <v>0.51039395260281373</v>
      </c>
      <c r="AS18" s="6">
        <v>0.51</v>
      </c>
      <c r="AT18" s="6">
        <v>2.9129869864407659E-2</v>
      </c>
      <c r="AU18" s="6">
        <v>6.3124513204934063E-3</v>
      </c>
      <c r="AV18" s="6">
        <v>8.8995346566760059E-3</v>
      </c>
      <c r="AW18" s="6">
        <v>-2.7178198833670564E-3</v>
      </c>
      <c r="AX18" s="26">
        <v>135</v>
      </c>
      <c r="AY18" s="26">
        <v>150</v>
      </c>
      <c r="AZ18" s="7">
        <v>150</v>
      </c>
      <c r="BA18" s="26">
        <v>15</v>
      </c>
      <c r="BB18" s="26">
        <v>0</v>
      </c>
      <c r="BC18" s="6">
        <v>0.16678500426015336</v>
      </c>
      <c r="BD18" s="6">
        <v>0.16700000000000001</v>
      </c>
      <c r="BE18" s="11">
        <v>0.51822223429693248</v>
      </c>
      <c r="BF18" s="26">
        <v>135</v>
      </c>
      <c r="BG18" s="26">
        <v>15</v>
      </c>
      <c r="BH18" s="7">
        <v>0</v>
      </c>
    </row>
    <row r="19" spans="2:60" x14ac:dyDescent="0.25">
      <c r="B19" s="3">
        <v>16</v>
      </c>
      <c r="C19" s="3" t="s">
        <v>34</v>
      </c>
      <c r="D19" s="3" t="s">
        <v>35</v>
      </c>
      <c r="E19" s="3" t="s">
        <v>26</v>
      </c>
      <c r="F19" s="3">
        <v>2202</v>
      </c>
      <c r="G19" s="3">
        <v>2</v>
      </c>
      <c r="H19" s="3"/>
      <c r="I19" s="4">
        <v>256</v>
      </c>
      <c r="J19" s="4">
        <v>269</v>
      </c>
      <c r="K19" s="4">
        <v>274</v>
      </c>
      <c r="L19" s="4">
        <v>-13</v>
      </c>
      <c r="M19" s="4">
        <v>21</v>
      </c>
      <c r="N19" s="18">
        <v>0</v>
      </c>
      <c r="O19" s="18">
        <v>0</v>
      </c>
      <c r="P19" s="18">
        <v>0</v>
      </c>
      <c r="Q19" s="18">
        <v>0</v>
      </c>
      <c r="R19" s="18">
        <v>21</v>
      </c>
      <c r="S19" s="18">
        <v>0</v>
      </c>
      <c r="T19" s="18">
        <v>21</v>
      </c>
      <c r="U19" s="18" t="b">
        <v>1</v>
      </c>
      <c r="V19" s="4">
        <v>13</v>
      </c>
      <c r="W19" s="4">
        <v>13</v>
      </c>
      <c r="X19" s="3" t="b">
        <v>1</v>
      </c>
      <c r="Y19" s="18">
        <v>0</v>
      </c>
      <c r="Z19" s="18">
        <v>0</v>
      </c>
      <c r="AA19" s="18">
        <v>0</v>
      </c>
      <c r="AB19" s="18">
        <v>0</v>
      </c>
      <c r="AC19" s="18">
        <v>13</v>
      </c>
      <c r="AD19" s="18">
        <v>0</v>
      </c>
      <c r="AE19" s="18">
        <v>13</v>
      </c>
      <c r="AF19" s="4">
        <v>8</v>
      </c>
      <c r="AG19" s="5">
        <v>0.38095238095238093</v>
      </c>
      <c r="AH19" s="18">
        <f t="shared" si="0"/>
        <v>0</v>
      </c>
      <c r="AI19" s="6">
        <v>8.203125E-2</v>
      </c>
      <c r="AJ19" s="3">
        <v>8.2000000000000003E-2</v>
      </c>
      <c r="AK19" s="6">
        <v>0.41661760790710722</v>
      </c>
      <c r="AL19" s="25">
        <v>0.41699999999999998</v>
      </c>
      <c r="AM19" s="6">
        <v>7.8066914498141265E-2</v>
      </c>
      <c r="AN19" s="3">
        <v>7.8E-2</v>
      </c>
      <c r="AO19" s="6">
        <v>0.41583939373046142</v>
      </c>
      <c r="AP19" s="6">
        <v>4.7445255474452552E-2</v>
      </c>
      <c r="AQ19" s="6">
        <v>4.7E-2</v>
      </c>
      <c r="AR19" s="6">
        <v>0.39090373232569076</v>
      </c>
      <c r="AS19" s="6">
        <v>0.39200000000000002</v>
      </c>
      <c r="AT19" s="6">
        <v>3.4585994525547448E-2</v>
      </c>
      <c r="AU19" s="6">
        <v>2.5713875581416468E-2</v>
      </c>
      <c r="AV19" s="6">
        <v>3.0621659023688713E-2</v>
      </c>
      <c r="AW19" s="6">
        <v>2.4935661404770659E-2</v>
      </c>
      <c r="AX19" s="7">
        <v>260</v>
      </c>
      <c r="AY19" s="7">
        <v>259</v>
      </c>
      <c r="AZ19" s="7">
        <v>291</v>
      </c>
      <c r="BA19" s="26">
        <v>31</v>
      </c>
      <c r="BB19" s="26">
        <v>32</v>
      </c>
      <c r="BC19" s="6">
        <v>5.078125E-2</v>
      </c>
      <c r="BD19" s="6">
        <v>5.0999999999999997E-2</v>
      </c>
      <c r="BE19" s="11">
        <v>0.39360239047785445</v>
      </c>
      <c r="BF19" s="7">
        <v>288</v>
      </c>
      <c r="BG19" s="26">
        <v>3</v>
      </c>
      <c r="BH19" s="7">
        <v>28</v>
      </c>
    </row>
    <row r="20" spans="2:60" x14ac:dyDescent="0.25">
      <c r="B20" s="3">
        <v>17</v>
      </c>
      <c r="C20" s="3" t="s">
        <v>36</v>
      </c>
      <c r="D20" s="3" t="s">
        <v>37</v>
      </c>
      <c r="E20" s="3" t="s">
        <v>26</v>
      </c>
      <c r="F20" s="3">
        <v>2203</v>
      </c>
      <c r="G20" s="3">
        <v>2</v>
      </c>
      <c r="H20" s="3">
        <v>0.47899999999999998</v>
      </c>
      <c r="I20" s="4">
        <v>9843</v>
      </c>
      <c r="J20" s="4">
        <v>11030</v>
      </c>
      <c r="K20" s="4">
        <v>10929</v>
      </c>
      <c r="L20" s="4">
        <v>-1187</v>
      </c>
      <c r="M20" s="4">
        <v>693</v>
      </c>
      <c r="N20" s="18">
        <v>0</v>
      </c>
      <c r="O20" s="18">
        <v>2</v>
      </c>
      <c r="P20" s="18">
        <v>0</v>
      </c>
      <c r="Q20" s="18">
        <v>0</v>
      </c>
      <c r="R20" s="18">
        <v>691</v>
      </c>
      <c r="S20" s="18">
        <v>0</v>
      </c>
      <c r="T20" s="18">
        <v>693</v>
      </c>
      <c r="U20" s="18" t="b">
        <v>1</v>
      </c>
      <c r="V20" s="4">
        <v>401</v>
      </c>
      <c r="W20" s="4">
        <v>401</v>
      </c>
      <c r="X20" s="3" t="b">
        <v>1</v>
      </c>
      <c r="Y20" s="18">
        <v>2</v>
      </c>
      <c r="Z20" s="18">
        <v>2</v>
      </c>
      <c r="AA20" s="18">
        <v>0</v>
      </c>
      <c r="AB20" s="18">
        <v>0</v>
      </c>
      <c r="AC20" s="18">
        <v>396</v>
      </c>
      <c r="AD20" s="18">
        <v>1</v>
      </c>
      <c r="AE20" s="18">
        <v>401</v>
      </c>
      <c r="AF20" s="4">
        <v>292</v>
      </c>
      <c r="AG20" s="5">
        <v>0.42135642135642137</v>
      </c>
      <c r="AH20" s="18">
        <f t="shared" si="0"/>
        <v>0</v>
      </c>
      <c r="AI20" s="6">
        <v>7.0405364218226157E-2</v>
      </c>
      <c r="AJ20" s="3">
        <v>7.0000000000000007E-2</v>
      </c>
      <c r="AK20" s="6">
        <v>0.40463488222317223</v>
      </c>
      <c r="AL20" s="25">
        <v>0.40500000000000003</v>
      </c>
      <c r="AM20" s="6">
        <v>6.2828649138712597E-2</v>
      </c>
      <c r="AN20" s="3">
        <v>6.3E-2</v>
      </c>
      <c r="AO20" s="6">
        <v>0.39852872417509538</v>
      </c>
      <c r="AP20" s="6">
        <v>3.6691371580199472E-2</v>
      </c>
      <c r="AQ20" s="6">
        <v>3.6999999999999998E-2</v>
      </c>
      <c r="AR20" s="6">
        <v>0.37930274006577591</v>
      </c>
      <c r="AS20" s="6">
        <v>0.379</v>
      </c>
      <c r="AT20" s="6">
        <v>3.3713992638026685E-2</v>
      </c>
      <c r="AU20" s="6">
        <v>2.533214215739632E-2</v>
      </c>
      <c r="AV20" s="6">
        <v>2.6137277558513125E-2</v>
      </c>
      <c r="AW20" s="6">
        <v>1.9225984109319472E-2</v>
      </c>
      <c r="AX20" s="26">
        <v>276</v>
      </c>
      <c r="AY20" s="26">
        <v>287</v>
      </c>
      <c r="AZ20" s="7">
        <v>308</v>
      </c>
      <c r="BA20" s="26">
        <v>32</v>
      </c>
      <c r="BB20" s="26">
        <v>21</v>
      </c>
      <c r="BC20" s="6">
        <v>4.0739611906938943E-2</v>
      </c>
      <c r="BD20" s="6">
        <v>4.1000000000000002E-2</v>
      </c>
      <c r="BE20" s="11">
        <v>0.38281491744453711</v>
      </c>
      <c r="BF20" s="26">
        <v>307</v>
      </c>
      <c r="BG20" s="26">
        <v>1</v>
      </c>
      <c r="BH20" s="7">
        <v>31</v>
      </c>
    </row>
    <row r="21" spans="2:60" x14ac:dyDescent="0.25">
      <c r="B21" s="3">
        <v>18</v>
      </c>
      <c r="C21" s="3" t="s">
        <v>38</v>
      </c>
      <c r="D21" s="3" t="s">
        <v>39</v>
      </c>
      <c r="E21" s="3" t="s">
        <v>26</v>
      </c>
      <c r="F21" s="3">
        <v>2103</v>
      </c>
      <c r="G21" s="3">
        <v>2</v>
      </c>
      <c r="H21" s="3"/>
      <c r="I21" s="4">
        <v>1472</v>
      </c>
      <c r="J21" s="4">
        <v>1800</v>
      </c>
      <c r="K21" s="4">
        <v>1792</v>
      </c>
      <c r="L21" s="4">
        <v>-328</v>
      </c>
      <c r="M21" s="4">
        <v>502</v>
      </c>
      <c r="N21" s="18">
        <v>0</v>
      </c>
      <c r="O21" s="18">
        <v>161</v>
      </c>
      <c r="P21" s="18">
        <v>0</v>
      </c>
      <c r="Q21" s="18">
        <v>0</v>
      </c>
      <c r="R21" s="18">
        <v>341</v>
      </c>
      <c r="S21" s="18">
        <v>0</v>
      </c>
      <c r="T21" s="18">
        <v>502</v>
      </c>
      <c r="U21" s="18" t="b">
        <v>1</v>
      </c>
      <c r="V21" s="4">
        <v>371</v>
      </c>
      <c r="W21" s="4">
        <v>371</v>
      </c>
      <c r="X21" s="3" t="b">
        <v>1</v>
      </c>
      <c r="Y21" s="18">
        <v>0</v>
      </c>
      <c r="Z21" s="18">
        <v>149</v>
      </c>
      <c r="AA21" s="18">
        <v>0</v>
      </c>
      <c r="AB21" s="18">
        <v>0</v>
      </c>
      <c r="AC21" s="18">
        <v>222</v>
      </c>
      <c r="AD21" s="18">
        <v>0</v>
      </c>
      <c r="AE21" s="18">
        <v>371</v>
      </c>
      <c r="AF21" s="4">
        <v>131</v>
      </c>
      <c r="AG21" s="5">
        <v>0.26095617529880477</v>
      </c>
      <c r="AH21" s="18">
        <f t="shared" si="0"/>
        <v>12</v>
      </c>
      <c r="AI21" s="6">
        <v>0.34103260869565216</v>
      </c>
      <c r="AJ21" s="3">
        <v>0.34100000000000003</v>
      </c>
      <c r="AK21" s="6">
        <v>0.68356864211406188</v>
      </c>
      <c r="AL21" s="25">
        <v>0.68400000000000005</v>
      </c>
      <c r="AM21" s="6">
        <v>0.27888888888888891</v>
      </c>
      <c r="AN21" s="3">
        <v>0.27900000000000003</v>
      </c>
      <c r="AO21" s="6">
        <v>0.64397315804920763</v>
      </c>
      <c r="AP21" s="6">
        <v>0.20703125</v>
      </c>
      <c r="AQ21" s="6">
        <v>0.20699999999999999</v>
      </c>
      <c r="AR21" s="6">
        <v>0.57651960848432837</v>
      </c>
      <c r="AS21" s="6">
        <v>0.57699999999999996</v>
      </c>
      <c r="AT21" s="6">
        <v>0.13400135869565216</v>
      </c>
      <c r="AU21" s="6">
        <v>0.1070490336297335</v>
      </c>
      <c r="AV21" s="6">
        <v>7.1857638888888908E-2</v>
      </c>
      <c r="AW21" s="6">
        <v>6.7453549564879256E-2</v>
      </c>
      <c r="AX21" s="7">
        <v>14</v>
      </c>
      <c r="AY21" s="7">
        <v>29</v>
      </c>
      <c r="AZ21" s="7">
        <v>85</v>
      </c>
      <c r="BA21" s="26">
        <v>71</v>
      </c>
      <c r="BB21" s="26">
        <v>56</v>
      </c>
      <c r="BC21" s="6">
        <v>0.25203804347826086</v>
      </c>
      <c r="BD21" s="6">
        <v>0.252</v>
      </c>
      <c r="BE21" s="11">
        <v>0.60980737738321666</v>
      </c>
      <c r="BF21" s="7">
        <v>53</v>
      </c>
      <c r="BG21" s="26">
        <v>32</v>
      </c>
      <c r="BH21" s="7">
        <v>39</v>
      </c>
    </row>
    <row r="22" spans="2:60" x14ac:dyDescent="0.25">
      <c r="B22" s="3">
        <v>19</v>
      </c>
      <c r="C22" s="3" t="s">
        <v>40</v>
      </c>
      <c r="D22" s="3" t="s">
        <v>41</v>
      </c>
      <c r="E22" s="3" t="s">
        <v>26</v>
      </c>
      <c r="F22" s="3">
        <v>2104</v>
      </c>
      <c r="G22" s="3">
        <v>2</v>
      </c>
      <c r="H22" s="3">
        <v>0.45800000000000002</v>
      </c>
      <c r="I22" s="4">
        <v>12097</v>
      </c>
      <c r="J22" s="4">
        <v>13967</v>
      </c>
      <c r="K22" s="4">
        <v>13929</v>
      </c>
      <c r="L22" s="4">
        <v>-1870</v>
      </c>
      <c r="M22" s="4">
        <v>2136</v>
      </c>
      <c r="N22" s="18">
        <v>0</v>
      </c>
      <c r="O22" s="18">
        <v>1818</v>
      </c>
      <c r="P22" s="18">
        <v>0</v>
      </c>
      <c r="Q22" s="18">
        <v>0</v>
      </c>
      <c r="R22" s="18">
        <v>318</v>
      </c>
      <c r="S22" s="18">
        <v>0</v>
      </c>
      <c r="T22" s="18">
        <v>2136</v>
      </c>
      <c r="U22" s="18" t="b">
        <v>1</v>
      </c>
      <c r="V22" s="4">
        <v>2080</v>
      </c>
      <c r="W22" s="4">
        <v>2080</v>
      </c>
      <c r="X22" s="3" t="b">
        <v>1</v>
      </c>
      <c r="Y22" s="18">
        <v>146</v>
      </c>
      <c r="Z22" s="18">
        <v>1687</v>
      </c>
      <c r="AA22" s="18">
        <v>0</v>
      </c>
      <c r="AB22" s="18">
        <v>0</v>
      </c>
      <c r="AC22" s="18">
        <v>247</v>
      </c>
      <c r="AD22" s="18">
        <v>0</v>
      </c>
      <c r="AE22" s="18">
        <v>2080</v>
      </c>
      <c r="AF22" s="4">
        <v>56</v>
      </c>
      <c r="AG22" s="5">
        <v>2.6217228464419477E-2</v>
      </c>
      <c r="AH22" s="18">
        <f t="shared" si="0"/>
        <v>131</v>
      </c>
      <c r="AI22" s="6">
        <v>0.17657270397619246</v>
      </c>
      <c r="AJ22" s="3">
        <v>0.17699999999999999</v>
      </c>
      <c r="AK22" s="6">
        <v>0.51406087631880093</v>
      </c>
      <c r="AL22" s="25">
        <v>0.51400000000000001</v>
      </c>
      <c r="AM22" s="6">
        <v>0.15293191093291331</v>
      </c>
      <c r="AN22" s="3">
        <v>0.153</v>
      </c>
      <c r="AO22" s="6">
        <v>0.50088603020631983</v>
      </c>
      <c r="AP22" s="6">
        <v>0.14932873860291479</v>
      </c>
      <c r="AQ22" s="6">
        <v>0.14899999999999999</v>
      </c>
      <c r="AR22" s="6">
        <v>0.50923385337682225</v>
      </c>
      <c r="AS22" s="6">
        <v>0.51</v>
      </c>
      <c r="AT22" s="6">
        <v>2.7243965373277668E-2</v>
      </c>
      <c r="AU22" s="6">
        <v>4.8270229419786759E-3</v>
      </c>
      <c r="AV22" s="6">
        <v>3.6031723299985163E-3</v>
      </c>
      <c r="AW22" s="6">
        <v>-8.347823170502422E-3</v>
      </c>
      <c r="AX22" s="26">
        <v>138</v>
      </c>
      <c r="AY22" s="26">
        <v>162</v>
      </c>
      <c r="AZ22" s="7">
        <v>151</v>
      </c>
      <c r="BA22" s="26">
        <v>13</v>
      </c>
      <c r="BB22" s="26">
        <v>-11</v>
      </c>
      <c r="BC22" s="6">
        <v>0.17194345705546829</v>
      </c>
      <c r="BD22" s="6">
        <v>0.17199999999999999</v>
      </c>
      <c r="BE22" s="11">
        <v>0.52376382720312908</v>
      </c>
      <c r="BF22" s="26">
        <v>133</v>
      </c>
      <c r="BG22" s="26">
        <v>18</v>
      </c>
      <c r="BH22" s="7">
        <v>-5</v>
      </c>
    </row>
    <row r="23" spans="2:60" x14ac:dyDescent="0.25">
      <c r="B23" s="3">
        <v>20</v>
      </c>
      <c r="C23" s="3" t="s">
        <v>42</v>
      </c>
      <c r="D23" s="3" t="s">
        <v>43</v>
      </c>
      <c r="E23" s="3" t="s">
        <v>26</v>
      </c>
      <c r="F23" s="3">
        <v>2301</v>
      </c>
      <c r="G23" s="3">
        <v>2</v>
      </c>
      <c r="H23" s="3">
        <v>0.57499999999999996</v>
      </c>
      <c r="I23" s="4">
        <v>25400</v>
      </c>
      <c r="J23" s="4">
        <v>28354</v>
      </c>
      <c r="K23" s="4">
        <v>28333</v>
      </c>
      <c r="L23" s="4">
        <v>-2954</v>
      </c>
      <c r="M23" s="4">
        <v>5900</v>
      </c>
      <c r="N23" s="18">
        <v>1</v>
      </c>
      <c r="O23" s="18">
        <v>5620</v>
      </c>
      <c r="P23" s="18">
        <v>94</v>
      </c>
      <c r="Q23" s="18">
        <v>0</v>
      </c>
      <c r="R23" s="18">
        <v>185</v>
      </c>
      <c r="S23" s="18">
        <v>0</v>
      </c>
      <c r="T23" s="18">
        <v>5900</v>
      </c>
      <c r="U23" s="18" t="b">
        <v>1</v>
      </c>
      <c r="V23" s="4">
        <v>6182</v>
      </c>
      <c r="W23" s="4">
        <v>6182</v>
      </c>
      <c r="X23" s="3" t="b">
        <v>1</v>
      </c>
      <c r="Y23" s="18">
        <v>3</v>
      </c>
      <c r="Z23" s="18">
        <v>6016</v>
      </c>
      <c r="AA23" s="18">
        <v>37</v>
      </c>
      <c r="AB23" s="18">
        <v>1</v>
      </c>
      <c r="AC23" s="18">
        <v>125</v>
      </c>
      <c r="AD23" s="18">
        <v>0</v>
      </c>
      <c r="AE23" s="18">
        <v>6182</v>
      </c>
      <c r="AF23" s="4">
        <v>-282</v>
      </c>
      <c r="AG23" s="5">
        <v>-4.7796610169491528E-2</v>
      </c>
      <c r="AH23" s="18">
        <f t="shared" si="0"/>
        <v>-396</v>
      </c>
      <c r="AI23" s="6">
        <v>0.23228346456692914</v>
      </c>
      <c r="AJ23" s="3">
        <v>0.23200000000000001</v>
      </c>
      <c r="AK23" s="6">
        <v>0.57148159886268945</v>
      </c>
      <c r="AL23" s="25">
        <v>0.57099999999999995</v>
      </c>
      <c r="AM23" s="6">
        <v>0.20808351555336108</v>
      </c>
      <c r="AN23" s="3">
        <v>0.20799999999999999</v>
      </c>
      <c r="AO23" s="6">
        <v>0.56353825344261121</v>
      </c>
      <c r="AP23" s="6">
        <v>0.21819080224473228</v>
      </c>
      <c r="AQ23" s="6">
        <v>0.218</v>
      </c>
      <c r="AR23" s="6">
        <v>0.5892806999702348</v>
      </c>
      <c r="AS23" s="6">
        <v>0.58899999999999997</v>
      </c>
      <c r="AT23" s="6">
        <v>1.4092662322196858E-2</v>
      </c>
      <c r="AU23" s="6">
        <v>-1.7799101107545345E-2</v>
      </c>
      <c r="AV23" s="6">
        <v>-1.0107286691371203E-2</v>
      </c>
      <c r="AW23" s="6">
        <v>-2.5742446527623586E-2</v>
      </c>
      <c r="AX23" s="7">
        <v>86</v>
      </c>
      <c r="AY23" s="7">
        <v>101</v>
      </c>
      <c r="AZ23" s="7">
        <v>66</v>
      </c>
      <c r="BA23" s="26">
        <v>-20</v>
      </c>
      <c r="BB23" s="26">
        <v>-35</v>
      </c>
      <c r="BC23" s="6">
        <v>0.24338582677165355</v>
      </c>
      <c r="BD23" s="6">
        <v>0.24299999999999999</v>
      </c>
      <c r="BE23" s="11">
        <v>0.60051252394038646</v>
      </c>
      <c r="BF23" s="7">
        <v>61</v>
      </c>
      <c r="BG23" s="26">
        <v>5</v>
      </c>
      <c r="BH23" s="7">
        <v>-25</v>
      </c>
    </row>
    <row r="24" spans="2:60" x14ac:dyDescent="0.25">
      <c r="B24" s="3">
        <v>21</v>
      </c>
      <c r="C24" s="3" t="s">
        <v>44</v>
      </c>
      <c r="D24" s="3" t="s">
        <v>45</v>
      </c>
      <c r="E24" s="3" t="s">
        <v>46</v>
      </c>
      <c r="F24" s="3">
        <v>3302</v>
      </c>
      <c r="G24" s="3">
        <v>3</v>
      </c>
      <c r="H24" s="3">
        <v>0.39600000000000002</v>
      </c>
      <c r="I24" s="4">
        <v>4788</v>
      </c>
      <c r="J24" s="4">
        <v>5781</v>
      </c>
      <c r="K24" s="4">
        <v>5775</v>
      </c>
      <c r="L24" s="4">
        <v>-993</v>
      </c>
      <c r="M24" s="4">
        <v>115</v>
      </c>
      <c r="N24" s="18">
        <v>0</v>
      </c>
      <c r="O24" s="18">
        <v>0</v>
      </c>
      <c r="P24" s="18">
        <v>0</v>
      </c>
      <c r="Q24" s="18">
        <v>0</v>
      </c>
      <c r="R24" s="18">
        <v>115</v>
      </c>
      <c r="S24" s="18">
        <v>0</v>
      </c>
      <c r="T24" s="18">
        <v>115</v>
      </c>
      <c r="U24" s="18" t="b">
        <v>1</v>
      </c>
      <c r="V24" s="4">
        <v>87</v>
      </c>
      <c r="W24" s="4">
        <v>87</v>
      </c>
      <c r="X24" s="3" t="b">
        <v>1</v>
      </c>
      <c r="Y24" s="18">
        <v>0</v>
      </c>
      <c r="Z24" s="18">
        <v>0</v>
      </c>
      <c r="AA24" s="18">
        <v>0</v>
      </c>
      <c r="AB24" s="18">
        <v>0</v>
      </c>
      <c r="AC24" s="18">
        <v>87</v>
      </c>
      <c r="AD24" s="18">
        <v>0</v>
      </c>
      <c r="AE24" s="18">
        <v>87</v>
      </c>
      <c r="AF24" s="4">
        <v>28</v>
      </c>
      <c r="AG24" s="5">
        <v>0.24347826086956523</v>
      </c>
      <c r="AH24" s="18">
        <f t="shared" si="0"/>
        <v>0</v>
      </c>
      <c r="AI24" s="6">
        <v>2.4018379281537175E-2</v>
      </c>
      <c r="AJ24" s="3">
        <v>2.4E-2</v>
      </c>
      <c r="AK24" s="6">
        <v>0.35682411526444502</v>
      </c>
      <c r="AL24" s="25">
        <v>0.35699999999999998</v>
      </c>
      <c r="AM24" s="6">
        <v>1.9892752119010551E-2</v>
      </c>
      <c r="AN24" s="3">
        <v>0.02</v>
      </c>
      <c r="AO24" s="6">
        <v>0.34975354485907156</v>
      </c>
      <c r="AP24" s="6">
        <v>1.5064935064935066E-2</v>
      </c>
      <c r="AQ24" s="6">
        <v>1.4999999999999999E-2</v>
      </c>
      <c r="AR24" s="6">
        <v>0.35378055709396328</v>
      </c>
      <c r="AS24" s="6">
        <v>0.35399999999999998</v>
      </c>
      <c r="AT24" s="6">
        <v>8.9534442166021092E-3</v>
      </c>
      <c r="AU24" s="6">
        <v>3.0435581704817416E-3</v>
      </c>
      <c r="AV24" s="6">
        <v>4.8278170540754853E-3</v>
      </c>
      <c r="AW24" s="6">
        <v>-4.0270122348917137E-3</v>
      </c>
      <c r="AX24" s="26">
        <v>334</v>
      </c>
      <c r="AY24" s="26">
        <v>338</v>
      </c>
      <c r="AZ24" s="7">
        <v>339</v>
      </c>
      <c r="BA24" s="26">
        <v>5</v>
      </c>
      <c r="BB24" s="26">
        <v>1</v>
      </c>
      <c r="BC24" s="6">
        <v>1.8170426065162906E-2</v>
      </c>
      <c r="BD24" s="6">
        <v>1.7999999999999999E-2</v>
      </c>
      <c r="BE24" s="11">
        <v>0.35856942269599368</v>
      </c>
      <c r="BF24" s="26">
        <v>335</v>
      </c>
      <c r="BG24" s="26">
        <v>4</v>
      </c>
      <c r="BH24" s="7">
        <v>1</v>
      </c>
    </row>
    <row r="25" spans="2:60" x14ac:dyDescent="0.25">
      <c r="B25" s="3">
        <v>22</v>
      </c>
      <c r="C25" s="3" t="s">
        <v>47</v>
      </c>
      <c r="D25" s="3" t="s">
        <v>48</v>
      </c>
      <c r="E25" s="3" t="s">
        <v>46</v>
      </c>
      <c r="F25" s="3">
        <v>3102</v>
      </c>
      <c r="G25" s="3">
        <v>3</v>
      </c>
      <c r="H25" s="3">
        <v>0.44900000000000001</v>
      </c>
      <c r="I25" s="4">
        <v>18805</v>
      </c>
      <c r="J25" s="4">
        <v>19964</v>
      </c>
      <c r="K25" s="4">
        <v>19860</v>
      </c>
      <c r="L25" s="4">
        <v>-1159</v>
      </c>
      <c r="M25" s="4">
        <v>3723</v>
      </c>
      <c r="N25" s="18">
        <v>1</v>
      </c>
      <c r="O25" s="18">
        <v>3382</v>
      </c>
      <c r="P25" s="18">
        <v>31</v>
      </c>
      <c r="Q25" s="18">
        <v>0</v>
      </c>
      <c r="R25" s="18">
        <v>309</v>
      </c>
      <c r="S25" s="18">
        <v>0</v>
      </c>
      <c r="T25" s="18">
        <v>3723</v>
      </c>
      <c r="U25" s="18" t="b">
        <v>1</v>
      </c>
      <c r="V25" s="4">
        <v>3382</v>
      </c>
      <c r="W25" s="4">
        <v>3382</v>
      </c>
      <c r="X25" s="3" t="b">
        <v>1</v>
      </c>
      <c r="Y25" s="18">
        <v>59</v>
      </c>
      <c r="Z25" s="18">
        <v>3101</v>
      </c>
      <c r="AA25" s="18">
        <v>0</v>
      </c>
      <c r="AB25" s="18">
        <v>0</v>
      </c>
      <c r="AC25" s="18">
        <v>222</v>
      </c>
      <c r="AD25" s="18">
        <v>0</v>
      </c>
      <c r="AE25" s="18">
        <v>3382</v>
      </c>
      <c r="AF25" s="4">
        <v>341</v>
      </c>
      <c r="AG25" s="5">
        <v>9.159280150416331E-2</v>
      </c>
      <c r="AH25" s="18">
        <f t="shared" si="0"/>
        <v>281</v>
      </c>
      <c r="AI25" s="6">
        <v>0.19797926083488435</v>
      </c>
      <c r="AJ25" s="3">
        <v>0.19800000000000001</v>
      </c>
      <c r="AK25" s="6">
        <v>0.5361244767609622</v>
      </c>
      <c r="AL25" s="25">
        <v>0.53600000000000003</v>
      </c>
      <c r="AM25" s="6">
        <v>0.18648567421358445</v>
      </c>
      <c r="AN25" s="3">
        <v>0.186</v>
      </c>
      <c r="AO25" s="6">
        <v>0.5390031055288913</v>
      </c>
      <c r="AP25" s="6">
        <v>0.1702920443101712</v>
      </c>
      <c r="AQ25" s="6">
        <v>0.17</v>
      </c>
      <c r="AR25" s="6">
        <v>0.53359593712264353</v>
      </c>
      <c r="AS25" s="6">
        <v>0.53400000000000003</v>
      </c>
      <c r="AT25" s="6">
        <v>2.7687216524713149E-2</v>
      </c>
      <c r="AU25" s="6">
        <v>2.528539638318672E-3</v>
      </c>
      <c r="AV25" s="6">
        <v>1.6193629903413248E-2</v>
      </c>
      <c r="AW25" s="6">
        <v>5.4071684062477754E-3</v>
      </c>
      <c r="AX25" s="7">
        <v>119</v>
      </c>
      <c r="AY25" s="7">
        <v>119</v>
      </c>
      <c r="AZ25" s="7">
        <v>127</v>
      </c>
      <c r="BA25" s="26">
        <v>8</v>
      </c>
      <c r="BB25" s="26">
        <v>8</v>
      </c>
      <c r="BC25" s="6">
        <v>0.1798457856952938</v>
      </c>
      <c r="BD25" s="6">
        <v>0.18</v>
      </c>
      <c r="BE25" s="11">
        <v>0.53225309522021036</v>
      </c>
      <c r="BF25" s="7">
        <v>124</v>
      </c>
      <c r="BG25" s="26">
        <v>3</v>
      </c>
      <c r="BH25" s="7">
        <v>5</v>
      </c>
    </row>
    <row r="26" spans="2:60" x14ac:dyDescent="0.25">
      <c r="B26" s="3">
        <v>23</v>
      </c>
      <c r="C26" s="3" t="s">
        <v>49</v>
      </c>
      <c r="D26" s="3" t="s">
        <v>50</v>
      </c>
      <c r="E26" s="3" t="s">
        <v>46</v>
      </c>
      <c r="F26" s="3">
        <v>3201</v>
      </c>
      <c r="G26" s="3">
        <v>3</v>
      </c>
      <c r="H26" s="3"/>
      <c r="I26" s="4">
        <v>12345</v>
      </c>
      <c r="J26" s="4">
        <v>13017</v>
      </c>
      <c r="K26" s="4">
        <v>13062</v>
      </c>
      <c r="L26" s="4">
        <v>-672</v>
      </c>
      <c r="M26" s="4">
        <v>683</v>
      </c>
      <c r="N26" s="18">
        <v>200</v>
      </c>
      <c r="O26" s="18">
        <v>0</v>
      </c>
      <c r="P26" s="18">
        <v>0</v>
      </c>
      <c r="Q26" s="18">
        <v>0</v>
      </c>
      <c r="R26" s="18">
        <v>483</v>
      </c>
      <c r="S26" s="18">
        <v>0</v>
      </c>
      <c r="T26" s="18">
        <v>683</v>
      </c>
      <c r="U26" s="18" t="b">
        <v>1</v>
      </c>
      <c r="V26" s="4">
        <v>669</v>
      </c>
      <c r="W26" s="4">
        <v>669</v>
      </c>
      <c r="X26" s="3" t="b">
        <v>1</v>
      </c>
      <c r="Y26" s="18">
        <v>311</v>
      </c>
      <c r="Z26" s="18">
        <v>0</v>
      </c>
      <c r="AA26" s="18">
        <v>0</v>
      </c>
      <c r="AB26" s="18">
        <v>0</v>
      </c>
      <c r="AC26" s="18">
        <v>358</v>
      </c>
      <c r="AD26" s="18">
        <v>0</v>
      </c>
      <c r="AE26" s="18">
        <v>669</v>
      </c>
      <c r="AF26" s="4">
        <v>14</v>
      </c>
      <c r="AG26" s="5">
        <v>2.0497803806734993E-2</v>
      </c>
      <c r="AH26" s="18">
        <f t="shared" si="0"/>
        <v>0</v>
      </c>
      <c r="AI26" s="6">
        <v>5.5326042932361277E-2</v>
      </c>
      <c r="AJ26" s="3">
        <v>5.5E-2</v>
      </c>
      <c r="AK26" s="6">
        <v>0.38909272278172002</v>
      </c>
      <c r="AL26" s="25">
        <v>0.38900000000000001</v>
      </c>
      <c r="AM26" s="6">
        <v>5.2469847122993012E-2</v>
      </c>
      <c r="AN26" s="3">
        <v>5.1999999999999998E-2</v>
      </c>
      <c r="AO26" s="6">
        <v>0.38676112501246307</v>
      </c>
      <c r="AP26" s="6">
        <v>5.12172714745062E-2</v>
      </c>
      <c r="AQ26" s="6">
        <v>5.0999999999999997E-2</v>
      </c>
      <c r="AR26" s="6">
        <v>0.3955441292296567</v>
      </c>
      <c r="AS26" s="6">
        <v>0.39600000000000002</v>
      </c>
      <c r="AT26" s="6">
        <v>4.1087714578550774E-3</v>
      </c>
      <c r="AU26" s="6">
        <v>-6.4514064479366806E-3</v>
      </c>
      <c r="AV26" s="6">
        <v>1.2525756484868117E-3</v>
      </c>
      <c r="AW26" s="6">
        <v>-8.7830042171936351E-3</v>
      </c>
      <c r="AX26" s="26">
        <v>298</v>
      </c>
      <c r="AY26" s="26">
        <v>300</v>
      </c>
      <c r="AZ26" s="7">
        <v>286</v>
      </c>
      <c r="BA26" s="26">
        <v>-12</v>
      </c>
      <c r="BB26" s="26">
        <v>-14</v>
      </c>
      <c r="BC26" s="6">
        <v>5.4191980558930743E-2</v>
      </c>
      <c r="BD26" s="6">
        <v>5.3999999999999999E-2</v>
      </c>
      <c r="BE26" s="11">
        <v>0.39726645042379111</v>
      </c>
      <c r="BF26" s="26">
        <v>285</v>
      </c>
      <c r="BG26" s="26">
        <v>1</v>
      </c>
      <c r="BH26" s="7">
        <v>-13</v>
      </c>
    </row>
    <row r="27" spans="2:60" x14ac:dyDescent="0.25">
      <c r="B27" s="3">
        <v>24</v>
      </c>
      <c r="C27" s="3" t="s">
        <v>51</v>
      </c>
      <c r="D27" s="3" t="s">
        <v>52</v>
      </c>
      <c r="E27" s="3" t="s">
        <v>46</v>
      </c>
      <c r="F27" s="3">
        <v>3101</v>
      </c>
      <c r="G27" s="3">
        <v>3</v>
      </c>
      <c r="H27" s="3">
        <v>0.54200000000000004</v>
      </c>
      <c r="I27" s="4">
        <v>168831</v>
      </c>
      <c r="J27" s="4">
        <v>176100</v>
      </c>
      <c r="K27" s="4">
        <v>175240</v>
      </c>
      <c r="L27" s="4">
        <v>-7269</v>
      </c>
      <c r="M27" s="4">
        <v>41844</v>
      </c>
      <c r="N27" s="18">
        <v>11</v>
      </c>
      <c r="O27" s="18">
        <v>22357</v>
      </c>
      <c r="P27" s="18">
        <v>18097</v>
      </c>
      <c r="Q27" s="18">
        <v>0</v>
      </c>
      <c r="R27" s="18">
        <v>1379</v>
      </c>
      <c r="S27" s="18">
        <v>0</v>
      </c>
      <c r="T27" s="18">
        <v>41844</v>
      </c>
      <c r="U27" s="18" t="b">
        <v>1</v>
      </c>
      <c r="V27" s="4">
        <v>40559</v>
      </c>
      <c r="W27" s="4">
        <v>40559</v>
      </c>
      <c r="X27" s="3" t="b">
        <v>1</v>
      </c>
      <c r="Y27" s="18">
        <v>250</v>
      </c>
      <c r="Z27" s="18">
        <v>19420</v>
      </c>
      <c r="AA27" s="18">
        <v>19566</v>
      </c>
      <c r="AB27" s="18">
        <v>1</v>
      </c>
      <c r="AC27" s="18">
        <v>1322</v>
      </c>
      <c r="AD27" s="18">
        <v>0</v>
      </c>
      <c r="AE27" s="18">
        <v>40559</v>
      </c>
      <c r="AF27" s="4">
        <v>1285</v>
      </c>
      <c r="AG27" s="5">
        <v>3.0709301214033074E-2</v>
      </c>
      <c r="AH27" s="18">
        <f t="shared" si="0"/>
        <v>2937</v>
      </c>
      <c r="AI27" s="6">
        <v>0.24784547861470937</v>
      </c>
      <c r="AJ27" s="3">
        <v>0.248</v>
      </c>
      <c r="AK27" s="6">
        <v>0.5875212666286016</v>
      </c>
      <c r="AL27" s="25">
        <v>0.58799999999999997</v>
      </c>
      <c r="AM27" s="6">
        <v>0.23761499148211243</v>
      </c>
      <c r="AN27" s="3">
        <v>0.23799999999999999</v>
      </c>
      <c r="AO27" s="6">
        <v>0.59708601030514352</v>
      </c>
      <c r="AP27" s="6">
        <v>0.2314482994750057</v>
      </c>
      <c r="AQ27" s="6">
        <v>0.23100000000000001</v>
      </c>
      <c r="AR27" s="6">
        <v>0.60436198990812406</v>
      </c>
      <c r="AS27" s="6">
        <v>0.60499999999999998</v>
      </c>
      <c r="AT27" s="6">
        <v>1.6397179139703677E-2</v>
      </c>
      <c r="AU27" s="6">
        <v>-1.6840723279522463E-2</v>
      </c>
      <c r="AV27" s="6">
        <v>6.1666920071067333E-3</v>
      </c>
      <c r="AW27" s="6">
        <v>-7.2759796029805424E-3</v>
      </c>
      <c r="AX27" s="7">
        <v>69</v>
      </c>
      <c r="AY27" s="7">
        <v>60</v>
      </c>
      <c r="AZ27" s="7">
        <v>54</v>
      </c>
      <c r="BA27" s="26">
        <v>-15</v>
      </c>
      <c r="BB27" s="26">
        <v>-6</v>
      </c>
      <c r="BC27" s="6">
        <v>0.24023431715739407</v>
      </c>
      <c r="BD27" s="6">
        <v>0.24</v>
      </c>
      <c r="BE27" s="11">
        <v>0.59712693837526265</v>
      </c>
      <c r="BF27" s="7">
        <v>65</v>
      </c>
      <c r="BG27" s="26">
        <v>-11</v>
      </c>
      <c r="BH27" s="7">
        <v>-4</v>
      </c>
    </row>
    <row r="28" spans="2:60" x14ac:dyDescent="0.25">
      <c r="B28" s="3">
        <v>25</v>
      </c>
      <c r="C28" s="3" t="s">
        <v>53</v>
      </c>
      <c r="D28" s="3" t="s">
        <v>54</v>
      </c>
      <c r="E28" s="3" t="s">
        <v>46</v>
      </c>
      <c r="F28" s="3">
        <v>3202</v>
      </c>
      <c r="G28" s="3">
        <v>3</v>
      </c>
      <c r="H28" s="3">
        <v>0.41499999999999998</v>
      </c>
      <c r="I28" s="4">
        <v>11397</v>
      </c>
      <c r="J28" s="4">
        <v>13909</v>
      </c>
      <c r="K28" s="4">
        <v>14019</v>
      </c>
      <c r="L28" s="4">
        <v>-2512</v>
      </c>
      <c r="M28" s="4">
        <v>1961</v>
      </c>
      <c r="N28" s="18">
        <v>321</v>
      </c>
      <c r="O28" s="18">
        <v>1179</v>
      </c>
      <c r="P28" s="18">
        <v>0</v>
      </c>
      <c r="Q28" s="18">
        <v>0</v>
      </c>
      <c r="R28" s="18">
        <v>461</v>
      </c>
      <c r="S28" s="18">
        <v>0</v>
      </c>
      <c r="T28" s="18">
        <v>1961</v>
      </c>
      <c r="U28" s="18" t="b">
        <v>1</v>
      </c>
      <c r="V28" s="4">
        <v>1543</v>
      </c>
      <c r="W28" s="4">
        <v>1543</v>
      </c>
      <c r="X28" s="3" t="b">
        <v>1</v>
      </c>
      <c r="Y28" s="18">
        <v>716</v>
      </c>
      <c r="Z28" s="18">
        <v>477</v>
      </c>
      <c r="AA28" s="18">
        <v>0</v>
      </c>
      <c r="AB28" s="18">
        <v>0</v>
      </c>
      <c r="AC28" s="18">
        <v>350</v>
      </c>
      <c r="AD28" s="18">
        <v>0</v>
      </c>
      <c r="AE28" s="18">
        <v>1543</v>
      </c>
      <c r="AF28" s="4">
        <v>418</v>
      </c>
      <c r="AG28" s="5">
        <v>0.21315655277919429</v>
      </c>
      <c r="AH28" s="18">
        <f t="shared" si="0"/>
        <v>702</v>
      </c>
      <c r="AI28" s="6">
        <v>0.17206282355005703</v>
      </c>
      <c r="AJ28" s="3">
        <v>0.17199999999999999</v>
      </c>
      <c r="AK28" s="6">
        <v>0.50941257157642594</v>
      </c>
      <c r="AL28" s="25">
        <v>0.50900000000000001</v>
      </c>
      <c r="AM28" s="6">
        <v>0.14098784959378818</v>
      </c>
      <c r="AN28" s="3">
        <v>0.14099999999999999</v>
      </c>
      <c r="AO28" s="6">
        <v>0.48731757644116175</v>
      </c>
      <c r="AP28" s="6">
        <v>0.11006491190527141</v>
      </c>
      <c r="AQ28" s="6">
        <v>0.11</v>
      </c>
      <c r="AR28" s="6">
        <v>0.46398998356315435</v>
      </c>
      <c r="AS28" s="6">
        <v>0.46400000000000002</v>
      </c>
      <c r="AT28" s="6">
        <v>6.1997911644785617E-2</v>
      </c>
      <c r="AU28" s="6">
        <v>4.5422588013271592E-2</v>
      </c>
      <c r="AV28" s="6">
        <v>3.0922937688516769E-2</v>
      </c>
      <c r="AW28" s="6">
        <v>2.3327592878007397E-2</v>
      </c>
      <c r="AX28" s="26">
        <v>150</v>
      </c>
      <c r="AY28" s="26">
        <v>179</v>
      </c>
      <c r="AZ28" s="7">
        <v>199</v>
      </c>
      <c r="BA28" s="26">
        <v>49</v>
      </c>
      <c r="BB28" s="26">
        <v>20</v>
      </c>
      <c r="BC28" s="6">
        <v>0.13538650522067211</v>
      </c>
      <c r="BD28" s="6">
        <v>0.13500000000000001</v>
      </c>
      <c r="BE28" s="11">
        <v>0.48449163590889677</v>
      </c>
      <c r="BF28" s="26">
        <v>179</v>
      </c>
      <c r="BG28" s="26">
        <v>20</v>
      </c>
      <c r="BH28" s="7">
        <v>29</v>
      </c>
    </row>
    <row r="29" spans="2:60" x14ac:dyDescent="0.25">
      <c r="B29" s="3">
        <v>26</v>
      </c>
      <c r="C29" s="3" t="s">
        <v>55</v>
      </c>
      <c r="D29" s="3" t="s">
        <v>56</v>
      </c>
      <c r="E29" s="3" t="s">
        <v>46</v>
      </c>
      <c r="F29" s="3">
        <v>3303</v>
      </c>
      <c r="G29" s="3">
        <v>3</v>
      </c>
      <c r="H29" s="3">
        <v>0.39</v>
      </c>
      <c r="I29" s="4">
        <v>7577</v>
      </c>
      <c r="J29" s="4">
        <v>7840</v>
      </c>
      <c r="K29" s="4">
        <v>7810</v>
      </c>
      <c r="L29" s="4">
        <v>-263</v>
      </c>
      <c r="M29" s="4">
        <v>203</v>
      </c>
      <c r="N29" s="18">
        <v>47</v>
      </c>
      <c r="O29" s="18">
        <v>0</v>
      </c>
      <c r="P29" s="18">
        <v>0</v>
      </c>
      <c r="Q29" s="18">
        <v>0</v>
      </c>
      <c r="R29" s="18">
        <v>156</v>
      </c>
      <c r="S29" s="18">
        <v>0</v>
      </c>
      <c r="T29" s="18">
        <v>203</v>
      </c>
      <c r="U29" s="18" t="b">
        <v>1</v>
      </c>
      <c r="V29" s="4">
        <v>166</v>
      </c>
      <c r="W29" s="4">
        <v>166</v>
      </c>
      <c r="X29" s="3" t="b">
        <v>1</v>
      </c>
      <c r="Y29" s="18">
        <v>63</v>
      </c>
      <c r="Z29" s="18">
        <v>0</v>
      </c>
      <c r="AA29" s="18">
        <v>0</v>
      </c>
      <c r="AB29" s="18">
        <v>0</v>
      </c>
      <c r="AC29" s="18">
        <v>103</v>
      </c>
      <c r="AD29" s="18">
        <v>0</v>
      </c>
      <c r="AE29" s="18">
        <v>166</v>
      </c>
      <c r="AF29" s="4">
        <v>37</v>
      </c>
      <c r="AG29" s="5">
        <v>0.18226600985221675</v>
      </c>
      <c r="AH29" s="18">
        <f t="shared" si="0"/>
        <v>0</v>
      </c>
      <c r="AI29" s="6">
        <v>2.6791606176587039E-2</v>
      </c>
      <c r="AJ29" s="3">
        <v>2.7E-2</v>
      </c>
      <c r="AK29" s="6">
        <v>0.35968246238452339</v>
      </c>
      <c r="AL29" s="25">
        <v>0.36</v>
      </c>
      <c r="AM29" s="6">
        <v>2.5892857142857145E-2</v>
      </c>
      <c r="AN29" s="3">
        <v>2.5999999999999999E-2</v>
      </c>
      <c r="AO29" s="6">
        <v>0.35656966420831449</v>
      </c>
      <c r="AP29" s="6">
        <v>2.1254801536491678E-2</v>
      </c>
      <c r="AQ29" s="6">
        <v>2.1000000000000001E-2</v>
      </c>
      <c r="AR29" s="6">
        <v>0.36074115244991223</v>
      </c>
      <c r="AS29" s="6">
        <v>0.36099999999999999</v>
      </c>
      <c r="AT29" s="6">
        <v>5.5368046400953615E-3</v>
      </c>
      <c r="AU29" s="6">
        <v>-1.0586900653888343E-3</v>
      </c>
      <c r="AV29" s="6">
        <v>4.6380556063654668E-3</v>
      </c>
      <c r="AW29" s="6">
        <v>-4.1714882415977428E-3</v>
      </c>
      <c r="AX29" s="7">
        <v>332</v>
      </c>
      <c r="AY29" s="7">
        <v>329</v>
      </c>
      <c r="AZ29" s="7">
        <v>329</v>
      </c>
      <c r="BA29" s="26">
        <v>-3</v>
      </c>
      <c r="BB29" s="26">
        <v>0</v>
      </c>
      <c r="BC29" s="6">
        <v>2.1908407021248515E-2</v>
      </c>
      <c r="BD29" s="6">
        <v>2.1999999999999999E-2</v>
      </c>
      <c r="BE29" s="11">
        <v>0.36258503931044739</v>
      </c>
      <c r="BF29" s="7">
        <v>329</v>
      </c>
      <c r="BG29" s="26">
        <v>0</v>
      </c>
      <c r="BH29" s="7">
        <v>-3</v>
      </c>
    </row>
    <row r="30" spans="2:60" x14ac:dyDescent="0.25">
      <c r="B30" s="3">
        <v>27</v>
      </c>
      <c r="C30" s="3" t="s">
        <v>57</v>
      </c>
      <c r="D30" s="3" t="s">
        <v>58</v>
      </c>
      <c r="E30" s="3" t="s">
        <v>46</v>
      </c>
      <c r="F30" s="3">
        <v>3304</v>
      </c>
      <c r="G30" s="3">
        <v>3</v>
      </c>
      <c r="H30" s="3">
        <v>0.48899999999999999</v>
      </c>
      <c r="I30" s="4">
        <v>9369</v>
      </c>
      <c r="J30" s="4">
        <v>11590</v>
      </c>
      <c r="K30" s="4">
        <v>11525</v>
      </c>
      <c r="L30" s="4">
        <v>-2221</v>
      </c>
      <c r="M30" s="4">
        <v>1136</v>
      </c>
      <c r="N30" s="18">
        <v>1</v>
      </c>
      <c r="O30" s="18">
        <v>973</v>
      </c>
      <c r="P30" s="18">
        <v>0</v>
      </c>
      <c r="Q30" s="18">
        <v>0</v>
      </c>
      <c r="R30" s="18">
        <v>162</v>
      </c>
      <c r="S30" s="18">
        <v>0</v>
      </c>
      <c r="T30" s="18">
        <v>1136</v>
      </c>
      <c r="U30" s="18" t="b">
        <v>1</v>
      </c>
      <c r="V30" s="4">
        <v>437</v>
      </c>
      <c r="W30" s="4">
        <v>437</v>
      </c>
      <c r="X30" s="3" t="b">
        <v>1</v>
      </c>
      <c r="Y30" s="18">
        <v>106</v>
      </c>
      <c r="Z30" s="18">
        <v>196</v>
      </c>
      <c r="AA30" s="18">
        <v>0</v>
      </c>
      <c r="AB30" s="18">
        <v>0</v>
      </c>
      <c r="AC30" s="18">
        <v>135</v>
      </c>
      <c r="AD30" s="18">
        <v>0</v>
      </c>
      <c r="AE30" s="18">
        <v>437</v>
      </c>
      <c r="AF30" s="4">
        <v>699</v>
      </c>
      <c r="AG30" s="5">
        <v>0.61531690140845074</v>
      </c>
      <c r="AH30" s="18">
        <f t="shared" si="0"/>
        <v>777</v>
      </c>
      <c r="AI30" s="6">
        <v>0.1212509339310492</v>
      </c>
      <c r="AJ30" s="3">
        <v>0.121</v>
      </c>
      <c r="AK30" s="6">
        <v>0.45704108382781183</v>
      </c>
      <c r="AL30" s="25">
        <v>0.45700000000000002</v>
      </c>
      <c r="AM30" s="6">
        <v>9.8015530629853326E-2</v>
      </c>
      <c r="AN30" s="3">
        <v>9.8000000000000004E-2</v>
      </c>
      <c r="AO30" s="6">
        <v>0.43850102179623357</v>
      </c>
      <c r="AP30" s="6">
        <v>3.79175704989154E-2</v>
      </c>
      <c r="AQ30" s="6">
        <v>3.7999999999999999E-2</v>
      </c>
      <c r="AR30" s="6">
        <v>0.38046283929176744</v>
      </c>
      <c r="AS30" s="6">
        <v>0.38100000000000001</v>
      </c>
      <c r="AT30" s="6">
        <v>8.3333363432133795E-2</v>
      </c>
      <c r="AU30" s="6">
        <v>7.6578244536044393E-2</v>
      </c>
      <c r="AV30" s="6">
        <v>6.0097960130937926E-2</v>
      </c>
      <c r="AW30" s="6">
        <v>5.8038182504466129E-2</v>
      </c>
      <c r="AX30" s="26">
        <v>207</v>
      </c>
      <c r="AY30" s="26">
        <v>235</v>
      </c>
      <c r="AZ30" s="7">
        <v>305</v>
      </c>
      <c r="BA30" s="26">
        <v>98</v>
      </c>
      <c r="BB30" s="26">
        <v>70</v>
      </c>
      <c r="BC30" s="6">
        <v>4.6643184971715233E-2</v>
      </c>
      <c r="BD30" s="6">
        <v>4.7E-2</v>
      </c>
      <c r="BE30" s="11">
        <v>0.38915697385468601</v>
      </c>
      <c r="BF30" s="26">
        <v>296</v>
      </c>
      <c r="BG30" s="26">
        <v>9</v>
      </c>
      <c r="BH30" s="7">
        <v>89</v>
      </c>
    </row>
    <row r="31" spans="2:60" x14ac:dyDescent="0.25">
      <c r="B31" s="3">
        <v>28</v>
      </c>
      <c r="C31" s="3" t="s">
        <v>59</v>
      </c>
      <c r="D31" s="3" t="s">
        <v>60</v>
      </c>
      <c r="E31" s="3" t="s">
        <v>46</v>
      </c>
      <c r="F31" s="3">
        <v>3103</v>
      </c>
      <c r="G31" s="3">
        <v>3</v>
      </c>
      <c r="H31" s="3"/>
      <c r="I31" s="4">
        <v>11846</v>
      </c>
      <c r="J31" s="4">
        <v>14431</v>
      </c>
      <c r="K31" s="4">
        <v>14419</v>
      </c>
      <c r="L31" s="4">
        <v>-2585</v>
      </c>
      <c r="M31" s="4">
        <v>1106</v>
      </c>
      <c r="N31" s="18">
        <v>1</v>
      </c>
      <c r="O31" s="18">
        <v>795</v>
      </c>
      <c r="P31" s="18">
        <v>0</v>
      </c>
      <c r="Q31" s="18">
        <v>0</v>
      </c>
      <c r="R31" s="18">
        <v>310</v>
      </c>
      <c r="S31" s="18">
        <v>0</v>
      </c>
      <c r="T31" s="18">
        <v>1106</v>
      </c>
      <c r="U31" s="18" t="b">
        <v>1</v>
      </c>
      <c r="V31" s="4">
        <v>1089</v>
      </c>
      <c r="W31" s="4">
        <v>1089</v>
      </c>
      <c r="X31" s="3" t="b">
        <v>1</v>
      </c>
      <c r="Y31" s="18">
        <v>154</v>
      </c>
      <c r="Z31" s="18">
        <v>711</v>
      </c>
      <c r="AA31" s="18">
        <v>0</v>
      </c>
      <c r="AB31" s="18">
        <v>0</v>
      </c>
      <c r="AC31" s="18">
        <v>224</v>
      </c>
      <c r="AD31" s="18">
        <v>0</v>
      </c>
      <c r="AE31" s="18">
        <v>1089</v>
      </c>
      <c r="AF31" s="4">
        <v>17</v>
      </c>
      <c r="AG31" s="5">
        <v>1.5370705244122965E-2</v>
      </c>
      <c r="AH31" s="18">
        <f t="shared" si="0"/>
        <v>84</v>
      </c>
      <c r="AI31" s="6">
        <v>9.3364848894141483E-2</v>
      </c>
      <c r="AJ31" s="3">
        <v>9.2999999999999999E-2</v>
      </c>
      <c r="AK31" s="6">
        <v>0.42829907537629186</v>
      </c>
      <c r="AL31" s="25">
        <v>0.42799999999999999</v>
      </c>
      <c r="AM31" s="6">
        <v>7.6640565449379805E-2</v>
      </c>
      <c r="AN31" s="3">
        <v>7.6999999999999999E-2</v>
      </c>
      <c r="AO31" s="6">
        <v>0.41421906120104773</v>
      </c>
      <c r="AP31" s="6">
        <v>7.5525348498508907E-2</v>
      </c>
      <c r="AQ31" s="6">
        <v>7.5999999999999998E-2</v>
      </c>
      <c r="AR31" s="6">
        <v>0.42454660987944387</v>
      </c>
      <c r="AS31" s="6">
        <v>0.42399999999999999</v>
      </c>
      <c r="AT31" s="6">
        <v>1.7839500395632577E-2</v>
      </c>
      <c r="AU31" s="6">
        <v>3.7524654968479898E-3</v>
      </c>
      <c r="AV31" s="6">
        <v>1.1152169508708981E-3</v>
      </c>
      <c r="AW31" s="6">
        <v>-1.0327548678396137E-2</v>
      </c>
      <c r="AX31" s="7">
        <v>243</v>
      </c>
      <c r="AY31" s="7">
        <v>261</v>
      </c>
      <c r="AZ31" s="7">
        <v>247</v>
      </c>
      <c r="BA31" s="26">
        <v>4</v>
      </c>
      <c r="BB31" s="26">
        <v>-14</v>
      </c>
      <c r="BC31" s="6">
        <v>9.1929765321627555E-2</v>
      </c>
      <c r="BD31" s="6">
        <v>9.1999999999999998E-2</v>
      </c>
      <c r="BE31" s="11">
        <v>0.43780718010275005</v>
      </c>
      <c r="BF31" s="7">
        <v>236</v>
      </c>
      <c r="BG31" s="26">
        <v>11</v>
      </c>
      <c r="BH31" s="7">
        <v>-7</v>
      </c>
    </row>
    <row r="32" spans="2:60" x14ac:dyDescent="0.25">
      <c r="B32" s="3">
        <v>29</v>
      </c>
      <c r="C32" s="3" t="s">
        <v>61</v>
      </c>
      <c r="D32" s="3" t="s">
        <v>62</v>
      </c>
      <c r="E32" s="3" t="s">
        <v>46</v>
      </c>
      <c r="F32" s="3">
        <v>3301</v>
      </c>
      <c r="G32" s="3">
        <v>3</v>
      </c>
      <c r="H32" s="3">
        <v>0.53300000000000003</v>
      </c>
      <c r="I32" s="4">
        <v>54222</v>
      </c>
      <c r="J32" s="4">
        <v>57360</v>
      </c>
      <c r="K32" s="4">
        <v>57338</v>
      </c>
      <c r="L32" s="4">
        <v>-3138</v>
      </c>
      <c r="M32" s="4">
        <v>12275</v>
      </c>
      <c r="N32" s="18">
        <v>14</v>
      </c>
      <c r="O32" s="18">
        <v>11585</v>
      </c>
      <c r="P32" s="18">
        <v>94</v>
      </c>
      <c r="Q32" s="18">
        <v>0</v>
      </c>
      <c r="R32" s="18">
        <v>582</v>
      </c>
      <c r="S32" s="18">
        <v>0</v>
      </c>
      <c r="T32" s="18">
        <v>12275</v>
      </c>
      <c r="U32" s="18" t="b">
        <v>1</v>
      </c>
      <c r="V32" s="4">
        <v>11399</v>
      </c>
      <c r="W32" s="4">
        <v>11399</v>
      </c>
      <c r="X32" s="3" t="b">
        <v>1</v>
      </c>
      <c r="Y32" s="18">
        <v>68</v>
      </c>
      <c r="Z32" s="18">
        <v>10950</v>
      </c>
      <c r="AA32" s="18">
        <v>11</v>
      </c>
      <c r="AB32" s="18">
        <v>0</v>
      </c>
      <c r="AC32" s="18">
        <v>370</v>
      </c>
      <c r="AD32" s="18">
        <v>0</v>
      </c>
      <c r="AE32" s="18">
        <v>11399</v>
      </c>
      <c r="AF32" s="4">
        <v>876</v>
      </c>
      <c r="AG32" s="5">
        <v>7.1364562118126279E-2</v>
      </c>
      <c r="AH32" s="18">
        <f t="shared" si="0"/>
        <v>635</v>
      </c>
      <c r="AI32" s="6">
        <v>0.22638412452510051</v>
      </c>
      <c r="AJ32" s="3">
        <v>0.22600000000000001</v>
      </c>
      <c r="AK32" s="6">
        <v>0.5654011870330542</v>
      </c>
      <c r="AL32" s="25">
        <v>0.56499999999999995</v>
      </c>
      <c r="AM32" s="6">
        <v>0.21399930264993028</v>
      </c>
      <c r="AN32" s="3">
        <v>0.214</v>
      </c>
      <c r="AO32" s="6">
        <v>0.57025858762587467</v>
      </c>
      <c r="AP32" s="6">
        <v>0.19880358575464788</v>
      </c>
      <c r="AQ32" s="6">
        <v>0.19900000000000001</v>
      </c>
      <c r="AR32" s="6">
        <v>0.56723881467639659</v>
      </c>
      <c r="AS32" s="6">
        <v>0.56699999999999995</v>
      </c>
      <c r="AT32" s="6">
        <v>2.7580538770452634E-2</v>
      </c>
      <c r="AU32" s="6">
        <v>-1.8376276433423877E-3</v>
      </c>
      <c r="AV32" s="6">
        <v>1.5195716895282402E-2</v>
      </c>
      <c r="AW32" s="6">
        <v>3.0197729494780834E-3</v>
      </c>
      <c r="AX32" s="26">
        <v>99</v>
      </c>
      <c r="AY32" s="26">
        <v>89</v>
      </c>
      <c r="AZ32" s="7">
        <v>97</v>
      </c>
      <c r="BA32" s="26">
        <v>-2</v>
      </c>
      <c r="BB32" s="26">
        <v>8</v>
      </c>
      <c r="BC32" s="6">
        <v>0.21022832060787133</v>
      </c>
      <c r="BD32" s="6">
        <v>0.21</v>
      </c>
      <c r="BE32" s="11">
        <v>0.56489226952781002</v>
      </c>
      <c r="BF32" s="26">
        <v>98</v>
      </c>
      <c r="BG32" s="26">
        <v>-1</v>
      </c>
      <c r="BH32" s="7">
        <v>-1</v>
      </c>
    </row>
    <row r="33" spans="2:60" x14ac:dyDescent="0.25">
      <c r="B33" s="3">
        <v>30</v>
      </c>
      <c r="C33" s="3" t="s">
        <v>63</v>
      </c>
      <c r="D33" s="3" t="s">
        <v>64</v>
      </c>
      <c r="E33" s="3" t="s">
        <v>65</v>
      </c>
      <c r="F33" s="3">
        <v>4103</v>
      </c>
      <c r="G33" s="3">
        <v>4</v>
      </c>
      <c r="H33" s="3">
        <v>0.53200000000000003</v>
      </c>
      <c r="I33" s="4">
        <v>11566</v>
      </c>
      <c r="J33" s="4">
        <v>11836</v>
      </c>
      <c r="K33" s="4">
        <v>11833</v>
      </c>
      <c r="L33" s="4">
        <v>-270</v>
      </c>
      <c r="M33" s="4">
        <v>1442</v>
      </c>
      <c r="N33" s="18">
        <v>0</v>
      </c>
      <c r="O33" s="18">
        <v>1372</v>
      </c>
      <c r="P33" s="18">
        <v>0</v>
      </c>
      <c r="Q33" s="18">
        <v>0</v>
      </c>
      <c r="R33" s="18">
        <v>70</v>
      </c>
      <c r="S33" s="18">
        <v>0</v>
      </c>
      <c r="T33" s="18">
        <v>1442</v>
      </c>
      <c r="U33" s="18" t="b">
        <v>1</v>
      </c>
      <c r="V33" s="4">
        <v>1211</v>
      </c>
      <c r="W33" s="4">
        <v>1211</v>
      </c>
      <c r="X33" s="3" t="b">
        <v>1</v>
      </c>
      <c r="Y33" s="18">
        <v>12</v>
      </c>
      <c r="Z33" s="18">
        <v>1150</v>
      </c>
      <c r="AA33" s="18">
        <v>0</v>
      </c>
      <c r="AB33" s="18">
        <v>0</v>
      </c>
      <c r="AC33" s="18">
        <v>49</v>
      </c>
      <c r="AD33" s="18">
        <v>0</v>
      </c>
      <c r="AE33" s="18">
        <v>1211</v>
      </c>
      <c r="AF33" s="4">
        <v>231</v>
      </c>
      <c r="AG33" s="5">
        <v>0.16019417475728157</v>
      </c>
      <c r="AH33" s="18">
        <f t="shared" si="0"/>
        <v>222</v>
      </c>
      <c r="AI33" s="6">
        <v>0.1246757738198167</v>
      </c>
      <c r="AJ33" s="3">
        <v>0.125</v>
      </c>
      <c r="AK33" s="6">
        <v>0.46057104426857559</v>
      </c>
      <c r="AL33" s="25">
        <v>0.46100000000000002</v>
      </c>
      <c r="AM33" s="6">
        <v>0.12183169989861439</v>
      </c>
      <c r="AN33" s="3">
        <v>0.122</v>
      </c>
      <c r="AO33" s="6">
        <v>0.46555619025286454</v>
      </c>
      <c r="AP33" s="6">
        <v>0.10234091101157779</v>
      </c>
      <c r="AQ33" s="6">
        <v>0.10199999999999999</v>
      </c>
      <c r="AR33" s="6">
        <v>0.45470918975522245</v>
      </c>
      <c r="AS33" s="6">
        <v>0.45500000000000002</v>
      </c>
      <c r="AT33" s="6">
        <v>2.2334862808238917E-2</v>
      </c>
      <c r="AU33" s="6">
        <v>5.8618545133531375E-3</v>
      </c>
      <c r="AV33" s="6">
        <v>1.9490788887036606E-2</v>
      </c>
      <c r="AW33" s="6">
        <v>1.084700049764209E-2</v>
      </c>
      <c r="AX33" s="7">
        <v>204</v>
      </c>
      <c r="AY33" s="7">
        <v>203</v>
      </c>
      <c r="AZ33" s="7">
        <v>212</v>
      </c>
      <c r="BA33" s="26">
        <v>8</v>
      </c>
      <c r="BB33" s="26">
        <v>9</v>
      </c>
      <c r="BC33" s="6">
        <v>0.10470344112052568</v>
      </c>
      <c r="BD33" s="6">
        <v>0.105</v>
      </c>
      <c r="BE33" s="11">
        <v>0.45152961083964055</v>
      </c>
      <c r="BF33" s="7">
        <v>216</v>
      </c>
      <c r="BG33" s="26">
        <v>-4</v>
      </c>
      <c r="BH33" s="7">
        <v>12</v>
      </c>
    </row>
    <row r="34" spans="2:60" x14ac:dyDescent="0.25">
      <c r="B34" s="3">
        <v>31</v>
      </c>
      <c r="C34" s="3" t="s">
        <v>66</v>
      </c>
      <c r="D34" s="3" t="s">
        <v>67</v>
      </c>
      <c r="E34" s="3" t="s">
        <v>65</v>
      </c>
      <c r="F34" s="3">
        <v>4202</v>
      </c>
      <c r="G34" s="3">
        <v>4</v>
      </c>
      <c r="H34" s="3">
        <v>0.40699999999999997</v>
      </c>
      <c r="I34" s="4">
        <v>9639</v>
      </c>
      <c r="J34" s="4">
        <v>9509</v>
      </c>
      <c r="K34" s="4">
        <v>9524</v>
      </c>
      <c r="L34" s="4">
        <v>130</v>
      </c>
      <c r="M34" s="4">
        <v>881</v>
      </c>
      <c r="N34" s="18">
        <v>0</v>
      </c>
      <c r="O34" s="18">
        <v>738</v>
      </c>
      <c r="P34" s="18">
        <v>0</v>
      </c>
      <c r="Q34" s="18">
        <v>0</v>
      </c>
      <c r="R34" s="18">
        <v>143</v>
      </c>
      <c r="S34" s="18">
        <v>0</v>
      </c>
      <c r="T34" s="18">
        <v>881</v>
      </c>
      <c r="U34" s="18" t="b">
        <v>1</v>
      </c>
      <c r="V34" s="4">
        <v>671</v>
      </c>
      <c r="W34" s="4">
        <v>671</v>
      </c>
      <c r="X34" s="3" t="b">
        <v>1</v>
      </c>
      <c r="Y34" s="18">
        <v>0</v>
      </c>
      <c r="Z34" s="18">
        <v>566</v>
      </c>
      <c r="AA34" s="18">
        <v>0</v>
      </c>
      <c r="AB34" s="18">
        <v>0</v>
      </c>
      <c r="AC34" s="18">
        <v>105</v>
      </c>
      <c r="AD34" s="18">
        <v>0</v>
      </c>
      <c r="AE34" s="18">
        <v>671</v>
      </c>
      <c r="AF34" s="4">
        <v>210</v>
      </c>
      <c r="AG34" s="5">
        <v>0.2383654937570942</v>
      </c>
      <c r="AH34" s="18">
        <f t="shared" si="0"/>
        <v>172</v>
      </c>
      <c r="AI34" s="6">
        <v>9.1399522772071792E-2</v>
      </c>
      <c r="AJ34" s="3">
        <v>9.0999999999999998E-2</v>
      </c>
      <c r="AK34" s="6">
        <v>0.42627342638555832</v>
      </c>
      <c r="AL34" s="25">
        <v>0.42599999999999999</v>
      </c>
      <c r="AM34" s="6">
        <v>9.2649069302765799E-2</v>
      </c>
      <c r="AN34" s="3">
        <v>9.2999999999999999E-2</v>
      </c>
      <c r="AO34" s="6">
        <v>0.43240472169096056</v>
      </c>
      <c r="AP34" s="6">
        <v>7.0453590928181431E-2</v>
      </c>
      <c r="AQ34" s="6">
        <v>7.0000000000000007E-2</v>
      </c>
      <c r="AR34" s="6">
        <v>0.41758601452349497</v>
      </c>
      <c r="AS34" s="6">
        <v>0.41799999999999998</v>
      </c>
      <c r="AT34" s="6">
        <v>2.0945931843890361E-2</v>
      </c>
      <c r="AU34" s="6">
        <v>8.6874118620633434E-3</v>
      </c>
      <c r="AV34" s="6">
        <v>2.2195478374584368E-2</v>
      </c>
      <c r="AW34" s="6">
        <v>1.4818707167465583E-2</v>
      </c>
      <c r="AX34" s="26">
        <v>246</v>
      </c>
      <c r="AY34" s="26">
        <v>241</v>
      </c>
      <c r="AZ34" s="7">
        <v>253</v>
      </c>
      <c r="BA34" s="26">
        <v>7</v>
      </c>
      <c r="BB34" s="26">
        <v>12</v>
      </c>
      <c r="BC34" s="6">
        <v>6.9613030397344122E-2</v>
      </c>
      <c r="BD34" s="6">
        <v>7.0000000000000007E-2</v>
      </c>
      <c r="BE34" s="11">
        <v>0.41383288686928305</v>
      </c>
      <c r="BF34" s="26">
        <v>254</v>
      </c>
      <c r="BG34" s="26">
        <v>-1</v>
      </c>
      <c r="BH34" s="7">
        <v>8</v>
      </c>
    </row>
    <row r="35" spans="2:60" x14ac:dyDescent="0.25">
      <c r="B35" s="3">
        <v>32</v>
      </c>
      <c r="C35" s="3" t="s">
        <v>68</v>
      </c>
      <c r="D35" s="3" t="s">
        <v>69</v>
      </c>
      <c r="E35" s="3" t="s">
        <v>65</v>
      </c>
      <c r="F35" s="3">
        <v>4302</v>
      </c>
      <c r="G35" s="3">
        <v>4</v>
      </c>
      <c r="H35" s="3">
        <v>0.51100000000000001</v>
      </c>
      <c r="I35" s="4">
        <v>12954</v>
      </c>
      <c r="J35" s="4">
        <v>13855</v>
      </c>
      <c r="K35" s="4">
        <v>13870</v>
      </c>
      <c r="L35" s="4">
        <v>-901</v>
      </c>
      <c r="M35" s="4">
        <v>1258</v>
      </c>
      <c r="N35" s="18">
        <v>0</v>
      </c>
      <c r="O35" s="18">
        <v>1155</v>
      </c>
      <c r="P35" s="18">
        <v>0</v>
      </c>
      <c r="Q35" s="18">
        <v>0</v>
      </c>
      <c r="R35" s="18">
        <v>103</v>
      </c>
      <c r="S35" s="18">
        <v>0</v>
      </c>
      <c r="T35" s="18">
        <v>1258</v>
      </c>
      <c r="U35" s="18" t="b">
        <v>1</v>
      </c>
      <c r="V35" s="4">
        <v>1016</v>
      </c>
      <c r="W35" s="4">
        <v>1016</v>
      </c>
      <c r="X35" s="3" t="b">
        <v>1</v>
      </c>
      <c r="Y35" s="18">
        <v>0</v>
      </c>
      <c r="Z35" s="18">
        <v>935</v>
      </c>
      <c r="AA35" s="18">
        <v>0</v>
      </c>
      <c r="AB35" s="18">
        <v>0</v>
      </c>
      <c r="AC35" s="18">
        <v>81</v>
      </c>
      <c r="AD35" s="18">
        <v>0</v>
      </c>
      <c r="AE35" s="18">
        <v>1016</v>
      </c>
      <c r="AF35" s="4">
        <v>242</v>
      </c>
      <c r="AG35" s="5">
        <v>0.19236883942766295</v>
      </c>
      <c r="AH35" s="18">
        <f t="shared" si="0"/>
        <v>220</v>
      </c>
      <c r="AI35" s="6">
        <v>9.711286089238845E-2</v>
      </c>
      <c r="AJ35" s="3">
        <v>9.7000000000000003E-2</v>
      </c>
      <c r="AK35" s="6">
        <v>0.43216212723127384</v>
      </c>
      <c r="AL35" s="25">
        <v>0.432</v>
      </c>
      <c r="AM35" s="6">
        <v>9.0797546012269942E-2</v>
      </c>
      <c r="AN35" s="3">
        <v>9.0999999999999998E-2</v>
      </c>
      <c r="AO35" s="6">
        <v>0.43030139121994954</v>
      </c>
      <c r="AP35" s="6">
        <v>7.3251622206200434E-2</v>
      </c>
      <c r="AQ35" s="6">
        <v>7.2999999999999995E-2</v>
      </c>
      <c r="AR35" s="6">
        <v>0.42106631220146939</v>
      </c>
      <c r="AS35" s="6">
        <v>0.42199999999999999</v>
      </c>
      <c r="AT35" s="6">
        <v>2.3861238686188016E-2</v>
      </c>
      <c r="AU35" s="6">
        <v>1.1095815029804446E-2</v>
      </c>
      <c r="AV35" s="6">
        <v>1.7545923806069508E-2</v>
      </c>
      <c r="AW35" s="6">
        <v>9.2350790184801412E-3</v>
      </c>
      <c r="AX35" s="7">
        <v>240</v>
      </c>
      <c r="AY35" s="7">
        <v>243</v>
      </c>
      <c r="AZ35" s="7">
        <v>249</v>
      </c>
      <c r="BA35" s="26">
        <v>9</v>
      </c>
      <c r="BB35" s="26">
        <v>6</v>
      </c>
      <c r="BC35" s="6">
        <v>7.8431372549019607E-2</v>
      </c>
      <c r="BD35" s="6">
        <v>7.8E-2</v>
      </c>
      <c r="BE35" s="11">
        <v>0.42330620459674617</v>
      </c>
      <c r="BF35" s="7">
        <v>246</v>
      </c>
      <c r="BG35" s="26">
        <v>3</v>
      </c>
      <c r="BH35" s="7">
        <v>6</v>
      </c>
    </row>
    <row r="36" spans="2:60" x14ac:dyDescent="0.25">
      <c r="B36" s="3">
        <v>33</v>
      </c>
      <c r="C36" s="3" t="s">
        <v>65</v>
      </c>
      <c r="D36" s="3" t="s">
        <v>70</v>
      </c>
      <c r="E36" s="3" t="s">
        <v>65</v>
      </c>
      <c r="F36" s="3">
        <v>4102</v>
      </c>
      <c r="G36" s="3">
        <v>4</v>
      </c>
      <c r="H36" s="3">
        <v>0.57099999999999995</v>
      </c>
      <c r="I36" s="4">
        <v>263719</v>
      </c>
      <c r="J36" s="4">
        <v>275644</v>
      </c>
      <c r="K36" s="4">
        <v>271095</v>
      </c>
      <c r="L36" s="4">
        <v>-11925</v>
      </c>
      <c r="M36" s="4">
        <v>70027</v>
      </c>
      <c r="N36" s="18">
        <v>0</v>
      </c>
      <c r="O36" s="18">
        <v>40669</v>
      </c>
      <c r="P36" s="18">
        <v>28241</v>
      </c>
      <c r="Q36" s="18">
        <v>0</v>
      </c>
      <c r="R36" s="18">
        <v>1117</v>
      </c>
      <c r="S36" s="18">
        <v>0</v>
      </c>
      <c r="T36" s="18">
        <v>70027</v>
      </c>
      <c r="U36" s="18" t="b">
        <v>1</v>
      </c>
      <c r="V36" s="4">
        <v>67369</v>
      </c>
      <c r="W36" s="4">
        <v>67369</v>
      </c>
      <c r="X36" s="3" t="b">
        <v>1</v>
      </c>
      <c r="Y36" s="18">
        <v>38</v>
      </c>
      <c r="Z36" s="18">
        <v>36175</v>
      </c>
      <c r="AA36" s="18">
        <v>29837</v>
      </c>
      <c r="AB36" s="18">
        <v>1</v>
      </c>
      <c r="AC36" s="18">
        <v>1318</v>
      </c>
      <c r="AD36" s="18">
        <v>0</v>
      </c>
      <c r="AE36" s="18">
        <v>67369</v>
      </c>
      <c r="AF36" s="4">
        <v>2658</v>
      </c>
      <c r="AG36" s="5">
        <v>3.7956788096020107E-2</v>
      </c>
      <c r="AH36" s="18">
        <f t="shared" si="0"/>
        <v>4494</v>
      </c>
      <c r="AI36" s="6">
        <v>0.26553642323837112</v>
      </c>
      <c r="AJ36" s="3">
        <v>0.26600000000000001</v>
      </c>
      <c r="AK36" s="6">
        <v>0.6057552094432952</v>
      </c>
      <c r="AL36" s="25">
        <v>0.60599999999999998</v>
      </c>
      <c r="AM36" s="6">
        <v>0.25404870049774347</v>
      </c>
      <c r="AN36" s="3">
        <v>0.254</v>
      </c>
      <c r="AO36" s="6">
        <v>0.61575470386235398</v>
      </c>
      <c r="AP36" s="6">
        <v>0.24850698094763829</v>
      </c>
      <c r="AQ36" s="6">
        <v>0.249</v>
      </c>
      <c r="AR36" s="6">
        <v>0.62524377597597081</v>
      </c>
      <c r="AS36" s="6">
        <v>0.625</v>
      </c>
      <c r="AT36" s="6">
        <v>1.7029442290732832E-2</v>
      </c>
      <c r="AU36" s="6">
        <v>-1.9488566532675611E-2</v>
      </c>
      <c r="AV36" s="6">
        <v>5.5417195501051841E-3</v>
      </c>
      <c r="AW36" s="6">
        <v>-9.4890721136168255E-3</v>
      </c>
      <c r="AX36" s="26">
        <v>52</v>
      </c>
      <c r="AY36" s="26">
        <v>46</v>
      </c>
      <c r="AZ36" s="7">
        <v>41</v>
      </c>
      <c r="BA36" s="26">
        <v>-11</v>
      </c>
      <c r="BB36" s="26">
        <v>-5</v>
      </c>
      <c r="BC36" s="6">
        <v>0.25545751348973716</v>
      </c>
      <c r="BD36" s="6">
        <v>0.255</v>
      </c>
      <c r="BE36" s="11">
        <v>0.61348082589780994</v>
      </c>
      <c r="BF36" s="26">
        <v>49</v>
      </c>
      <c r="BG36" s="26">
        <v>-8</v>
      </c>
      <c r="BH36" s="7">
        <v>-3</v>
      </c>
    </row>
    <row r="37" spans="2:60" x14ac:dyDescent="0.25">
      <c r="B37" s="3">
        <v>34</v>
      </c>
      <c r="C37" s="3" t="s">
        <v>71</v>
      </c>
      <c r="D37" s="3" t="s">
        <v>72</v>
      </c>
      <c r="E37" s="3" t="s">
        <v>65</v>
      </c>
      <c r="F37" s="3">
        <v>4201</v>
      </c>
      <c r="G37" s="3">
        <v>4</v>
      </c>
      <c r="H37" s="3">
        <v>0.505</v>
      </c>
      <c r="I37" s="4">
        <v>32009</v>
      </c>
      <c r="J37" s="4">
        <v>33021</v>
      </c>
      <c r="K37" s="4">
        <v>32987</v>
      </c>
      <c r="L37" s="4">
        <v>-1012</v>
      </c>
      <c r="M37" s="4">
        <v>4647</v>
      </c>
      <c r="N37" s="18">
        <v>0</v>
      </c>
      <c r="O37" s="18">
        <v>4505</v>
      </c>
      <c r="P37" s="18">
        <v>38</v>
      </c>
      <c r="Q37" s="18">
        <v>0</v>
      </c>
      <c r="R37" s="18">
        <v>104</v>
      </c>
      <c r="S37" s="18">
        <v>0</v>
      </c>
      <c r="T37" s="18">
        <v>4647</v>
      </c>
      <c r="U37" s="18" t="b">
        <v>1</v>
      </c>
      <c r="V37" s="4">
        <v>4087</v>
      </c>
      <c r="W37" s="4">
        <v>4087</v>
      </c>
      <c r="X37" s="3" t="b">
        <v>1</v>
      </c>
      <c r="Y37" s="18">
        <v>4</v>
      </c>
      <c r="Z37" s="18">
        <v>4007</v>
      </c>
      <c r="AA37" s="18">
        <v>10</v>
      </c>
      <c r="AB37" s="18">
        <v>0</v>
      </c>
      <c r="AC37" s="18">
        <v>66</v>
      </c>
      <c r="AD37" s="18">
        <v>0</v>
      </c>
      <c r="AE37" s="18">
        <v>4087</v>
      </c>
      <c r="AF37" s="4">
        <v>560</v>
      </c>
      <c r="AG37" s="5">
        <v>0.12050785452980417</v>
      </c>
      <c r="AH37" s="18">
        <f t="shared" si="0"/>
        <v>498</v>
      </c>
      <c r="AI37" s="6">
        <v>0.1451779187103627</v>
      </c>
      <c r="AJ37" s="3">
        <v>0.14499999999999999</v>
      </c>
      <c r="AK37" s="6">
        <v>0.48170247311340797</v>
      </c>
      <c r="AL37" s="25">
        <v>0.48199999999999998</v>
      </c>
      <c r="AM37" s="6">
        <v>0.14072862723721269</v>
      </c>
      <c r="AN37" s="3">
        <v>0.14099999999999999</v>
      </c>
      <c r="AO37" s="6">
        <v>0.48702309984227088</v>
      </c>
      <c r="AP37" s="6">
        <v>0.12389729287294995</v>
      </c>
      <c r="AQ37" s="6">
        <v>0.124</v>
      </c>
      <c r="AR37" s="6">
        <v>0.48023137272703514</v>
      </c>
      <c r="AS37" s="6">
        <v>0.48</v>
      </c>
      <c r="AT37" s="6">
        <v>2.1280625837412748E-2</v>
      </c>
      <c r="AU37" s="6">
        <v>1.4711003863728256E-3</v>
      </c>
      <c r="AV37" s="6">
        <v>1.6831334364262734E-2</v>
      </c>
      <c r="AW37" s="6">
        <v>6.791727115235735E-3</v>
      </c>
      <c r="AX37" s="7">
        <v>185</v>
      </c>
      <c r="AY37" s="7">
        <v>180</v>
      </c>
      <c r="AZ37" s="7">
        <v>187</v>
      </c>
      <c r="BA37" s="26">
        <v>2</v>
      </c>
      <c r="BB37" s="26">
        <v>7</v>
      </c>
      <c r="BC37" s="6">
        <v>0.12768283920147458</v>
      </c>
      <c r="BD37" s="6">
        <v>0.128</v>
      </c>
      <c r="BE37" s="11">
        <v>0.47621578602567877</v>
      </c>
      <c r="BF37" s="7">
        <v>192</v>
      </c>
      <c r="BG37" s="26">
        <v>-5</v>
      </c>
      <c r="BH37" s="7">
        <v>7</v>
      </c>
    </row>
    <row r="38" spans="2:60" x14ac:dyDescent="0.25">
      <c r="B38" s="3">
        <v>35</v>
      </c>
      <c r="C38" s="3" t="s">
        <v>73</v>
      </c>
      <c r="D38" s="3" t="s">
        <v>74</v>
      </c>
      <c r="E38" s="3" t="s">
        <v>65</v>
      </c>
      <c r="F38" s="3">
        <v>4104</v>
      </c>
      <c r="G38" s="3">
        <v>4</v>
      </c>
      <c r="H38" s="3"/>
      <c r="I38" s="4">
        <v>4335</v>
      </c>
      <c r="J38" s="4">
        <v>4533</v>
      </c>
      <c r="K38" s="4">
        <v>4517</v>
      </c>
      <c r="L38" s="4">
        <v>-198</v>
      </c>
      <c r="M38" s="4">
        <v>283</v>
      </c>
      <c r="N38" s="18">
        <v>0</v>
      </c>
      <c r="O38" s="18">
        <v>227</v>
      </c>
      <c r="P38" s="18">
        <v>0</v>
      </c>
      <c r="Q38" s="18">
        <v>0</v>
      </c>
      <c r="R38" s="18">
        <v>56</v>
      </c>
      <c r="S38" s="18">
        <v>0</v>
      </c>
      <c r="T38" s="18">
        <v>283</v>
      </c>
      <c r="U38" s="18" t="b">
        <v>1</v>
      </c>
      <c r="V38" s="4">
        <v>244</v>
      </c>
      <c r="W38" s="4">
        <v>244</v>
      </c>
      <c r="X38" s="3" t="b">
        <v>1</v>
      </c>
      <c r="Y38" s="18">
        <v>0</v>
      </c>
      <c r="Z38" s="18">
        <v>182</v>
      </c>
      <c r="AA38" s="18">
        <v>0</v>
      </c>
      <c r="AB38" s="18">
        <v>0</v>
      </c>
      <c r="AC38" s="18">
        <v>62</v>
      </c>
      <c r="AD38" s="18">
        <v>0</v>
      </c>
      <c r="AE38" s="18">
        <v>244</v>
      </c>
      <c r="AF38" s="4">
        <v>39</v>
      </c>
      <c r="AG38" s="5">
        <v>0.13780918727915195</v>
      </c>
      <c r="AH38" s="18">
        <f t="shared" si="0"/>
        <v>45</v>
      </c>
      <c r="AI38" s="6">
        <v>6.5282583621683973E-2</v>
      </c>
      <c r="AJ38" s="3">
        <v>6.5000000000000002E-2</v>
      </c>
      <c r="AK38" s="6">
        <v>0.39935486521805214</v>
      </c>
      <c r="AL38" s="25">
        <v>0.39900000000000002</v>
      </c>
      <c r="AM38" s="6">
        <v>6.243106110743437E-2</v>
      </c>
      <c r="AN38" s="3">
        <v>6.2E-2</v>
      </c>
      <c r="AO38" s="6">
        <v>0.39807706416877009</v>
      </c>
      <c r="AP38" s="6">
        <v>5.4018153641797656E-2</v>
      </c>
      <c r="AQ38" s="6">
        <v>5.3999999999999999E-2</v>
      </c>
      <c r="AR38" s="6">
        <v>0.39902442690763118</v>
      </c>
      <c r="AS38" s="6">
        <v>0.39900000000000002</v>
      </c>
      <c r="AT38" s="6">
        <v>1.1264429979886317E-2</v>
      </c>
      <c r="AU38" s="6">
        <v>3.3043831042095517E-4</v>
      </c>
      <c r="AV38" s="6">
        <v>8.4129074656367139E-3</v>
      </c>
      <c r="AW38" s="6">
        <v>-9.4736273886109057E-4</v>
      </c>
      <c r="AX38" s="26">
        <v>286</v>
      </c>
      <c r="AY38" s="26">
        <v>288</v>
      </c>
      <c r="AZ38" s="7">
        <v>282</v>
      </c>
      <c r="BA38" s="26">
        <v>-4</v>
      </c>
      <c r="BB38" s="26">
        <v>-6</v>
      </c>
      <c r="BC38" s="6">
        <v>5.6286043829296424E-2</v>
      </c>
      <c r="BD38" s="6">
        <v>5.6000000000000001E-2</v>
      </c>
      <c r="BE38" s="11">
        <v>0.39951604863175083</v>
      </c>
      <c r="BF38" s="26">
        <v>276</v>
      </c>
      <c r="BG38" s="26">
        <v>6</v>
      </c>
      <c r="BH38" s="7">
        <v>-10</v>
      </c>
    </row>
    <row r="39" spans="2:60" x14ac:dyDescent="0.25">
      <c r="B39" s="3">
        <v>36</v>
      </c>
      <c r="C39" s="3" t="s">
        <v>75</v>
      </c>
      <c r="D39" s="3" t="s">
        <v>76</v>
      </c>
      <c r="E39" s="3" t="s">
        <v>65</v>
      </c>
      <c r="F39" s="3">
        <v>4101</v>
      </c>
      <c r="G39" s="3">
        <v>4</v>
      </c>
      <c r="H39" s="3">
        <v>0.61499999999999999</v>
      </c>
      <c r="I39" s="4">
        <v>250141</v>
      </c>
      <c r="J39" s="4">
        <v>267400</v>
      </c>
      <c r="K39" s="4">
        <v>263144</v>
      </c>
      <c r="L39" s="4">
        <v>-17259</v>
      </c>
      <c r="M39" s="4">
        <v>71815</v>
      </c>
      <c r="N39" s="18">
        <v>5</v>
      </c>
      <c r="O39" s="18">
        <v>42408</v>
      </c>
      <c r="P39" s="18">
        <v>27858</v>
      </c>
      <c r="Q39" s="18">
        <v>0</v>
      </c>
      <c r="R39" s="18">
        <v>1544</v>
      </c>
      <c r="S39" s="18">
        <v>0</v>
      </c>
      <c r="T39" s="18">
        <v>71815</v>
      </c>
      <c r="U39" s="18" t="b">
        <v>1</v>
      </c>
      <c r="V39" s="4">
        <v>68819</v>
      </c>
      <c r="W39" s="4">
        <v>68819</v>
      </c>
      <c r="X39" s="3" t="b">
        <v>1</v>
      </c>
      <c r="Y39" s="18">
        <v>112</v>
      </c>
      <c r="Z39" s="18">
        <v>37765</v>
      </c>
      <c r="AA39" s="18">
        <v>29229</v>
      </c>
      <c r="AB39" s="18">
        <v>0</v>
      </c>
      <c r="AC39" s="18">
        <v>1713</v>
      </c>
      <c r="AD39" s="18">
        <v>0</v>
      </c>
      <c r="AE39" s="18">
        <v>68819</v>
      </c>
      <c r="AF39" s="4">
        <v>2996</v>
      </c>
      <c r="AG39" s="5">
        <v>4.1718303975492588E-2</v>
      </c>
      <c r="AH39" s="18">
        <f t="shared" si="0"/>
        <v>4643</v>
      </c>
      <c r="AI39" s="6">
        <v>0.28709807668474979</v>
      </c>
      <c r="AJ39" s="3">
        <v>0.28699999999999998</v>
      </c>
      <c r="AK39" s="6">
        <v>0.6279786669406221</v>
      </c>
      <c r="AL39" s="25">
        <v>0.628</v>
      </c>
      <c r="AM39" s="6">
        <v>0.26856768885564697</v>
      </c>
      <c r="AN39" s="3">
        <v>0.26900000000000002</v>
      </c>
      <c r="AO39" s="6">
        <v>0.63224827473893419</v>
      </c>
      <c r="AP39" s="6">
        <v>0.26152600857325264</v>
      </c>
      <c r="AQ39" s="6">
        <v>0.26200000000000001</v>
      </c>
      <c r="AR39" s="6">
        <v>0.64032506591386018</v>
      </c>
      <c r="AS39" s="6">
        <v>0.64</v>
      </c>
      <c r="AT39" s="6">
        <v>2.5572068111497148E-2</v>
      </c>
      <c r="AU39" s="6">
        <v>-1.2346398973238082E-2</v>
      </c>
      <c r="AV39" s="6">
        <v>7.0416802823943248E-3</v>
      </c>
      <c r="AW39" s="6">
        <v>-8.0767911749259902E-3</v>
      </c>
      <c r="AX39" s="7">
        <v>37</v>
      </c>
      <c r="AY39" s="7">
        <v>34</v>
      </c>
      <c r="AZ39" s="7">
        <v>32</v>
      </c>
      <c r="BA39" s="26">
        <v>-5</v>
      </c>
      <c r="BB39" s="26">
        <v>-2</v>
      </c>
      <c r="BC39" s="6">
        <v>0.27512083185083613</v>
      </c>
      <c r="BD39" s="6">
        <v>0.27500000000000002</v>
      </c>
      <c r="BE39" s="11">
        <v>0.63460462209521173</v>
      </c>
      <c r="BF39" s="7">
        <v>37</v>
      </c>
      <c r="BG39" s="26">
        <v>-5</v>
      </c>
      <c r="BH39" s="7">
        <v>0</v>
      </c>
    </row>
    <row r="40" spans="2:60" x14ac:dyDescent="0.25">
      <c r="B40" s="3">
        <v>37</v>
      </c>
      <c r="C40" s="3" t="s">
        <v>77</v>
      </c>
      <c r="D40" s="3" t="s">
        <v>78</v>
      </c>
      <c r="E40" s="3" t="s">
        <v>65</v>
      </c>
      <c r="F40" s="3">
        <v>4203</v>
      </c>
      <c r="G40" s="3">
        <v>4</v>
      </c>
      <c r="H40" s="3">
        <v>0.52200000000000002</v>
      </c>
      <c r="I40" s="4">
        <v>22879</v>
      </c>
      <c r="J40" s="4">
        <v>24408</v>
      </c>
      <c r="K40" s="4">
        <v>24170</v>
      </c>
      <c r="L40" s="4">
        <v>-1529</v>
      </c>
      <c r="M40" s="4">
        <v>5185</v>
      </c>
      <c r="N40" s="18">
        <v>3</v>
      </c>
      <c r="O40" s="18">
        <v>4895</v>
      </c>
      <c r="P40" s="18">
        <v>43</v>
      </c>
      <c r="Q40" s="18">
        <v>0</v>
      </c>
      <c r="R40" s="18">
        <v>244</v>
      </c>
      <c r="S40" s="18">
        <v>0</v>
      </c>
      <c r="T40" s="18">
        <v>5185</v>
      </c>
      <c r="U40" s="18" t="b">
        <v>1</v>
      </c>
      <c r="V40" s="4">
        <v>4611</v>
      </c>
      <c r="W40" s="4">
        <v>4611</v>
      </c>
      <c r="X40" s="3" t="b">
        <v>1</v>
      </c>
      <c r="Y40" s="18">
        <v>8</v>
      </c>
      <c r="Z40" s="18">
        <v>4385</v>
      </c>
      <c r="AA40" s="18">
        <v>0</v>
      </c>
      <c r="AB40" s="18">
        <v>0</v>
      </c>
      <c r="AC40" s="18">
        <v>218</v>
      </c>
      <c r="AD40" s="18">
        <v>0</v>
      </c>
      <c r="AE40" s="18">
        <v>4611</v>
      </c>
      <c r="AF40" s="4">
        <v>574</v>
      </c>
      <c r="AG40" s="5">
        <v>0.1107039537126326</v>
      </c>
      <c r="AH40" s="18">
        <f t="shared" si="0"/>
        <v>510</v>
      </c>
      <c r="AI40" s="6">
        <v>0.2266270378950129</v>
      </c>
      <c r="AJ40" s="3">
        <v>0.22700000000000001</v>
      </c>
      <c r="AK40" s="6">
        <v>0.56565155628071906</v>
      </c>
      <c r="AL40" s="25">
        <v>0.56599999999999995</v>
      </c>
      <c r="AM40" s="6">
        <v>0.21243035070468699</v>
      </c>
      <c r="AN40" s="3">
        <v>0.21199999999999999</v>
      </c>
      <c r="AO40" s="6">
        <v>0.56847625820505576</v>
      </c>
      <c r="AP40" s="6">
        <v>0.1907736863880844</v>
      </c>
      <c r="AQ40" s="6">
        <v>0.191</v>
      </c>
      <c r="AR40" s="6">
        <v>0.55795802086846469</v>
      </c>
      <c r="AS40" s="6">
        <v>0.55800000000000005</v>
      </c>
      <c r="AT40" s="6">
        <v>3.5853351506928505E-2</v>
      </c>
      <c r="AU40" s="6">
        <v>7.6935354122543709E-3</v>
      </c>
      <c r="AV40" s="6">
        <v>2.1656664316602597E-2</v>
      </c>
      <c r="AW40" s="6">
        <v>1.0518237336591074E-2</v>
      </c>
      <c r="AX40" s="26">
        <v>98</v>
      </c>
      <c r="AY40" s="26">
        <v>92</v>
      </c>
      <c r="AZ40" s="7">
        <v>103</v>
      </c>
      <c r="BA40" s="26">
        <v>5</v>
      </c>
      <c r="BB40" s="26">
        <v>11</v>
      </c>
      <c r="BC40" s="6">
        <v>0.20153852878185236</v>
      </c>
      <c r="BD40" s="6">
        <v>0.20200000000000001</v>
      </c>
      <c r="BE40" s="11">
        <v>0.55555705010249556</v>
      </c>
      <c r="BF40" s="26">
        <v>107</v>
      </c>
      <c r="BG40" s="26">
        <v>-4</v>
      </c>
      <c r="BH40" s="7">
        <v>9</v>
      </c>
    </row>
    <row r="41" spans="2:60" x14ac:dyDescent="0.25">
      <c r="B41" s="3">
        <v>38</v>
      </c>
      <c r="C41" s="3" t="s">
        <v>79</v>
      </c>
      <c r="D41" s="3" t="s">
        <v>80</v>
      </c>
      <c r="E41" s="3" t="s">
        <v>65</v>
      </c>
      <c r="F41" s="3">
        <v>4303</v>
      </c>
      <c r="G41" s="3">
        <v>4</v>
      </c>
      <c r="H41" s="3">
        <v>0.49099999999999999</v>
      </c>
      <c r="I41" s="4">
        <v>29997</v>
      </c>
      <c r="J41" s="4">
        <v>32672</v>
      </c>
      <c r="K41" s="4">
        <v>32657</v>
      </c>
      <c r="L41" s="4">
        <v>-2675</v>
      </c>
      <c r="M41" s="4">
        <v>1807</v>
      </c>
      <c r="N41" s="18">
        <v>0</v>
      </c>
      <c r="O41" s="18">
        <v>1587</v>
      </c>
      <c r="P41" s="18">
        <v>0</v>
      </c>
      <c r="Q41" s="18">
        <v>0</v>
      </c>
      <c r="R41" s="18">
        <v>220</v>
      </c>
      <c r="S41" s="18">
        <v>0</v>
      </c>
      <c r="T41" s="18">
        <v>1807</v>
      </c>
      <c r="U41" s="18" t="b">
        <v>1</v>
      </c>
      <c r="V41" s="4">
        <v>1438</v>
      </c>
      <c r="W41" s="4">
        <v>1438</v>
      </c>
      <c r="X41" s="3" t="b">
        <v>1</v>
      </c>
      <c r="Y41" s="18">
        <v>0</v>
      </c>
      <c r="Z41" s="18">
        <v>1269</v>
      </c>
      <c r="AA41" s="18">
        <v>0</v>
      </c>
      <c r="AB41" s="18">
        <v>0</v>
      </c>
      <c r="AC41" s="18">
        <v>169</v>
      </c>
      <c r="AD41" s="18">
        <v>0</v>
      </c>
      <c r="AE41" s="18">
        <v>1438</v>
      </c>
      <c r="AF41" s="4">
        <v>369</v>
      </c>
      <c r="AG41" s="5">
        <v>0.20420586607636967</v>
      </c>
      <c r="AH41" s="18">
        <f t="shared" si="0"/>
        <v>318</v>
      </c>
      <c r="AI41" s="6">
        <v>6.023935726906024E-2</v>
      </c>
      <c r="AJ41" s="3">
        <v>0.06</v>
      </c>
      <c r="AK41" s="6">
        <v>0.39415684426035252</v>
      </c>
      <c r="AL41" s="25">
        <v>0.39400000000000002</v>
      </c>
      <c r="AM41" s="6">
        <v>5.5307296767874631E-2</v>
      </c>
      <c r="AN41" s="3">
        <v>5.5E-2</v>
      </c>
      <c r="AO41" s="6">
        <v>0.38998446782898288</v>
      </c>
      <c r="AP41" s="6">
        <v>4.4033438466484977E-2</v>
      </c>
      <c r="AQ41" s="6">
        <v>4.3999999999999997E-2</v>
      </c>
      <c r="AR41" s="6">
        <v>0.38742343464771634</v>
      </c>
      <c r="AS41" s="6">
        <v>0.38800000000000001</v>
      </c>
      <c r="AT41" s="6">
        <v>1.6205918802575263E-2</v>
      </c>
      <c r="AU41" s="6">
        <v>6.7334096126361875E-3</v>
      </c>
      <c r="AV41" s="6">
        <v>1.1273858301389654E-2</v>
      </c>
      <c r="AW41" s="6">
        <v>2.5610331812665477E-3</v>
      </c>
      <c r="AX41" s="7">
        <v>290</v>
      </c>
      <c r="AY41" s="7">
        <v>295</v>
      </c>
      <c r="AZ41" s="7">
        <v>296</v>
      </c>
      <c r="BA41" s="26">
        <v>6</v>
      </c>
      <c r="BB41" s="26">
        <v>1</v>
      </c>
      <c r="BC41" s="6">
        <v>4.7938127146047935E-2</v>
      </c>
      <c r="BD41" s="6">
        <v>4.8000000000000001E-2</v>
      </c>
      <c r="BE41" s="11">
        <v>0.39054809686229291</v>
      </c>
      <c r="BF41" s="7">
        <v>295</v>
      </c>
      <c r="BG41" s="26">
        <v>1</v>
      </c>
      <c r="BH41" s="7">
        <v>5</v>
      </c>
    </row>
    <row r="42" spans="2:60" x14ac:dyDescent="0.25">
      <c r="B42" s="3">
        <v>39</v>
      </c>
      <c r="C42" s="3" t="s">
        <v>81</v>
      </c>
      <c r="D42" s="3" t="s">
        <v>82</v>
      </c>
      <c r="E42" s="3" t="s">
        <v>65</v>
      </c>
      <c r="F42" s="3">
        <v>4301</v>
      </c>
      <c r="G42" s="3">
        <v>4</v>
      </c>
      <c r="H42" s="3">
        <v>0.52100000000000002</v>
      </c>
      <c r="I42" s="4">
        <v>118696</v>
      </c>
      <c r="J42" s="4">
        <v>124401</v>
      </c>
      <c r="K42" s="4">
        <v>123724</v>
      </c>
      <c r="L42" s="4">
        <v>-5705</v>
      </c>
      <c r="M42" s="4">
        <v>19881</v>
      </c>
      <c r="N42" s="18">
        <v>0</v>
      </c>
      <c r="O42" s="18">
        <v>18921</v>
      </c>
      <c r="P42" s="18">
        <v>176</v>
      </c>
      <c r="Q42" s="18">
        <v>0</v>
      </c>
      <c r="R42" s="18">
        <v>784</v>
      </c>
      <c r="S42" s="18">
        <v>0</v>
      </c>
      <c r="T42" s="18">
        <v>19881</v>
      </c>
      <c r="U42" s="18" t="b">
        <v>1</v>
      </c>
      <c r="V42" s="4">
        <v>18839</v>
      </c>
      <c r="W42" s="4">
        <v>18839</v>
      </c>
      <c r="X42" s="3" t="b">
        <v>1</v>
      </c>
      <c r="Y42" s="18">
        <v>26</v>
      </c>
      <c r="Z42" s="18">
        <v>17892</v>
      </c>
      <c r="AA42" s="18">
        <v>0</v>
      </c>
      <c r="AB42" s="18">
        <v>0</v>
      </c>
      <c r="AC42" s="18">
        <v>921</v>
      </c>
      <c r="AD42" s="18">
        <v>0</v>
      </c>
      <c r="AE42" s="18">
        <v>18839</v>
      </c>
      <c r="AF42" s="4">
        <v>1042</v>
      </c>
      <c r="AG42" s="5">
        <v>5.2411850510537698E-2</v>
      </c>
      <c r="AH42" s="18">
        <f t="shared" si="0"/>
        <v>1029</v>
      </c>
      <c r="AI42" s="6">
        <v>0.16749511356743277</v>
      </c>
      <c r="AJ42" s="3">
        <v>0.16700000000000001</v>
      </c>
      <c r="AK42" s="6">
        <v>0.50470466228220556</v>
      </c>
      <c r="AL42" s="25">
        <v>0.505</v>
      </c>
      <c r="AM42" s="6">
        <v>0.15981382786312007</v>
      </c>
      <c r="AN42" s="3">
        <v>0.16</v>
      </c>
      <c r="AO42" s="6">
        <v>0.50870388788738308</v>
      </c>
      <c r="AP42" s="6">
        <v>0.15226633474507775</v>
      </c>
      <c r="AQ42" s="6">
        <v>0.152</v>
      </c>
      <c r="AR42" s="6">
        <v>0.51271415105479679</v>
      </c>
      <c r="AS42" s="6">
        <v>0.51300000000000001</v>
      </c>
      <c r="AT42" s="6">
        <v>1.5228778822355016E-2</v>
      </c>
      <c r="AU42" s="6">
        <v>-8.0094887725912223E-3</v>
      </c>
      <c r="AV42" s="6">
        <v>7.5474931180423144E-3</v>
      </c>
      <c r="AW42" s="6">
        <v>-4.0102631674137079E-3</v>
      </c>
      <c r="AX42" s="26">
        <v>156</v>
      </c>
      <c r="AY42" s="26">
        <v>147</v>
      </c>
      <c r="AZ42" s="7">
        <v>147</v>
      </c>
      <c r="BA42" s="26">
        <v>-9</v>
      </c>
      <c r="BB42" s="26">
        <v>0</v>
      </c>
      <c r="BC42" s="6">
        <v>0.15871638471389093</v>
      </c>
      <c r="BD42" s="6">
        <v>0.159</v>
      </c>
      <c r="BE42" s="11">
        <v>0.50955432424433367</v>
      </c>
      <c r="BF42" s="26">
        <v>147</v>
      </c>
      <c r="BG42" s="26">
        <v>0</v>
      </c>
      <c r="BH42" s="7">
        <v>-9</v>
      </c>
    </row>
    <row r="43" spans="2:60" x14ac:dyDescent="0.25">
      <c r="B43" s="3">
        <v>40</v>
      </c>
      <c r="C43" s="3" t="s">
        <v>83</v>
      </c>
      <c r="D43" s="3" t="s">
        <v>84</v>
      </c>
      <c r="E43" s="3" t="s">
        <v>65</v>
      </c>
      <c r="F43" s="3">
        <v>4105</v>
      </c>
      <c r="G43" s="3">
        <v>4</v>
      </c>
      <c r="H43" s="3">
        <v>0.45100000000000001</v>
      </c>
      <c r="I43" s="4">
        <v>4649</v>
      </c>
      <c r="J43" s="4">
        <v>4709</v>
      </c>
      <c r="K43" s="4">
        <v>4705</v>
      </c>
      <c r="L43" s="4">
        <v>-60</v>
      </c>
      <c r="M43" s="4">
        <v>95</v>
      </c>
      <c r="N43" s="18">
        <v>0</v>
      </c>
      <c r="O43" s="18">
        <v>0</v>
      </c>
      <c r="P43" s="18">
        <v>0</v>
      </c>
      <c r="Q43" s="18">
        <v>0</v>
      </c>
      <c r="R43" s="18">
        <v>95</v>
      </c>
      <c r="S43" s="18">
        <v>0</v>
      </c>
      <c r="T43" s="18">
        <v>95</v>
      </c>
      <c r="U43" s="18" t="b">
        <v>1</v>
      </c>
      <c r="V43" s="4">
        <v>71</v>
      </c>
      <c r="W43" s="4">
        <v>71</v>
      </c>
      <c r="X43" s="3" t="b">
        <v>1</v>
      </c>
      <c r="Y43" s="18">
        <v>0</v>
      </c>
      <c r="Z43" s="18">
        <v>0</v>
      </c>
      <c r="AA43" s="18">
        <v>0</v>
      </c>
      <c r="AB43" s="18">
        <v>0</v>
      </c>
      <c r="AC43" s="18">
        <v>71</v>
      </c>
      <c r="AD43" s="18">
        <v>0</v>
      </c>
      <c r="AE43" s="18">
        <v>71</v>
      </c>
      <c r="AF43" s="4">
        <v>24</v>
      </c>
      <c r="AG43" s="5">
        <v>0.25263157894736843</v>
      </c>
      <c r="AH43" s="18">
        <f t="shared" si="0"/>
        <v>0</v>
      </c>
      <c r="AI43" s="6">
        <v>2.0434502043450205E-2</v>
      </c>
      <c r="AJ43" s="3">
        <v>0.02</v>
      </c>
      <c r="AK43" s="6">
        <v>0.35313023605085248</v>
      </c>
      <c r="AL43" s="25">
        <v>0.35299999999999998</v>
      </c>
      <c r="AM43" s="6">
        <v>2.0174134635803781E-2</v>
      </c>
      <c r="AN43" s="3">
        <v>0.02</v>
      </c>
      <c r="AO43" s="6">
        <v>0.35007319540012549</v>
      </c>
      <c r="AP43" s="6">
        <v>1.5090329436769395E-2</v>
      </c>
      <c r="AQ43" s="6">
        <v>1.4999999999999999E-2</v>
      </c>
      <c r="AR43" s="6">
        <v>0.35378055709396328</v>
      </c>
      <c r="AS43" s="6">
        <v>0.35399999999999998</v>
      </c>
      <c r="AT43" s="6">
        <v>5.344172606680811E-3</v>
      </c>
      <c r="AU43" s="6">
        <v>-6.5032104311080197E-4</v>
      </c>
      <c r="AV43" s="6">
        <v>5.0838051990343865E-3</v>
      </c>
      <c r="AW43" s="6">
        <v>-3.7073616938377851E-3</v>
      </c>
      <c r="AX43" s="7">
        <v>339</v>
      </c>
      <c r="AY43" s="7">
        <v>337</v>
      </c>
      <c r="AZ43" s="7">
        <v>340</v>
      </c>
      <c r="BA43" s="26">
        <v>1</v>
      </c>
      <c r="BB43" s="26">
        <v>3</v>
      </c>
      <c r="BC43" s="6">
        <v>1.5272101527210152E-2</v>
      </c>
      <c r="BD43" s="6">
        <v>1.4999999999999999E-2</v>
      </c>
      <c r="BE43" s="11">
        <v>0.35545582733384129</v>
      </c>
      <c r="BF43" s="7">
        <v>340</v>
      </c>
      <c r="BG43" s="26">
        <v>0</v>
      </c>
      <c r="BH43" s="7">
        <v>1</v>
      </c>
    </row>
    <row r="44" spans="2:60" x14ac:dyDescent="0.25">
      <c r="B44" s="3">
        <v>41</v>
      </c>
      <c r="C44" s="3" t="s">
        <v>85</v>
      </c>
      <c r="D44" s="3" t="s">
        <v>86</v>
      </c>
      <c r="E44" s="3" t="s">
        <v>65</v>
      </c>
      <c r="F44" s="3">
        <v>4304</v>
      </c>
      <c r="G44" s="3">
        <v>4</v>
      </c>
      <c r="H44" s="3">
        <v>0.48299999999999998</v>
      </c>
      <c r="I44" s="4">
        <v>12076</v>
      </c>
      <c r="J44" s="4">
        <v>12514</v>
      </c>
      <c r="K44" s="4">
        <v>12438</v>
      </c>
      <c r="L44" s="4">
        <v>-438</v>
      </c>
      <c r="M44" s="4">
        <v>981</v>
      </c>
      <c r="N44" s="18">
        <v>0</v>
      </c>
      <c r="O44" s="18">
        <v>834</v>
      </c>
      <c r="P44" s="18">
        <v>0</v>
      </c>
      <c r="Q44" s="18">
        <v>0</v>
      </c>
      <c r="R44" s="18">
        <v>147</v>
      </c>
      <c r="S44" s="18">
        <v>0</v>
      </c>
      <c r="T44" s="18">
        <v>981</v>
      </c>
      <c r="U44" s="18" t="b">
        <v>1</v>
      </c>
      <c r="V44" s="4">
        <v>694</v>
      </c>
      <c r="W44" s="4">
        <v>694</v>
      </c>
      <c r="X44" s="3" t="b">
        <v>1</v>
      </c>
      <c r="Y44" s="18">
        <v>3</v>
      </c>
      <c r="Z44" s="18">
        <v>561</v>
      </c>
      <c r="AA44" s="18">
        <v>0</v>
      </c>
      <c r="AB44" s="18">
        <v>0</v>
      </c>
      <c r="AC44" s="18">
        <v>130</v>
      </c>
      <c r="AD44" s="18">
        <v>0</v>
      </c>
      <c r="AE44" s="18">
        <v>694</v>
      </c>
      <c r="AF44" s="4">
        <v>287</v>
      </c>
      <c r="AG44" s="5">
        <v>0.29255861365953106</v>
      </c>
      <c r="AH44" s="18">
        <f t="shared" si="0"/>
        <v>273</v>
      </c>
      <c r="AI44" s="6">
        <v>8.1235508446505469E-2</v>
      </c>
      <c r="AJ44" s="3">
        <v>8.1000000000000003E-2</v>
      </c>
      <c r="AK44" s="6">
        <v>0.41579744220706383</v>
      </c>
      <c r="AL44" s="25">
        <v>0.41599999999999998</v>
      </c>
      <c r="AM44" s="6">
        <v>7.8392200735176595E-2</v>
      </c>
      <c r="AN44" s="3">
        <v>7.8E-2</v>
      </c>
      <c r="AO44" s="6">
        <v>0.41620891889801881</v>
      </c>
      <c r="AP44" s="6">
        <v>5.5796751889371284E-2</v>
      </c>
      <c r="AQ44" s="6">
        <v>5.6000000000000001E-2</v>
      </c>
      <c r="AR44" s="6">
        <v>0.40134462535961413</v>
      </c>
      <c r="AS44" s="6">
        <v>0.40100000000000002</v>
      </c>
      <c r="AT44" s="6">
        <v>2.5438756557134186E-2</v>
      </c>
      <c r="AU44" s="6">
        <v>1.4452816847449701E-2</v>
      </c>
      <c r="AV44" s="6">
        <v>2.2595448845805312E-2</v>
      </c>
      <c r="AW44" s="6">
        <v>1.4864293538404683E-2</v>
      </c>
      <c r="AX44" s="26">
        <v>261</v>
      </c>
      <c r="AY44" s="26">
        <v>257</v>
      </c>
      <c r="AZ44" s="7">
        <v>277</v>
      </c>
      <c r="BA44" s="26">
        <v>16</v>
      </c>
      <c r="BB44" s="26">
        <v>20</v>
      </c>
      <c r="BC44" s="6">
        <v>5.7469360715468695E-2</v>
      </c>
      <c r="BD44" s="6">
        <v>5.7000000000000002E-2</v>
      </c>
      <c r="BE44" s="11">
        <v>0.40078725546883781</v>
      </c>
      <c r="BF44" s="26">
        <v>275</v>
      </c>
      <c r="BG44" s="26">
        <v>2</v>
      </c>
      <c r="BH44" s="7">
        <v>14</v>
      </c>
    </row>
    <row r="45" spans="2:60" x14ac:dyDescent="0.25">
      <c r="B45" s="3">
        <v>42</v>
      </c>
      <c r="C45" s="3" t="s">
        <v>87</v>
      </c>
      <c r="D45" s="3" t="s">
        <v>88</v>
      </c>
      <c r="E45" s="3" t="s">
        <v>65</v>
      </c>
      <c r="F45" s="3">
        <v>4305</v>
      </c>
      <c r="G45" s="3">
        <v>4</v>
      </c>
      <c r="H45" s="3"/>
      <c r="I45" s="4">
        <v>4334</v>
      </c>
      <c r="J45" s="4">
        <v>4308</v>
      </c>
      <c r="K45" s="4">
        <v>4326</v>
      </c>
      <c r="L45" s="4">
        <v>26</v>
      </c>
      <c r="M45" s="4">
        <v>48</v>
      </c>
      <c r="N45" s="18">
        <v>0</v>
      </c>
      <c r="O45" s="18">
        <v>0</v>
      </c>
      <c r="P45" s="18">
        <v>0</v>
      </c>
      <c r="Q45" s="18">
        <v>0</v>
      </c>
      <c r="R45" s="18">
        <v>48</v>
      </c>
      <c r="S45" s="18">
        <v>0</v>
      </c>
      <c r="T45" s="18">
        <v>48</v>
      </c>
      <c r="U45" s="18" t="b">
        <v>1</v>
      </c>
      <c r="V45" s="4">
        <v>33</v>
      </c>
      <c r="W45" s="4">
        <v>33</v>
      </c>
      <c r="X45" s="3" t="b">
        <v>1</v>
      </c>
      <c r="Y45" s="18">
        <v>0</v>
      </c>
      <c r="Z45" s="18">
        <v>0</v>
      </c>
      <c r="AA45" s="18">
        <v>0</v>
      </c>
      <c r="AB45" s="18">
        <v>0</v>
      </c>
      <c r="AC45" s="18">
        <v>33</v>
      </c>
      <c r="AD45" s="18">
        <v>0</v>
      </c>
      <c r="AE45" s="18">
        <v>33</v>
      </c>
      <c r="AF45" s="4">
        <v>15</v>
      </c>
      <c r="AG45" s="5">
        <v>0.3125</v>
      </c>
      <c r="AH45" s="18">
        <f t="shared" si="0"/>
        <v>0</v>
      </c>
      <c r="AI45" s="6">
        <v>1.1075219197046609E-2</v>
      </c>
      <c r="AJ45" s="3">
        <v>1.0999999999999999E-2</v>
      </c>
      <c r="AK45" s="6">
        <v>0.34348368343095387</v>
      </c>
      <c r="AL45" s="25">
        <v>0.34300000000000003</v>
      </c>
      <c r="AM45" s="6">
        <v>1.1142061281337047E-2</v>
      </c>
      <c r="AN45" s="3">
        <v>1.0999999999999999E-2</v>
      </c>
      <c r="AO45" s="6">
        <v>0.33981276000599725</v>
      </c>
      <c r="AP45" s="6">
        <v>7.6282940360610264E-3</v>
      </c>
      <c r="AQ45" s="6">
        <v>8.0000000000000002E-3</v>
      </c>
      <c r="AR45" s="6">
        <v>0.34565986251202285</v>
      </c>
      <c r="AS45" s="6">
        <v>0.34599999999999997</v>
      </c>
      <c r="AT45" s="6">
        <v>3.4469251609855825E-3</v>
      </c>
      <c r="AU45" s="6">
        <v>-2.1761790810689852E-3</v>
      </c>
      <c r="AV45" s="6">
        <v>3.513767245276021E-3</v>
      </c>
      <c r="AW45" s="6">
        <v>-5.8471025060256032E-3</v>
      </c>
      <c r="AX45" s="7">
        <v>344</v>
      </c>
      <c r="AY45" s="7">
        <v>344</v>
      </c>
      <c r="AZ45" s="7">
        <v>342</v>
      </c>
      <c r="BA45" s="26">
        <v>-2</v>
      </c>
      <c r="BB45" s="26">
        <v>-2</v>
      </c>
      <c r="BC45" s="6">
        <v>7.6142131979695434E-3</v>
      </c>
      <c r="BD45" s="6">
        <v>8.0000000000000002E-3</v>
      </c>
      <c r="BE45" s="11">
        <v>0.34722915524326647</v>
      </c>
      <c r="BF45" s="7">
        <v>343</v>
      </c>
      <c r="BG45" s="26">
        <v>-1</v>
      </c>
      <c r="BH45" s="7">
        <v>-1</v>
      </c>
    </row>
    <row r="46" spans="2:60" x14ac:dyDescent="0.25">
      <c r="B46" s="3">
        <v>43</v>
      </c>
      <c r="C46" s="3" t="s">
        <v>89</v>
      </c>
      <c r="D46" s="3" t="s">
        <v>90</v>
      </c>
      <c r="E46" s="3" t="s">
        <v>65</v>
      </c>
      <c r="F46" s="3">
        <v>4204</v>
      </c>
      <c r="G46" s="3">
        <v>4</v>
      </c>
      <c r="H46" s="3">
        <v>0.443</v>
      </c>
      <c r="I46" s="4">
        <v>27823</v>
      </c>
      <c r="J46" s="4">
        <v>29916</v>
      </c>
      <c r="K46" s="4">
        <v>29743</v>
      </c>
      <c r="L46" s="4">
        <v>-2093</v>
      </c>
      <c r="M46" s="4">
        <v>1826</v>
      </c>
      <c r="N46" s="18">
        <v>0</v>
      </c>
      <c r="O46" s="18">
        <v>1610</v>
      </c>
      <c r="P46" s="18">
        <v>0</v>
      </c>
      <c r="Q46" s="18">
        <v>0</v>
      </c>
      <c r="R46" s="18">
        <v>216</v>
      </c>
      <c r="S46" s="18">
        <v>0</v>
      </c>
      <c r="T46" s="18">
        <v>1826</v>
      </c>
      <c r="U46" s="18" t="b">
        <v>1</v>
      </c>
      <c r="V46" s="4">
        <v>1608</v>
      </c>
      <c r="W46" s="4">
        <v>1608</v>
      </c>
      <c r="X46" s="3" t="b">
        <v>1</v>
      </c>
      <c r="Y46" s="18">
        <v>12</v>
      </c>
      <c r="Z46" s="18">
        <v>1407</v>
      </c>
      <c r="AA46" s="18">
        <v>0</v>
      </c>
      <c r="AB46" s="18">
        <v>0</v>
      </c>
      <c r="AC46" s="18">
        <v>189</v>
      </c>
      <c r="AD46" s="18">
        <v>0</v>
      </c>
      <c r="AE46" s="18">
        <v>1608</v>
      </c>
      <c r="AF46" s="4">
        <v>218</v>
      </c>
      <c r="AG46" s="5">
        <v>0.11938663745892661</v>
      </c>
      <c r="AH46" s="18">
        <f t="shared" si="0"/>
        <v>203</v>
      </c>
      <c r="AI46" s="6">
        <v>6.562915573446429E-2</v>
      </c>
      <c r="AJ46" s="3">
        <v>6.6000000000000003E-2</v>
      </c>
      <c r="AK46" s="6">
        <v>0.39971207486513627</v>
      </c>
      <c r="AL46" s="25">
        <v>0.4</v>
      </c>
      <c r="AM46" s="6">
        <v>6.1037571867896781E-2</v>
      </c>
      <c r="AN46" s="3">
        <v>6.0999999999999999E-2</v>
      </c>
      <c r="AO46" s="6">
        <v>0.39649406038286555</v>
      </c>
      <c r="AP46" s="6">
        <v>5.4063140907104193E-2</v>
      </c>
      <c r="AQ46" s="6">
        <v>5.3999999999999999E-2</v>
      </c>
      <c r="AR46" s="6">
        <v>0.39902442690763118</v>
      </c>
      <c r="AS46" s="6">
        <v>0.39900000000000002</v>
      </c>
      <c r="AT46" s="6">
        <v>1.1566014827360097E-2</v>
      </c>
      <c r="AU46" s="6">
        <v>6.8764795750508867E-4</v>
      </c>
      <c r="AV46" s="6">
        <v>6.9744309607925881E-3</v>
      </c>
      <c r="AW46" s="6">
        <v>-2.530366524765626E-3</v>
      </c>
      <c r="AX46" s="26">
        <v>284</v>
      </c>
      <c r="AY46" s="26">
        <v>289</v>
      </c>
      <c r="AZ46" s="7">
        <v>283</v>
      </c>
      <c r="BA46" s="26">
        <v>-1</v>
      </c>
      <c r="BB46" s="26">
        <v>-6</v>
      </c>
      <c r="BC46" s="6">
        <v>5.7793911512058371E-2</v>
      </c>
      <c r="BD46" s="6">
        <v>5.8000000000000003E-2</v>
      </c>
      <c r="BE46" s="11">
        <v>0.4011359120260356</v>
      </c>
      <c r="BF46" s="26">
        <v>274</v>
      </c>
      <c r="BG46" s="26">
        <v>9</v>
      </c>
      <c r="BH46" s="7">
        <v>-10</v>
      </c>
    </row>
    <row r="47" spans="2:60" x14ac:dyDescent="0.25">
      <c r="B47" s="3">
        <v>44</v>
      </c>
      <c r="C47" s="3" t="s">
        <v>91</v>
      </c>
      <c r="D47" s="3" t="s">
        <v>92</v>
      </c>
      <c r="E47" s="3" t="s">
        <v>65</v>
      </c>
      <c r="F47" s="3">
        <v>4106</v>
      </c>
      <c r="G47" s="3">
        <v>4</v>
      </c>
      <c r="H47" s="3">
        <v>0.54100000000000004</v>
      </c>
      <c r="I47" s="4">
        <v>28047</v>
      </c>
      <c r="J47" s="4">
        <v>30541</v>
      </c>
      <c r="K47" s="4">
        <v>30370</v>
      </c>
      <c r="L47" s="4">
        <v>-2494</v>
      </c>
      <c r="M47" s="4">
        <v>2809</v>
      </c>
      <c r="N47" s="18">
        <v>0</v>
      </c>
      <c r="O47" s="18">
        <v>2506</v>
      </c>
      <c r="P47" s="18">
        <v>0</v>
      </c>
      <c r="Q47" s="18">
        <v>0</v>
      </c>
      <c r="R47" s="18">
        <v>303</v>
      </c>
      <c r="S47" s="18">
        <v>0</v>
      </c>
      <c r="T47" s="18">
        <v>2809</v>
      </c>
      <c r="U47" s="18" t="b">
        <v>1</v>
      </c>
      <c r="V47" s="4">
        <v>2533</v>
      </c>
      <c r="W47" s="4">
        <v>2533</v>
      </c>
      <c r="X47" s="3" t="b">
        <v>1</v>
      </c>
      <c r="Y47" s="18">
        <v>4</v>
      </c>
      <c r="Z47" s="18">
        <v>2260</v>
      </c>
      <c r="AA47" s="18">
        <v>0</v>
      </c>
      <c r="AB47" s="18">
        <v>0</v>
      </c>
      <c r="AC47" s="18">
        <v>269</v>
      </c>
      <c r="AD47" s="18">
        <v>0</v>
      </c>
      <c r="AE47" s="18">
        <v>2533</v>
      </c>
      <c r="AF47" s="4">
        <v>276</v>
      </c>
      <c r="AG47" s="5">
        <v>9.8255606977572088E-2</v>
      </c>
      <c r="AH47" s="18">
        <f t="shared" si="0"/>
        <v>246</v>
      </c>
      <c r="AI47" s="6">
        <v>0.10015331407993724</v>
      </c>
      <c r="AJ47" s="3">
        <v>0.1</v>
      </c>
      <c r="AK47" s="6">
        <v>0.43529590277191776</v>
      </c>
      <c r="AL47" s="25">
        <v>0.435</v>
      </c>
      <c r="AM47" s="6">
        <v>9.1974722504174711E-2</v>
      </c>
      <c r="AN47" s="3">
        <v>9.1999999999999998E-2</v>
      </c>
      <c r="AO47" s="6">
        <v>0.43163866372302351</v>
      </c>
      <c r="AP47" s="6">
        <v>8.3404675666776423E-2</v>
      </c>
      <c r="AQ47" s="6">
        <v>8.3000000000000004E-2</v>
      </c>
      <c r="AR47" s="6">
        <v>0.43266730446138424</v>
      </c>
      <c r="AS47" s="6">
        <v>0.433</v>
      </c>
      <c r="AT47" s="6">
        <v>1.6748638413160821E-2</v>
      </c>
      <c r="AU47" s="6">
        <v>2.6285983105335253E-3</v>
      </c>
      <c r="AV47" s="6">
        <v>8.5700468373982874E-3</v>
      </c>
      <c r="AW47" s="6">
        <v>-1.028640738360731E-3</v>
      </c>
      <c r="AX47" s="7">
        <v>237</v>
      </c>
      <c r="AY47" s="7">
        <v>242</v>
      </c>
      <c r="AZ47" s="7">
        <v>238</v>
      </c>
      <c r="BA47" s="26">
        <v>1</v>
      </c>
      <c r="BB47" s="26">
        <v>-4</v>
      </c>
      <c r="BC47" s="6">
        <v>9.0312689414197594E-2</v>
      </c>
      <c r="BD47" s="6">
        <v>0.09</v>
      </c>
      <c r="BE47" s="11">
        <v>0.43606999712696826</v>
      </c>
      <c r="BF47" s="7">
        <v>238</v>
      </c>
      <c r="BG47" s="26">
        <v>0</v>
      </c>
      <c r="BH47" s="7">
        <v>1</v>
      </c>
    </row>
    <row r="48" spans="2:60" x14ac:dyDescent="0.25">
      <c r="B48" s="3">
        <v>45</v>
      </c>
      <c r="C48" s="3" t="s">
        <v>93</v>
      </c>
      <c r="D48" s="3" t="s">
        <v>94</v>
      </c>
      <c r="E48" s="3" t="s">
        <v>95</v>
      </c>
      <c r="F48" s="3">
        <v>5602</v>
      </c>
      <c r="G48" s="3">
        <v>5</v>
      </c>
      <c r="H48" s="3">
        <v>0.59699999999999998</v>
      </c>
      <c r="I48" s="4">
        <v>16076</v>
      </c>
      <c r="J48" s="4">
        <v>16095</v>
      </c>
      <c r="K48" s="4">
        <v>15886</v>
      </c>
      <c r="L48" s="4">
        <v>-19</v>
      </c>
      <c r="M48" s="4">
        <v>7327</v>
      </c>
      <c r="N48" s="18">
        <v>0</v>
      </c>
      <c r="O48" s="18">
        <v>6680</v>
      </c>
      <c r="P48" s="18">
        <v>0</v>
      </c>
      <c r="Q48" s="18">
        <v>0</v>
      </c>
      <c r="R48" s="18">
        <v>647</v>
      </c>
      <c r="S48" s="18">
        <v>0</v>
      </c>
      <c r="T48" s="18">
        <v>7327</v>
      </c>
      <c r="U48" s="18" t="b">
        <v>1</v>
      </c>
      <c r="V48" s="4">
        <v>6501</v>
      </c>
      <c r="W48" s="4">
        <v>6501</v>
      </c>
      <c r="X48" s="3" t="b">
        <v>1</v>
      </c>
      <c r="Y48" s="18">
        <v>14</v>
      </c>
      <c r="Z48" s="18">
        <v>5931</v>
      </c>
      <c r="AA48" s="18">
        <v>0</v>
      </c>
      <c r="AB48" s="18">
        <v>0</v>
      </c>
      <c r="AC48" s="18">
        <v>556</v>
      </c>
      <c r="AD48" s="18">
        <v>0</v>
      </c>
      <c r="AE48" s="18">
        <v>6501</v>
      </c>
      <c r="AF48" s="4">
        <v>826</v>
      </c>
      <c r="AG48" s="5">
        <v>0.11273372458031937</v>
      </c>
      <c r="AH48" s="18">
        <f t="shared" si="0"/>
        <v>749</v>
      </c>
      <c r="AI48" s="6">
        <v>0.45577258024384176</v>
      </c>
      <c r="AJ48" s="3">
        <v>0.45600000000000002</v>
      </c>
      <c r="AK48" s="6">
        <v>0.80183039264664679</v>
      </c>
      <c r="AL48" s="25">
        <v>0.80200000000000005</v>
      </c>
      <c r="AM48" s="6">
        <v>0.45523454488971732</v>
      </c>
      <c r="AN48" s="3">
        <v>0.45500000000000002</v>
      </c>
      <c r="AO48" s="6">
        <v>0.84430182450504943</v>
      </c>
      <c r="AP48" s="6">
        <v>0.40922825129044443</v>
      </c>
      <c r="AQ48" s="6">
        <v>0.40899999999999997</v>
      </c>
      <c r="AR48" s="6">
        <v>0.81085965213460842</v>
      </c>
      <c r="AS48" s="6">
        <v>0.81100000000000005</v>
      </c>
      <c r="AT48" s="6">
        <v>4.6544328953397329E-2</v>
      </c>
      <c r="AU48" s="6">
        <v>-9.0292594879616273E-3</v>
      </c>
      <c r="AV48" s="6">
        <v>4.6006293599272885E-2</v>
      </c>
      <c r="AW48" s="6">
        <v>3.3442172370441003E-2</v>
      </c>
      <c r="AX48" s="26">
        <v>2</v>
      </c>
      <c r="AY48" s="26">
        <v>1</v>
      </c>
      <c r="AZ48" s="7">
        <v>1</v>
      </c>
      <c r="BA48" s="26">
        <v>-1</v>
      </c>
      <c r="BB48" s="26">
        <v>0</v>
      </c>
      <c r="BC48" s="6">
        <v>0.40439163971137099</v>
      </c>
      <c r="BD48" s="6">
        <v>0.40400000000000003</v>
      </c>
      <c r="BE48" s="11">
        <v>0.77347691970911314</v>
      </c>
      <c r="BF48" s="26">
        <v>2</v>
      </c>
      <c r="BG48" s="26">
        <v>-1</v>
      </c>
      <c r="BH48" s="7">
        <v>0</v>
      </c>
    </row>
    <row r="49" spans="2:60" x14ac:dyDescent="0.25">
      <c r="B49" s="3">
        <v>46</v>
      </c>
      <c r="C49" s="3" t="s">
        <v>96</v>
      </c>
      <c r="D49" s="3" t="s">
        <v>97</v>
      </c>
      <c r="E49" s="3" t="s">
        <v>95</v>
      </c>
      <c r="F49" s="3">
        <v>5402</v>
      </c>
      <c r="G49" s="3">
        <v>5</v>
      </c>
      <c r="H49" s="3">
        <v>0.47199999999999998</v>
      </c>
      <c r="I49" s="4">
        <v>20015</v>
      </c>
      <c r="J49" s="4">
        <v>20757</v>
      </c>
      <c r="K49" s="4">
        <v>20748</v>
      </c>
      <c r="L49" s="4">
        <v>-742</v>
      </c>
      <c r="M49" s="4">
        <v>2338</v>
      </c>
      <c r="N49" s="18">
        <v>0</v>
      </c>
      <c r="O49" s="18">
        <v>2209</v>
      </c>
      <c r="P49" s="18">
        <v>18</v>
      </c>
      <c r="Q49" s="18">
        <v>0</v>
      </c>
      <c r="R49" s="18">
        <v>111</v>
      </c>
      <c r="S49" s="18">
        <v>0</v>
      </c>
      <c r="T49" s="18">
        <v>2338</v>
      </c>
      <c r="U49" s="18" t="b">
        <v>1</v>
      </c>
      <c r="V49" s="4">
        <v>2140</v>
      </c>
      <c r="W49" s="4">
        <v>2140</v>
      </c>
      <c r="X49" s="3" t="b">
        <v>1</v>
      </c>
      <c r="Y49" s="18">
        <v>13</v>
      </c>
      <c r="Z49" s="18">
        <v>2045</v>
      </c>
      <c r="AA49" s="18">
        <v>0</v>
      </c>
      <c r="AB49" s="18">
        <v>0</v>
      </c>
      <c r="AC49" s="18">
        <v>82</v>
      </c>
      <c r="AD49" s="18">
        <v>0</v>
      </c>
      <c r="AE49" s="18">
        <v>2140</v>
      </c>
      <c r="AF49" s="4">
        <v>198</v>
      </c>
      <c r="AG49" s="5">
        <v>8.4687767322497859E-2</v>
      </c>
      <c r="AH49" s="18">
        <f t="shared" si="0"/>
        <v>164</v>
      </c>
      <c r="AI49" s="6">
        <v>0.11681239070696978</v>
      </c>
      <c r="AJ49" s="3">
        <v>0.11700000000000001</v>
      </c>
      <c r="AK49" s="6">
        <v>0.45246630588067144</v>
      </c>
      <c r="AL49" s="25">
        <v>0.45200000000000001</v>
      </c>
      <c r="AM49" s="6">
        <v>0.112636700871995</v>
      </c>
      <c r="AN49" s="3">
        <v>0.113</v>
      </c>
      <c r="AO49" s="6">
        <v>0.45511067129402621</v>
      </c>
      <c r="AP49" s="6">
        <v>0.1031424715635242</v>
      </c>
      <c r="AQ49" s="6">
        <v>0.10299999999999999</v>
      </c>
      <c r="AR49" s="6">
        <v>0.45586928898121398</v>
      </c>
      <c r="AS49" s="6">
        <v>0.45600000000000002</v>
      </c>
      <c r="AT49" s="6">
        <v>1.3669919143445577E-2</v>
      </c>
      <c r="AU49" s="6">
        <v>-3.4029831005425448E-3</v>
      </c>
      <c r="AV49" s="6">
        <v>9.4942293084707974E-3</v>
      </c>
      <c r="AW49" s="6">
        <v>-7.5861768718776812E-4</v>
      </c>
      <c r="AX49" s="7">
        <v>217</v>
      </c>
      <c r="AY49" s="7">
        <v>214</v>
      </c>
      <c r="AZ49" s="7">
        <v>210</v>
      </c>
      <c r="BA49" s="26">
        <v>-7</v>
      </c>
      <c r="BB49" s="26">
        <v>-4</v>
      </c>
      <c r="BC49" s="6">
        <v>0.1069198101423932</v>
      </c>
      <c r="BD49" s="6">
        <v>0.107</v>
      </c>
      <c r="BE49" s="11">
        <v>0.45391059896465547</v>
      </c>
      <c r="BF49" s="7">
        <v>211</v>
      </c>
      <c r="BG49" s="26">
        <v>-1</v>
      </c>
      <c r="BH49" s="7">
        <v>-6</v>
      </c>
    </row>
    <row r="50" spans="2:60" x14ac:dyDescent="0.25">
      <c r="B50" s="3">
        <v>47</v>
      </c>
      <c r="C50" s="3" t="s">
        <v>98</v>
      </c>
      <c r="D50" s="3" t="s">
        <v>99</v>
      </c>
      <c r="E50" s="3" t="s">
        <v>95</v>
      </c>
      <c r="F50" s="3">
        <v>5502</v>
      </c>
      <c r="G50" s="3">
        <v>5</v>
      </c>
      <c r="H50" s="3">
        <v>0.56200000000000006</v>
      </c>
      <c r="I50" s="4">
        <v>50631</v>
      </c>
      <c r="J50" s="4">
        <v>53902</v>
      </c>
      <c r="K50" s="4">
        <v>53855</v>
      </c>
      <c r="L50" s="4">
        <v>-3271</v>
      </c>
      <c r="M50" s="4">
        <v>12764</v>
      </c>
      <c r="N50" s="18">
        <v>2</v>
      </c>
      <c r="O50" s="18">
        <v>6059</v>
      </c>
      <c r="P50" s="18">
        <v>6569</v>
      </c>
      <c r="Q50" s="18">
        <v>0</v>
      </c>
      <c r="R50" s="18">
        <v>134</v>
      </c>
      <c r="S50" s="18">
        <v>0</v>
      </c>
      <c r="T50" s="18">
        <v>12764</v>
      </c>
      <c r="U50" s="18" t="b">
        <v>1</v>
      </c>
      <c r="V50" s="4">
        <v>12492</v>
      </c>
      <c r="W50" s="4">
        <v>12492</v>
      </c>
      <c r="X50" s="3" t="b">
        <v>1</v>
      </c>
      <c r="Y50" s="18">
        <v>17</v>
      </c>
      <c r="Z50" s="18">
        <v>5244</v>
      </c>
      <c r="AA50" s="18">
        <v>7051</v>
      </c>
      <c r="AB50" s="18">
        <v>0</v>
      </c>
      <c r="AC50" s="18">
        <v>180</v>
      </c>
      <c r="AD50" s="18">
        <v>0</v>
      </c>
      <c r="AE50" s="18">
        <v>12492</v>
      </c>
      <c r="AF50" s="4">
        <v>272</v>
      </c>
      <c r="AG50" s="5">
        <v>2.1309934189909119E-2</v>
      </c>
      <c r="AH50" s="18">
        <f t="shared" si="0"/>
        <v>815</v>
      </c>
      <c r="AI50" s="6">
        <v>0.25209851671900613</v>
      </c>
      <c r="AJ50" s="3">
        <v>0.252</v>
      </c>
      <c r="AK50" s="6">
        <v>0.59190484564216861</v>
      </c>
      <c r="AL50" s="25">
        <v>0.59199999999999997</v>
      </c>
      <c r="AM50" s="6">
        <v>0.23680011873399873</v>
      </c>
      <c r="AN50" s="3">
        <v>0.23699999999999999</v>
      </c>
      <c r="AO50" s="6">
        <v>0.59616031485756149</v>
      </c>
      <c r="AP50" s="6">
        <v>0.23195617862779686</v>
      </c>
      <c r="AQ50" s="6">
        <v>0.23200000000000001</v>
      </c>
      <c r="AR50" s="6">
        <v>0.60552208913411554</v>
      </c>
      <c r="AS50" s="6">
        <v>0.60499999999999998</v>
      </c>
      <c r="AT50" s="6">
        <v>2.0142338091209272E-2</v>
      </c>
      <c r="AU50" s="6">
        <v>-1.3617243491946929E-2</v>
      </c>
      <c r="AV50" s="6">
        <v>4.8439401062018717E-3</v>
      </c>
      <c r="AW50" s="6">
        <v>-9.3617742765540468E-3</v>
      </c>
      <c r="AX50" s="26">
        <v>65</v>
      </c>
      <c r="AY50" s="26">
        <v>62</v>
      </c>
      <c r="AZ50" s="7">
        <v>55</v>
      </c>
      <c r="BA50" s="26">
        <v>-10</v>
      </c>
      <c r="BB50" s="26">
        <v>-7</v>
      </c>
      <c r="BC50" s="6">
        <v>0.24672631391835043</v>
      </c>
      <c r="BD50" s="6">
        <v>0.247</v>
      </c>
      <c r="BE50" s="11">
        <v>0.60410112319871234</v>
      </c>
      <c r="BF50" s="26">
        <v>57</v>
      </c>
      <c r="BG50" s="26">
        <v>-2</v>
      </c>
      <c r="BH50" s="7">
        <v>-8</v>
      </c>
    </row>
    <row r="51" spans="2:60" x14ac:dyDescent="0.25">
      <c r="B51" s="3">
        <v>48</v>
      </c>
      <c r="C51" s="3" t="s">
        <v>100</v>
      </c>
      <c r="D51" s="3" t="s">
        <v>101</v>
      </c>
      <c r="E51" s="3" t="s">
        <v>95</v>
      </c>
      <c r="F51" s="3">
        <v>5302</v>
      </c>
      <c r="G51" s="3">
        <v>5</v>
      </c>
      <c r="H51" s="3">
        <v>0.56399999999999995</v>
      </c>
      <c r="I51" s="4">
        <v>16597</v>
      </c>
      <c r="J51" s="4">
        <v>17673</v>
      </c>
      <c r="K51" s="4">
        <v>17388</v>
      </c>
      <c r="L51" s="4">
        <v>-1076</v>
      </c>
      <c r="M51" s="4">
        <v>3219</v>
      </c>
      <c r="N51" s="18">
        <v>0</v>
      </c>
      <c r="O51" s="18">
        <v>3171</v>
      </c>
      <c r="P51" s="18">
        <v>2</v>
      </c>
      <c r="Q51" s="18">
        <v>0</v>
      </c>
      <c r="R51" s="18">
        <v>46</v>
      </c>
      <c r="S51" s="18">
        <v>0</v>
      </c>
      <c r="T51" s="18">
        <v>3219</v>
      </c>
      <c r="U51" s="18" t="b">
        <v>1</v>
      </c>
      <c r="V51" s="4">
        <v>2844</v>
      </c>
      <c r="W51" s="4">
        <v>2844</v>
      </c>
      <c r="X51" s="3" t="b">
        <v>1</v>
      </c>
      <c r="Y51" s="18">
        <v>0</v>
      </c>
      <c r="Z51" s="18">
        <v>2810</v>
      </c>
      <c r="AA51" s="18">
        <v>0</v>
      </c>
      <c r="AB51" s="18">
        <v>0</v>
      </c>
      <c r="AC51" s="18">
        <v>34</v>
      </c>
      <c r="AD51" s="18">
        <v>0</v>
      </c>
      <c r="AE51" s="18">
        <v>2844</v>
      </c>
      <c r="AF51" s="4">
        <v>375</v>
      </c>
      <c r="AG51" s="5">
        <v>0.11649580615097857</v>
      </c>
      <c r="AH51" s="18">
        <f t="shared" si="0"/>
        <v>361</v>
      </c>
      <c r="AI51" s="6">
        <v>0.19395071398445501</v>
      </c>
      <c r="AJ51" s="3">
        <v>0.19400000000000001</v>
      </c>
      <c r="AK51" s="6">
        <v>0.53197227943856518</v>
      </c>
      <c r="AL51" s="25">
        <v>0.53200000000000003</v>
      </c>
      <c r="AM51" s="6">
        <v>0.18214225089118996</v>
      </c>
      <c r="AN51" s="3">
        <v>0.182</v>
      </c>
      <c r="AO51" s="6">
        <v>0.53406897660413677</v>
      </c>
      <c r="AP51" s="6">
        <v>0.16356107660455488</v>
      </c>
      <c r="AQ51" s="6">
        <v>0.16400000000000001</v>
      </c>
      <c r="AR51" s="6">
        <v>0.52663534176669458</v>
      </c>
      <c r="AS51" s="6">
        <v>0.52600000000000002</v>
      </c>
      <c r="AT51" s="6">
        <v>3.0389637379900136E-2</v>
      </c>
      <c r="AU51" s="6">
        <v>5.3369376718706008E-3</v>
      </c>
      <c r="AV51" s="6">
        <v>1.8581174286635083E-2</v>
      </c>
      <c r="AW51" s="6">
        <v>7.4336348374421934E-3</v>
      </c>
      <c r="AX51" s="7">
        <v>122</v>
      </c>
      <c r="AY51" s="7">
        <v>124</v>
      </c>
      <c r="AZ51" s="7">
        <v>131</v>
      </c>
      <c r="BA51" s="26">
        <v>9</v>
      </c>
      <c r="BB51" s="26">
        <v>7</v>
      </c>
      <c r="BC51" s="6">
        <v>0.17135626920527805</v>
      </c>
      <c r="BD51" s="6">
        <v>0.17100000000000001</v>
      </c>
      <c r="BE51" s="11">
        <v>0.52313302642732773</v>
      </c>
      <c r="BF51" s="7">
        <v>134</v>
      </c>
      <c r="BG51" s="26">
        <v>-3</v>
      </c>
      <c r="BH51" s="7">
        <v>12</v>
      </c>
    </row>
    <row r="52" spans="2:60" x14ac:dyDescent="0.25">
      <c r="B52" s="3">
        <v>49</v>
      </c>
      <c r="C52" s="3" t="s">
        <v>102</v>
      </c>
      <c r="D52" s="3" t="s">
        <v>103</v>
      </c>
      <c r="E52" s="3" t="s">
        <v>95</v>
      </c>
      <c r="F52" s="3">
        <v>5603</v>
      </c>
      <c r="G52" s="3">
        <v>5</v>
      </c>
      <c r="H52" s="3">
        <v>0.57199999999999995</v>
      </c>
      <c r="I52" s="4">
        <v>24599</v>
      </c>
      <c r="J52" s="4">
        <v>27065</v>
      </c>
      <c r="K52" s="4">
        <v>26652</v>
      </c>
      <c r="L52" s="4">
        <v>-2466</v>
      </c>
      <c r="M52" s="4">
        <v>6590</v>
      </c>
      <c r="N52" s="18">
        <v>0</v>
      </c>
      <c r="O52" s="18">
        <v>6404</v>
      </c>
      <c r="P52" s="18">
        <v>0</v>
      </c>
      <c r="Q52" s="18">
        <v>0</v>
      </c>
      <c r="R52" s="18">
        <v>186</v>
      </c>
      <c r="S52" s="18">
        <v>0</v>
      </c>
      <c r="T52" s="18">
        <v>6590</v>
      </c>
      <c r="U52" s="18" t="b">
        <v>1</v>
      </c>
      <c r="V52" s="4">
        <v>6067</v>
      </c>
      <c r="W52" s="4">
        <v>6067</v>
      </c>
      <c r="X52" s="3" t="b">
        <v>1</v>
      </c>
      <c r="Y52" s="18">
        <v>195</v>
      </c>
      <c r="Z52" s="18">
        <v>5675</v>
      </c>
      <c r="AA52" s="18">
        <v>0</v>
      </c>
      <c r="AB52" s="18">
        <v>0</v>
      </c>
      <c r="AC52" s="18">
        <v>197</v>
      </c>
      <c r="AD52" s="18">
        <v>0</v>
      </c>
      <c r="AE52" s="18">
        <v>6067</v>
      </c>
      <c r="AF52" s="4">
        <v>523</v>
      </c>
      <c r="AG52" s="5">
        <v>7.9362670713201827E-2</v>
      </c>
      <c r="AH52" s="18">
        <f t="shared" si="0"/>
        <v>729</v>
      </c>
      <c r="AI52" s="6">
        <v>0.2678970689865442</v>
      </c>
      <c r="AJ52" s="3">
        <v>0.26800000000000002</v>
      </c>
      <c r="AK52" s="6">
        <v>0.60818831182949373</v>
      </c>
      <c r="AL52" s="25">
        <v>0.60799999999999998</v>
      </c>
      <c r="AM52" s="6">
        <v>0.24348789950120081</v>
      </c>
      <c r="AN52" s="3">
        <v>0.24299999999999999</v>
      </c>
      <c r="AO52" s="6">
        <v>0.60375763385608749</v>
      </c>
      <c r="AP52" s="6">
        <v>0.22763770073540449</v>
      </c>
      <c r="AQ52" s="6">
        <v>0.22800000000000001</v>
      </c>
      <c r="AR52" s="6">
        <v>0.60088169223014964</v>
      </c>
      <c r="AS52" s="6">
        <v>0.6</v>
      </c>
      <c r="AT52" s="6">
        <v>4.025936825113971E-2</v>
      </c>
      <c r="AU52" s="6">
        <v>7.3066195993440886E-3</v>
      </c>
      <c r="AV52" s="6">
        <v>1.5850198765796325E-2</v>
      </c>
      <c r="AW52" s="6">
        <v>2.8759416259378501E-3</v>
      </c>
      <c r="AX52" s="26">
        <v>50</v>
      </c>
      <c r="AY52" s="26">
        <v>52</v>
      </c>
      <c r="AZ52" s="7">
        <v>59</v>
      </c>
      <c r="BA52" s="26">
        <v>9</v>
      </c>
      <c r="BB52" s="26">
        <v>7</v>
      </c>
      <c r="BC52" s="6">
        <v>0.24663604211553314</v>
      </c>
      <c r="BD52" s="6">
        <v>0.247</v>
      </c>
      <c r="BE52" s="11">
        <v>0.60400414652722345</v>
      </c>
      <c r="BF52" s="26">
        <v>58</v>
      </c>
      <c r="BG52" s="26">
        <v>1</v>
      </c>
      <c r="BH52" s="7">
        <v>8</v>
      </c>
    </row>
    <row r="53" spans="2:60" x14ac:dyDescent="0.25">
      <c r="B53" s="3">
        <v>50</v>
      </c>
      <c r="C53" s="3" t="s">
        <v>104</v>
      </c>
      <c r="D53" s="3" t="s">
        <v>105</v>
      </c>
      <c r="E53" s="3" t="s">
        <v>95</v>
      </c>
      <c r="F53" s="3">
        <v>5102</v>
      </c>
      <c r="G53" s="3">
        <v>5</v>
      </c>
      <c r="H53" s="3">
        <v>0.56100000000000005</v>
      </c>
      <c r="I53" s="4">
        <v>29876</v>
      </c>
      <c r="J53" s="4">
        <v>30543</v>
      </c>
      <c r="K53" s="4">
        <v>30212</v>
      </c>
      <c r="L53" s="4">
        <v>-667</v>
      </c>
      <c r="M53" s="4">
        <v>5184</v>
      </c>
      <c r="N53" s="18">
        <v>0</v>
      </c>
      <c r="O53" s="18">
        <v>4303</v>
      </c>
      <c r="P53" s="18">
        <v>25</v>
      </c>
      <c r="Q53" s="18">
        <v>0</v>
      </c>
      <c r="R53" s="18">
        <v>856</v>
      </c>
      <c r="S53" s="18">
        <v>0</v>
      </c>
      <c r="T53" s="18">
        <v>5184</v>
      </c>
      <c r="U53" s="18" t="b">
        <v>1</v>
      </c>
      <c r="V53" s="4">
        <v>4799</v>
      </c>
      <c r="W53" s="4">
        <v>4799</v>
      </c>
      <c r="X53" s="3" t="b">
        <v>1</v>
      </c>
      <c r="Y53" s="18">
        <v>37</v>
      </c>
      <c r="Z53" s="18">
        <v>4168</v>
      </c>
      <c r="AA53" s="18">
        <v>0</v>
      </c>
      <c r="AB53" s="18">
        <v>0</v>
      </c>
      <c r="AC53" s="18">
        <v>594</v>
      </c>
      <c r="AD53" s="18">
        <v>0</v>
      </c>
      <c r="AE53" s="18">
        <v>4799</v>
      </c>
      <c r="AF53" s="4">
        <v>385</v>
      </c>
      <c r="AG53" s="5">
        <v>7.4266975308641972E-2</v>
      </c>
      <c r="AH53" s="18">
        <f t="shared" si="0"/>
        <v>135</v>
      </c>
      <c r="AI53" s="6">
        <v>0.17351720444503949</v>
      </c>
      <c r="AJ53" s="3">
        <v>0.17399999999999999</v>
      </c>
      <c r="AK53" s="6">
        <v>0.51091159260859986</v>
      </c>
      <c r="AL53" s="25">
        <v>0.51100000000000001</v>
      </c>
      <c r="AM53" s="6">
        <v>0.16972792456536687</v>
      </c>
      <c r="AN53" s="3">
        <v>0.17</v>
      </c>
      <c r="AO53" s="6">
        <v>0.51996630181078596</v>
      </c>
      <c r="AP53" s="6">
        <v>0.15884416788031247</v>
      </c>
      <c r="AQ53" s="6">
        <v>0.159</v>
      </c>
      <c r="AR53" s="6">
        <v>0.5208348456367371</v>
      </c>
      <c r="AS53" s="6">
        <v>0.52100000000000002</v>
      </c>
      <c r="AT53" s="6">
        <v>1.4673036564727016E-2</v>
      </c>
      <c r="AU53" s="6">
        <v>-9.9232530281372355E-3</v>
      </c>
      <c r="AV53" s="6">
        <v>1.0883756685054397E-2</v>
      </c>
      <c r="AW53" s="6">
        <v>-8.6854382595114021E-4</v>
      </c>
      <c r="AX53" s="7">
        <v>148</v>
      </c>
      <c r="AY53" s="7">
        <v>138</v>
      </c>
      <c r="AZ53" s="7">
        <v>136</v>
      </c>
      <c r="BA53" s="26">
        <v>-12</v>
      </c>
      <c r="BB53" s="26">
        <v>-2</v>
      </c>
      <c r="BC53" s="6">
        <v>0.16063060650689517</v>
      </c>
      <c r="BD53" s="6">
        <v>0.161</v>
      </c>
      <c r="BE53" s="11">
        <v>0.51161072338762592</v>
      </c>
      <c r="BF53" s="7">
        <v>145</v>
      </c>
      <c r="BG53" s="26">
        <v>-9</v>
      </c>
      <c r="BH53" s="7">
        <v>-3</v>
      </c>
    </row>
    <row r="54" spans="2:60" x14ac:dyDescent="0.25">
      <c r="B54" s="3">
        <v>51</v>
      </c>
      <c r="C54" s="3" t="s">
        <v>106</v>
      </c>
      <c r="D54" s="3" t="s">
        <v>107</v>
      </c>
      <c r="E54" s="3" t="s">
        <v>95</v>
      </c>
      <c r="F54" s="3">
        <v>5702</v>
      </c>
      <c r="G54" s="3">
        <v>5</v>
      </c>
      <c r="H54" s="3">
        <v>0.51500000000000001</v>
      </c>
      <c r="I54" s="4">
        <v>13760</v>
      </c>
      <c r="J54" s="4">
        <v>15714</v>
      </c>
      <c r="K54" s="4">
        <v>15600</v>
      </c>
      <c r="L54" s="4">
        <v>-1954</v>
      </c>
      <c r="M54" s="4">
        <v>1649</v>
      </c>
      <c r="N54" s="18">
        <v>0</v>
      </c>
      <c r="O54" s="18">
        <v>1571</v>
      </c>
      <c r="P54" s="18">
        <v>0</v>
      </c>
      <c r="Q54" s="18">
        <v>0</v>
      </c>
      <c r="R54" s="18">
        <v>78</v>
      </c>
      <c r="S54" s="18">
        <v>0</v>
      </c>
      <c r="T54" s="18">
        <v>1649</v>
      </c>
      <c r="U54" s="18" t="b">
        <v>1</v>
      </c>
      <c r="V54" s="4">
        <v>1552</v>
      </c>
      <c r="W54" s="4">
        <v>1552</v>
      </c>
      <c r="X54" s="3" t="b">
        <v>1</v>
      </c>
      <c r="Y54" s="18">
        <v>1</v>
      </c>
      <c r="Z54" s="18">
        <v>1502</v>
      </c>
      <c r="AA54" s="18">
        <v>0</v>
      </c>
      <c r="AB54" s="18">
        <v>0</v>
      </c>
      <c r="AC54" s="18">
        <v>49</v>
      </c>
      <c r="AD54" s="18">
        <v>0</v>
      </c>
      <c r="AE54" s="18">
        <v>1552</v>
      </c>
      <c r="AF54" s="4">
        <v>97</v>
      </c>
      <c r="AG54" s="5">
        <v>5.8823529411764705E-2</v>
      </c>
      <c r="AH54" s="18">
        <f t="shared" si="0"/>
        <v>69</v>
      </c>
      <c r="AI54" s="6">
        <v>0.11984011627906976</v>
      </c>
      <c r="AJ54" s="3">
        <v>0.12</v>
      </c>
      <c r="AK54" s="6">
        <v>0.45558696314995123</v>
      </c>
      <c r="AL54" s="25">
        <v>0.45600000000000002</v>
      </c>
      <c r="AM54" s="6">
        <v>0.10493827160493827</v>
      </c>
      <c r="AN54" s="3">
        <v>0.105</v>
      </c>
      <c r="AO54" s="6">
        <v>0.44636525559256518</v>
      </c>
      <c r="AP54" s="6">
        <v>9.9487179487179486E-2</v>
      </c>
      <c r="AQ54" s="6">
        <v>9.9000000000000005E-2</v>
      </c>
      <c r="AR54" s="6">
        <v>0.45122889207724803</v>
      </c>
      <c r="AS54" s="6">
        <v>0.45200000000000001</v>
      </c>
      <c r="AT54" s="6">
        <v>2.0352936791890278E-2</v>
      </c>
      <c r="AU54" s="6">
        <v>4.3580710727031957E-3</v>
      </c>
      <c r="AV54" s="6">
        <v>5.4510921177587796E-3</v>
      </c>
      <c r="AW54" s="6">
        <v>-4.8636364846828539E-3</v>
      </c>
      <c r="AX54" s="26">
        <v>212</v>
      </c>
      <c r="AY54" s="26">
        <v>226</v>
      </c>
      <c r="AZ54" s="7">
        <v>216</v>
      </c>
      <c r="BA54" s="26">
        <v>4</v>
      </c>
      <c r="BB54" s="26">
        <v>-10</v>
      </c>
      <c r="BC54" s="6">
        <v>0.1127906976744186</v>
      </c>
      <c r="BD54" s="6">
        <v>0.113</v>
      </c>
      <c r="BE54" s="11">
        <v>0.46021754214926658</v>
      </c>
      <c r="BF54" s="26">
        <v>203</v>
      </c>
      <c r="BG54" s="26">
        <v>13</v>
      </c>
      <c r="BH54" s="7">
        <v>-9</v>
      </c>
    </row>
    <row r="55" spans="2:60" x14ac:dyDescent="0.25">
      <c r="B55" s="3">
        <v>52</v>
      </c>
      <c r="C55" s="3" t="s">
        <v>108</v>
      </c>
      <c r="D55" s="3" t="s">
        <v>109</v>
      </c>
      <c r="E55" s="3" t="s">
        <v>95</v>
      </c>
      <c r="F55" s="3">
        <v>5103</v>
      </c>
      <c r="G55" s="3">
        <v>5</v>
      </c>
      <c r="H55" s="3">
        <v>0.622</v>
      </c>
      <c r="I55" s="4">
        <v>48294</v>
      </c>
      <c r="J55" s="4">
        <v>48171</v>
      </c>
      <c r="K55" s="4">
        <v>47642</v>
      </c>
      <c r="L55" s="4">
        <v>123</v>
      </c>
      <c r="M55" s="4">
        <v>19140</v>
      </c>
      <c r="N55" s="18">
        <v>0</v>
      </c>
      <c r="O55" s="18">
        <v>10937</v>
      </c>
      <c r="P55" s="18">
        <v>7895</v>
      </c>
      <c r="Q55" s="18">
        <v>0</v>
      </c>
      <c r="R55" s="18">
        <v>308</v>
      </c>
      <c r="S55" s="18">
        <v>0</v>
      </c>
      <c r="T55" s="18">
        <v>19140</v>
      </c>
      <c r="U55" s="18" t="b">
        <v>1</v>
      </c>
      <c r="V55" s="4">
        <v>18697</v>
      </c>
      <c r="W55" s="4">
        <v>18697</v>
      </c>
      <c r="X55" s="3" t="b">
        <v>1</v>
      </c>
      <c r="Y55" s="18">
        <v>2</v>
      </c>
      <c r="Z55" s="18">
        <v>10292</v>
      </c>
      <c r="AA55" s="18">
        <v>8135</v>
      </c>
      <c r="AB55" s="18">
        <v>1</v>
      </c>
      <c r="AC55" s="18">
        <v>267</v>
      </c>
      <c r="AD55" s="18">
        <v>0</v>
      </c>
      <c r="AE55" s="18">
        <v>18697</v>
      </c>
      <c r="AF55" s="4">
        <v>443</v>
      </c>
      <c r="AG55" s="5">
        <v>2.3145245559038661E-2</v>
      </c>
      <c r="AH55" s="18">
        <f t="shared" si="0"/>
        <v>645</v>
      </c>
      <c r="AI55" s="6">
        <v>0.39632252453720956</v>
      </c>
      <c r="AJ55" s="3">
        <v>0.39600000000000002</v>
      </c>
      <c r="AK55" s="6">
        <v>0.74055560268233867</v>
      </c>
      <c r="AL55" s="25">
        <v>0.74099999999999999</v>
      </c>
      <c r="AM55" s="6">
        <v>0.39733449585850406</v>
      </c>
      <c r="AN55" s="3">
        <v>0.39700000000000002</v>
      </c>
      <c r="AO55" s="6">
        <v>0.77852736839881964</v>
      </c>
      <c r="AP55" s="6">
        <v>0.392447840141052</v>
      </c>
      <c r="AQ55" s="6">
        <v>0.39200000000000002</v>
      </c>
      <c r="AR55" s="6">
        <v>0.79113796529275326</v>
      </c>
      <c r="AS55" s="6">
        <v>0.79100000000000004</v>
      </c>
      <c r="AT55" s="6">
        <v>3.8746843961575683E-3</v>
      </c>
      <c r="AU55" s="6">
        <v>-5.05823626104146E-2</v>
      </c>
      <c r="AV55" s="6">
        <v>4.8866557174520597E-3</v>
      </c>
      <c r="AW55" s="6">
        <v>-1.2610596893933623E-2</v>
      </c>
      <c r="AX55" s="7">
        <v>5</v>
      </c>
      <c r="AY55" s="7">
        <v>2</v>
      </c>
      <c r="AZ55" s="7">
        <v>2</v>
      </c>
      <c r="BA55" s="26">
        <v>-3</v>
      </c>
      <c r="BB55" s="26">
        <v>0</v>
      </c>
      <c r="BC55" s="6">
        <v>0.38714954238621774</v>
      </c>
      <c r="BD55" s="6">
        <v>0.38700000000000001</v>
      </c>
      <c r="BE55" s="11">
        <v>0.75495417887647431</v>
      </c>
      <c r="BF55" s="7">
        <v>4</v>
      </c>
      <c r="BG55" s="26">
        <v>-2</v>
      </c>
      <c r="BH55" s="7">
        <v>-1</v>
      </c>
    </row>
    <row r="56" spans="2:60" x14ac:dyDescent="0.25">
      <c r="B56" s="3">
        <v>53</v>
      </c>
      <c r="C56" s="3" t="s">
        <v>110</v>
      </c>
      <c r="D56" s="3" t="s">
        <v>111</v>
      </c>
      <c r="E56" s="3" t="s">
        <v>95</v>
      </c>
      <c r="F56" s="3">
        <v>5604</v>
      </c>
      <c r="G56" s="3">
        <v>5</v>
      </c>
      <c r="H56" s="3">
        <v>0.55600000000000005</v>
      </c>
      <c r="I56" s="4">
        <v>18971</v>
      </c>
      <c r="J56" s="4">
        <v>18840</v>
      </c>
      <c r="K56" s="4">
        <v>18593</v>
      </c>
      <c r="L56" s="4">
        <v>131</v>
      </c>
      <c r="M56" s="4">
        <v>7016</v>
      </c>
      <c r="N56" s="18">
        <v>0</v>
      </c>
      <c r="O56" s="18">
        <v>6816</v>
      </c>
      <c r="P56" s="18">
        <v>0</v>
      </c>
      <c r="Q56" s="18">
        <v>0</v>
      </c>
      <c r="R56" s="18">
        <v>200</v>
      </c>
      <c r="S56" s="18">
        <v>0</v>
      </c>
      <c r="T56" s="18">
        <v>7016</v>
      </c>
      <c r="U56" s="18" t="b">
        <v>1</v>
      </c>
      <c r="V56" s="4">
        <v>6271</v>
      </c>
      <c r="W56" s="4">
        <v>6271</v>
      </c>
      <c r="X56" s="3" t="b">
        <v>1</v>
      </c>
      <c r="Y56" s="18">
        <v>99</v>
      </c>
      <c r="Z56" s="18">
        <v>6011</v>
      </c>
      <c r="AA56" s="18">
        <v>0</v>
      </c>
      <c r="AB56" s="18">
        <v>0</v>
      </c>
      <c r="AC56" s="18">
        <v>161</v>
      </c>
      <c r="AD56" s="18">
        <v>0</v>
      </c>
      <c r="AE56" s="18">
        <v>6271</v>
      </c>
      <c r="AF56" s="4">
        <v>745</v>
      </c>
      <c r="AG56" s="5">
        <v>0.10618586088939566</v>
      </c>
      <c r="AH56" s="18">
        <f t="shared" si="0"/>
        <v>805</v>
      </c>
      <c r="AI56" s="6">
        <v>0.36982763164830529</v>
      </c>
      <c r="AJ56" s="3">
        <v>0.37</v>
      </c>
      <c r="AK56" s="6">
        <v>0.71324748702798546</v>
      </c>
      <c r="AL56" s="25">
        <v>0.71299999999999997</v>
      </c>
      <c r="AM56" s="6">
        <v>0.37239915074309976</v>
      </c>
      <c r="AN56" s="3">
        <v>0.372</v>
      </c>
      <c r="AO56" s="6">
        <v>0.75020081617253931</v>
      </c>
      <c r="AP56" s="6">
        <v>0.33727747001559727</v>
      </c>
      <c r="AQ56" s="6">
        <v>0.33700000000000002</v>
      </c>
      <c r="AR56" s="6">
        <v>0.72733250786322157</v>
      </c>
      <c r="AS56" s="6">
        <v>0.72699999999999998</v>
      </c>
      <c r="AT56" s="6">
        <v>3.2550161632708019E-2</v>
      </c>
      <c r="AU56" s="6">
        <v>-1.4085020835236106E-2</v>
      </c>
      <c r="AV56" s="6">
        <v>3.5121680727502491E-2</v>
      </c>
      <c r="AW56" s="6">
        <v>2.2868308309317742E-2</v>
      </c>
      <c r="AX56" s="26">
        <v>7</v>
      </c>
      <c r="AY56" s="26">
        <v>6</v>
      </c>
      <c r="AZ56" s="7">
        <v>7</v>
      </c>
      <c r="BA56" s="26">
        <v>0</v>
      </c>
      <c r="BB56" s="26">
        <v>1</v>
      </c>
      <c r="BC56" s="6">
        <v>0.3305571662010437</v>
      </c>
      <c r="BD56" s="6">
        <v>0.33100000000000002</v>
      </c>
      <c r="BE56" s="11">
        <v>0.69415844750961964</v>
      </c>
      <c r="BF56" s="26">
        <v>12</v>
      </c>
      <c r="BG56" s="26">
        <v>-5</v>
      </c>
      <c r="BH56" s="7">
        <v>5</v>
      </c>
    </row>
    <row r="57" spans="2:60" x14ac:dyDescent="0.25">
      <c r="B57" s="3">
        <v>54</v>
      </c>
      <c r="C57" s="3" t="s">
        <v>112</v>
      </c>
      <c r="D57" s="3" t="s">
        <v>113</v>
      </c>
      <c r="E57" s="3" t="s">
        <v>95</v>
      </c>
      <c r="F57" s="3">
        <v>5605</v>
      </c>
      <c r="G57" s="3">
        <v>5</v>
      </c>
      <c r="H57" s="3">
        <v>0.60299999999999998</v>
      </c>
      <c r="I57" s="4">
        <v>16260</v>
      </c>
      <c r="J57" s="4">
        <v>15196</v>
      </c>
      <c r="K57" s="4">
        <v>15006</v>
      </c>
      <c r="L57" s="4">
        <v>1064</v>
      </c>
      <c r="M57" s="4">
        <v>5951</v>
      </c>
      <c r="N57" s="18">
        <v>0</v>
      </c>
      <c r="O57" s="18">
        <v>5680</v>
      </c>
      <c r="P57" s="18">
        <v>0</v>
      </c>
      <c r="Q57" s="18">
        <v>0</v>
      </c>
      <c r="R57" s="18">
        <v>271</v>
      </c>
      <c r="S57" s="18">
        <v>0</v>
      </c>
      <c r="T57" s="18">
        <v>5951</v>
      </c>
      <c r="U57" s="18" t="b">
        <v>1</v>
      </c>
      <c r="V57" s="4">
        <v>5173</v>
      </c>
      <c r="W57" s="4">
        <v>5173</v>
      </c>
      <c r="X57" s="3" t="b">
        <v>1</v>
      </c>
      <c r="Y57" s="18">
        <v>0</v>
      </c>
      <c r="Z57" s="18">
        <v>4889</v>
      </c>
      <c r="AA57" s="18">
        <v>0</v>
      </c>
      <c r="AB57" s="18">
        <v>0</v>
      </c>
      <c r="AC57" s="18">
        <v>284</v>
      </c>
      <c r="AD57" s="18">
        <v>0</v>
      </c>
      <c r="AE57" s="18">
        <v>5173</v>
      </c>
      <c r="AF57" s="4">
        <v>778</v>
      </c>
      <c r="AG57" s="5">
        <v>0.1307343303646446</v>
      </c>
      <c r="AH57" s="18">
        <f t="shared" si="0"/>
        <v>791</v>
      </c>
      <c r="AI57" s="6">
        <v>0.365990159901599</v>
      </c>
      <c r="AJ57" s="3">
        <v>0.36599999999999999</v>
      </c>
      <c r="AK57" s="6">
        <v>0.70929222958577653</v>
      </c>
      <c r="AL57" s="25">
        <v>0.70899999999999996</v>
      </c>
      <c r="AM57" s="6">
        <v>0.39161621479336667</v>
      </c>
      <c r="AN57" s="3">
        <v>0.39200000000000002</v>
      </c>
      <c r="AO57" s="6">
        <v>0.7720314010686502</v>
      </c>
      <c r="AP57" s="6">
        <v>0.34472877515660405</v>
      </c>
      <c r="AQ57" s="6">
        <v>0.34499999999999997</v>
      </c>
      <c r="AR57" s="6">
        <v>0.73661330167115335</v>
      </c>
      <c r="AS57" s="6">
        <v>0.73599999999999999</v>
      </c>
      <c r="AT57" s="6">
        <v>2.1261384744994949E-2</v>
      </c>
      <c r="AU57" s="6">
        <v>-2.7321072085376819E-2</v>
      </c>
      <c r="AV57" s="6">
        <v>4.6887439636762618E-2</v>
      </c>
      <c r="AW57" s="6">
        <v>3.5418099397496849E-2</v>
      </c>
      <c r="AX57" s="7">
        <v>8</v>
      </c>
      <c r="AY57" s="7">
        <v>3</v>
      </c>
      <c r="AZ57" s="7">
        <v>6</v>
      </c>
      <c r="BA57" s="26">
        <v>-2</v>
      </c>
      <c r="BB57" s="26">
        <v>3</v>
      </c>
      <c r="BC57" s="6">
        <v>0.31814268142681429</v>
      </c>
      <c r="BD57" s="6">
        <v>0.318</v>
      </c>
      <c r="BE57" s="11">
        <v>0.68082188643428376</v>
      </c>
      <c r="BF57" s="7">
        <v>15</v>
      </c>
      <c r="BG57" s="26">
        <v>-9</v>
      </c>
      <c r="BH57" s="7">
        <v>7</v>
      </c>
    </row>
    <row r="58" spans="2:60" x14ac:dyDescent="0.25">
      <c r="B58" s="3">
        <v>55</v>
      </c>
      <c r="C58" s="3" t="s">
        <v>114</v>
      </c>
      <c r="D58" s="3" t="s">
        <v>115</v>
      </c>
      <c r="E58" s="3" t="s">
        <v>95</v>
      </c>
      <c r="F58" s="3">
        <v>5503</v>
      </c>
      <c r="G58" s="3">
        <v>5</v>
      </c>
      <c r="H58" s="3">
        <v>0.47799999999999998</v>
      </c>
      <c r="I58" s="4">
        <v>19286</v>
      </c>
      <c r="J58" s="4">
        <v>19464</v>
      </c>
      <c r="K58" s="4">
        <v>19389</v>
      </c>
      <c r="L58" s="4">
        <v>-178</v>
      </c>
      <c r="M58" s="4">
        <v>2990</v>
      </c>
      <c r="N58" s="18">
        <v>0</v>
      </c>
      <c r="O58" s="18">
        <v>2810</v>
      </c>
      <c r="P58" s="18">
        <v>0</v>
      </c>
      <c r="Q58" s="18">
        <v>0</v>
      </c>
      <c r="R58" s="18">
        <v>180</v>
      </c>
      <c r="S58" s="18">
        <v>0</v>
      </c>
      <c r="T58" s="18">
        <v>2990</v>
      </c>
      <c r="U58" s="18" t="b">
        <v>1</v>
      </c>
      <c r="V58" s="4">
        <v>2640</v>
      </c>
      <c r="W58" s="4">
        <v>2640</v>
      </c>
      <c r="X58" s="3" t="b">
        <v>1</v>
      </c>
      <c r="Y58" s="18">
        <v>1</v>
      </c>
      <c r="Z58" s="18">
        <v>2534</v>
      </c>
      <c r="AA58" s="18">
        <v>0</v>
      </c>
      <c r="AB58" s="18">
        <v>0</v>
      </c>
      <c r="AC58" s="18">
        <v>105</v>
      </c>
      <c r="AD58" s="18">
        <v>0</v>
      </c>
      <c r="AE58" s="18">
        <v>2640</v>
      </c>
      <c r="AF58" s="4">
        <v>350</v>
      </c>
      <c r="AG58" s="5">
        <v>0.11705685618729098</v>
      </c>
      <c r="AH58" s="18">
        <f t="shared" si="0"/>
        <v>276</v>
      </c>
      <c r="AI58" s="6">
        <v>0.15503474022607072</v>
      </c>
      <c r="AJ58" s="3">
        <v>0.155</v>
      </c>
      <c r="AK58" s="6">
        <v>0.49186183563900615</v>
      </c>
      <c r="AL58" s="25">
        <v>0.49199999999999999</v>
      </c>
      <c r="AM58" s="6">
        <v>0.15361693382655159</v>
      </c>
      <c r="AN58" s="3">
        <v>0.154</v>
      </c>
      <c r="AO58" s="6">
        <v>0.50166421621830548</v>
      </c>
      <c r="AP58" s="6">
        <v>0.13615967816803343</v>
      </c>
      <c r="AQ58" s="6">
        <v>0.13600000000000001</v>
      </c>
      <c r="AR58" s="6">
        <v>0.49415256343893299</v>
      </c>
      <c r="AS58" s="6">
        <v>0.49399999999999999</v>
      </c>
      <c r="AT58" s="6">
        <v>1.8875062058037295E-2</v>
      </c>
      <c r="AU58" s="6">
        <v>-2.2907277999268394E-3</v>
      </c>
      <c r="AV58" s="6">
        <v>1.7457255658518162E-2</v>
      </c>
      <c r="AW58" s="6">
        <v>7.5116527793724908E-3</v>
      </c>
      <c r="AX58" s="26">
        <v>172</v>
      </c>
      <c r="AY58" s="26">
        <v>161</v>
      </c>
      <c r="AZ58" s="7">
        <v>170</v>
      </c>
      <c r="BA58" s="26">
        <v>-2</v>
      </c>
      <c r="BB58" s="26">
        <v>9</v>
      </c>
      <c r="BC58" s="6">
        <v>0.13688686093539354</v>
      </c>
      <c r="BD58" s="6">
        <v>0.13700000000000001</v>
      </c>
      <c r="BE58" s="11">
        <v>0.4861034293894968</v>
      </c>
      <c r="BF58" s="26">
        <v>176</v>
      </c>
      <c r="BG58" s="26">
        <v>-6</v>
      </c>
      <c r="BH58" s="7">
        <v>4</v>
      </c>
    </row>
    <row r="59" spans="2:60" x14ac:dyDescent="0.25">
      <c r="B59" s="3">
        <v>56</v>
      </c>
      <c r="C59" s="3" t="s">
        <v>116</v>
      </c>
      <c r="D59" s="3" t="s">
        <v>117</v>
      </c>
      <c r="E59" s="3" t="s">
        <v>95</v>
      </c>
      <c r="F59" s="3">
        <v>5201</v>
      </c>
      <c r="G59" s="3">
        <v>5</v>
      </c>
      <c r="H59" s="3">
        <v>0.39800000000000002</v>
      </c>
      <c r="I59" s="4">
        <v>4800</v>
      </c>
      <c r="J59" s="4">
        <v>8872</v>
      </c>
      <c r="K59" s="4">
        <v>8743</v>
      </c>
      <c r="L59" s="4">
        <v>-4072</v>
      </c>
      <c r="M59" s="4">
        <v>1347</v>
      </c>
      <c r="N59" s="18">
        <v>0</v>
      </c>
      <c r="O59" s="18">
        <v>0</v>
      </c>
      <c r="P59" s="18">
        <v>0</v>
      </c>
      <c r="Q59" s="18">
        <v>0</v>
      </c>
      <c r="R59" s="18">
        <v>1347</v>
      </c>
      <c r="S59" s="18">
        <v>0</v>
      </c>
      <c r="T59" s="18">
        <v>1347</v>
      </c>
      <c r="U59" s="18" t="b">
        <v>1</v>
      </c>
      <c r="V59" s="4">
        <v>949</v>
      </c>
      <c r="W59" s="4">
        <v>949</v>
      </c>
      <c r="X59" s="3" t="b">
        <v>1</v>
      </c>
      <c r="Y59" s="18">
        <v>144</v>
      </c>
      <c r="Z59" s="18">
        <v>1</v>
      </c>
      <c r="AA59" s="18">
        <v>0</v>
      </c>
      <c r="AB59" s="18">
        <v>4</v>
      </c>
      <c r="AC59" s="18">
        <v>800</v>
      </c>
      <c r="AD59" s="18">
        <v>0</v>
      </c>
      <c r="AE59" s="18">
        <v>949</v>
      </c>
      <c r="AF59" s="4">
        <v>398</v>
      </c>
      <c r="AG59" s="5">
        <v>0.29547141796585003</v>
      </c>
      <c r="AH59" s="18">
        <f t="shared" si="0"/>
        <v>-1</v>
      </c>
      <c r="AI59" s="6">
        <v>0.28062500000000001</v>
      </c>
      <c r="AJ59" s="3">
        <v>0.28100000000000003</v>
      </c>
      <c r="AK59" s="6">
        <v>0.62130690844407532</v>
      </c>
      <c r="AL59" s="25">
        <v>0.621</v>
      </c>
      <c r="AM59" s="6">
        <v>0.15182596934174933</v>
      </c>
      <c r="AN59" s="3">
        <v>0.152</v>
      </c>
      <c r="AO59" s="6">
        <v>0.49962968055098789</v>
      </c>
      <c r="AP59" s="6">
        <v>0.10854397803957452</v>
      </c>
      <c r="AQ59" s="6">
        <v>0.109</v>
      </c>
      <c r="AR59" s="6">
        <v>0.46282988433716288</v>
      </c>
      <c r="AS59" s="6">
        <v>0.46200000000000002</v>
      </c>
      <c r="AT59" s="6">
        <v>0.17208102196042549</v>
      </c>
      <c r="AU59" s="6">
        <v>0.15847702410691245</v>
      </c>
      <c r="AV59" s="6">
        <v>4.3281991302174805E-2</v>
      </c>
      <c r="AW59" s="6">
        <v>3.6799796213825009E-2</v>
      </c>
      <c r="AX59" s="7">
        <v>42</v>
      </c>
      <c r="AY59" s="7">
        <v>163</v>
      </c>
      <c r="AZ59" s="7">
        <v>202</v>
      </c>
      <c r="BA59" s="26">
        <v>160</v>
      </c>
      <c r="BB59" s="26">
        <v>39</v>
      </c>
      <c r="BC59" s="6">
        <v>0.19770833333333335</v>
      </c>
      <c r="BD59" s="6">
        <v>0.19800000000000001</v>
      </c>
      <c r="BE59" s="11">
        <v>0.55144236983516104</v>
      </c>
      <c r="BF59" s="7">
        <v>111</v>
      </c>
      <c r="BG59" s="26">
        <v>91</v>
      </c>
      <c r="BH59" s="7">
        <v>69</v>
      </c>
    </row>
    <row r="60" spans="2:60" x14ac:dyDescent="0.25">
      <c r="B60" s="3">
        <v>57</v>
      </c>
      <c r="C60" s="3" t="s">
        <v>118</v>
      </c>
      <c r="D60" s="3" t="s">
        <v>119</v>
      </c>
      <c r="E60" s="3" t="s">
        <v>95</v>
      </c>
      <c r="F60" s="3">
        <v>5104</v>
      </c>
      <c r="G60" s="3">
        <v>5</v>
      </c>
      <c r="H60" s="3"/>
      <c r="I60" s="4">
        <v>904</v>
      </c>
      <c r="J60" s="4">
        <v>1104</v>
      </c>
      <c r="K60" s="4">
        <v>1087</v>
      </c>
      <c r="L60" s="4">
        <v>-200</v>
      </c>
      <c r="M60" s="4">
        <v>156</v>
      </c>
      <c r="N60" s="18">
        <v>0</v>
      </c>
      <c r="O60" s="18">
        <v>0</v>
      </c>
      <c r="P60" s="18">
        <v>0</v>
      </c>
      <c r="Q60" s="18">
        <v>0</v>
      </c>
      <c r="R60" s="18">
        <v>156</v>
      </c>
      <c r="S60" s="18">
        <v>0</v>
      </c>
      <c r="T60" s="18">
        <v>156</v>
      </c>
      <c r="U60" s="18" t="b">
        <v>1</v>
      </c>
      <c r="V60" s="4">
        <v>134</v>
      </c>
      <c r="W60" s="4">
        <v>134</v>
      </c>
      <c r="X60" s="3" t="b">
        <v>1</v>
      </c>
      <c r="Y60" s="18">
        <v>0</v>
      </c>
      <c r="Z60" s="18">
        <v>0</v>
      </c>
      <c r="AA60" s="18">
        <v>0</v>
      </c>
      <c r="AB60" s="18">
        <v>0</v>
      </c>
      <c r="AC60" s="18">
        <v>134</v>
      </c>
      <c r="AD60" s="18">
        <v>0</v>
      </c>
      <c r="AE60" s="18">
        <v>134</v>
      </c>
      <c r="AF60" s="4">
        <v>22</v>
      </c>
      <c r="AG60" s="5">
        <v>0.14102564102564102</v>
      </c>
      <c r="AH60" s="18">
        <f t="shared" si="0"/>
        <v>0</v>
      </c>
      <c r="AI60" s="6">
        <v>0.17256637168141592</v>
      </c>
      <c r="AJ60" s="3">
        <v>0.17299999999999999</v>
      </c>
      <c r="AK60" s="6">
        <v>0.50993157539600509</v>
      </c>
      <c r="AL60" s="25">
        <v>0.51</v>
      </c>
      <c r="AM60" s="6">
        <v>0.14130434782608695</v>
      </c>
      <c r="AN60" s="3">
        <v>0.14099999999999999</v>
      </c>
      <c r="AO60" s="6">
        <v>0.48767711843527667</v>
      </c>
      <c r="AP60" s="6">
        <v>0.12327506899724011</v>
      </c>
      <c r="AQ60" s="6">
        <v>0.123</v>
      </c>
      <c r="AR60" s="6">
        <v>0.47907127350104367</v>
      </c>
      <c r="AS60" s="6">
        <v>0.48</v>
      </c>
      <c r="AT60" s="6">
        <v>4.9291302684175808E-2</v>
      </c>
      <c r="AU60" s="6">
        <v>3.0860301894961417E-2</v>
      </c>
      <c r="AV60" s="6">
        <v>1.8029278828846834E-2</v>
      </c>
      <c r="AW60" s="6">
        <v>8.6058449342329979E-3</v>
      </c>
      <c r="AX60" s="26">
        <v>149</v>
      </c>
      <c r="AY60" s="26">
        <v>177</v>
      </c>
      <c r="AZ60" s="7">
        <v>188</v>
      </c>
      <c r="BA60" s="26">
        <v>39</v>
      </c>
      <c r="BB60" s="26">
        <v>11</v>
      </c>
      <c r="BC60" s="6">
        <v>0.14823008849557523</v>
      </c>
      <c r="BD60" s="6">
        <v>0.14799999999999999</v>
      </c>
      <c r="BE60" s="11">
        <v>0.49828916644576432</v>
      </c>
      <c r="BF60" s="26">
        <v>162</v>
      </c>
      <c r="BG60" s="26">
        <v>26</v>
      </c>
      <c r="BH60" s="7">
        <v>13</v>
      </c>
    </row>
    <row r="61" spans="2:60" x14ac:dyDescent="0.25">
      <c r="B61" s="3">
        <v>58</v>
      </c>
      <c r="C61" s="3" t="s">
        <v>120</v>
      </c>
      <c r="D61" s="3" t="s">
        <v>121</v>
      </c>
      <c r="E61" s="3" t="s">
        <v>95</v>
      </c>
      <c r="F61" s="3">
        <v>5504</v>
      </c>
      <c r="G61" s="3">
        <v>5</v>
      </c>
      <c r="H61" s="3"/>
      <c r="I61" s="4">
        <v>24939</v>
      </c>
      <c r="J61" s="4">
        <v>27898</v>
      </c>
      <c r="K61" s="4">
        <v>27279</v>
      </c>
      <c r="L61" s="4">
        <v>-2959</v>
      </c>
      <c r="M61" s="4">
        <v>6701</v>
      </c>
      <c r="N61" s="18">
        <v>0</v>
      </c>
      <c r="O61" s="18">
        <v>3937</v>
      </c>
      <c r="P61" s="18">
        <v>2652</v>
      </c>
      <c r="Q61" s="18">
        <v>0</v>
      </c>
      <c r="R61" s="18">
        <v>112</v>
      </c>
      <c r="S61" s="18">
        <v>0</v>
      </c>
      <c r="T61" s="18">
        <v>6701</v>
      </c>
      <c r="U61" s="18" t="b">
        <v>1</v>
      </c>
      <c r="V61" s="4">
        <v>6489</v>
      </c>
      <c r="W61" s="4">
        <v>6489</v>
      </c>
      <c r="X61" s="3" t="b">
        <v>1</v>
      </c>
      <c r="Y61" s="18">
        <v>0</v>
      </c>
      <c r="Z61" s="18">
        <v>3669</v>
      </c>
      <c r="AA61" s="18">
        <v>2743</v>
      </c>
      <c r="AB61" s="18">
        <v>0</v>
      </c>
      <c r="AC61" s="18">
        <v>77</v>
      </c>
      <c r="AD61" s="18">
        <v>0</v>
      </c>
      <c r="AE61" s="18">
        <v>6489</v>
      </c>
      <c r="AF61" s="4">
        <v>212</v>
      </c>
      <c r="AG61" s="5">
        <v>3.1637069094165048E-2</v>
      </c>
      <c r="AH61" s="18">
        <f t="shared" si="0"/>
        <v>268</v>
      </c>
      <c r="AI61" s="6">
        <v>0.26869561730622721</v>
      </c>
      <c r="AJ61" s="3">
        <v>0.26900000000000002</v>
      </c>
      <c r="AK61" s="6">
        <v>0.60901137044539122</v>
      </c>
      <c r="AL61" s="25">
        <v>0.60899999999999999</v>
      </c>
      <c r="AM61" s="6">
        <v>0.24019642985160228</v>
      </c>
      <c r="AN61" s="3">
        <v>0.24</v>
      </c>
      <c r="AO61" s="6">
        <v>0.60001852431101965</v>
      </c>
      <c r="AP61" s="6">
        <v>0.23787528868360278</v>
      </c>
      <c r="AQ61" s="6">
        <v>0.23799999999999999</v>
      </c>
      <c r="AR61" s="6">
        <v>0.61248268449006449</v>
      </c>
      <c r="AS61" s="6">
        <v>0.61199999999999999</v>
      </c>
      <c r="AT61" s="6">
        <v>3.0820328622624432E-2</v>
      </c>
      <c r="AU61" s="6">
        <v>-3.4713140446732682E-3</v>
      </c>
      <c r="AV61" s="6">
        <v>2.321141167999502E-3</v>
      </c>
      <c r="AW61" s="6">
        <v>-1.2464160179044836E-2</v>
      </c>
      <c r="AX61" s="7">
        <v>48</v>
      </c>
      <c r="AY61" s="7">
        <v>57</v>
      </c>
      <c r="AZ61" s="7">
        <v>51</v>
      </c>
      <c r="BA61" s="26">
        <v>3</v>
      </c>
      <c r="BB61" s="26">
        <v>-6</v>
      </c>
      <c r="BC61" s="6">
        <v>0.26019487549621073</v>
      </c>
      <c r="BD61" s="6">
        <v>0.26</v>
      </c>
      <c r="BE61" s="11">
        <v>0.61857005182093983</v>
      </c>
      <c r="BF61" s="7">
        <v>46</v>
      </c>
      <c r="BG61" s="26">
        <v>5</v>
      </c>
      <c r="BH61" s="7">
        <v>-2</v>
      </c>
    </row>
    <row r="62" spans="2:60" x14ac:dyDescent="0.25">
      <c r="B62" s="3">
        <v>59</v>
      </c>
      <c r="C62" s="3" t="s">
        <v>122</v>
      </c>
      <c r="D62" s="3" t="s">
        <v>123</v>
      </c>
      <c r="E62" s="3" t="s">
        <v>95</v>
      </c>
      <c r="F62" s="3">
        <v>5401</v>
      </c>
      <c r="G62" s="3">
        <v>5</v>
      </c>
      <c r="H62" s="3">
        <v>0.49299999999999999</v>
      </c>
      <c r="I62" s="4">
        <v>39270</v>
      </c>
      <c r="J62" s="4">
        <v>38387</v>
      </c>
      <c r="K62" s="4">
        <v>38259</v>
      </c>
      <c r="L62" s="4">
        <v>883</v>
      </c>
      <c r="M62" s="4">
        <v>6919</v>
      </c>
      <c r="N62" s="18">
        <v>6</v>
      </c>
      <c r="O62" s="18">
        <v>6473</v>
      </c>
      <c r="P62" s="18">
        <v>81</v>
      </c>
      <c r="Q62" s="18">
        <v>1</v>
      </c>
      <c r="R62" s="18">
        <v>358</v>
      </c>
      <c r="S62" s="18">
        <v>0</v>
      </c>
      <c r="T62" s="18">
        <v>6919</v>
      </c>
      <c r="U62" s="18" t="b">
        <v>1</v>
      </c>
      <c r="V62" s="4">
        <v>6023</v>
      </c>
      <c r="W62" s="4">
        <v>6023</v>
      </c>
      <c r="X62" s="3" t="b">
        <v>1</v>
      </c>
      <c r="Y62" s="18">
        <v>15</v>
      </c>
      <c r="Z62" s="18">
        <v>5684</v>
      </c>
      <c r="AA62" s="18">
        <v>24</v>
      </c>
      <c r="AB62" s="18">
        <v>0</v>
      </c>
      <c r="AC62" s="18">
        <v>300</v>
      </c>
      <c r="AD62" s="18">
        <v>0</v>
      </c>
      <c r="AE62" s="18">
        <v>6023</v>
      </c>
      <c r="AF62" s="4">
        <v>896</v>
      </c>
      <c r="AG62" s="5">
        <v>0.12949848243965892</v>
      </c>
      <c r="AH62" s="18">
        <f t="shared" si="0"/>
        <v>789</v>
      </c>
      <c r="AI62" s="6">
        <v>0.1761904761904762</v>
      </c>
      <c r="AJ62" s="3">
        <v>0.17599999999999999</v>
      </c>
      <c r="AK62" s="6">
        <v>0.51366691659900077</v>
      </c>
      <c r="AL62" s="25">
        <v>0.51400000000000001</v>
      </c>
      <c r="AM62" s="6">
        <v>0.18024331153776019</v>
      </c>
      <c r="AN62" s="3">
        <v>0.18</v>
      </c>
      <c r="AO62" s="6">
        <v>0.53191178148529972</v>
      </c>
      <c r="AP62" s="6">
        <v>0.15742701063801981</v>
      </c>
      <c r="AQ62" s="6">
        <v>0.157</v>
      </c>
      <c r="AR62" s="6">
        <v>0.51851464718475415</v>
      </c>
      <c r="AS62" s="6">
        <v>0.51900000000000002</v>
      </c>
      <c r="AT62" s="6">
        <v>1.8763465552456393E-2</v>
      </c>
      <c r="AU62" s="6">
        <v>-4.8477305857533848E-3</v>
      </c>
      <c r="AV62" s="6">
        <v>2.2816300899740377E-2</v>
      </c>
      <c r="AW62" s="6">
        <v>1.3397134300545566E-2</v>
      </c>
      <c r="AX62" s="26">
        <v>139</v>
      </c>
      <c r="AY62" s="26">
        <v>128</v>
      </c>
      <c r="AZ62" s="7">
        <v>138</v>
      </c>
      <c r="BA62" s="26">
        <v>-1</v>
      </c>
      <c r="BB62" s="26">
        <v>10</v>
      </c>
      <c r="BC62" s="6">
        <v>0.15337407690348867</v>
      </c>
      <c r="BD62" s="6">
        <v>0.153</v>
      </c>
      <c r="BE62" s="11">
        <v>0.50381522063331852</v>
      </c>
      <c r="BF62" s="26">
        <v>152</v>
      </c>
      <c r="BG62" s="26">
        <v>-14</v>
      </c>
      <c r="BH62" s="7">
        <v>13</v>
      </c>
    </row>
    <row r="63" spans="2:60" x14ac:dyDescent="0.25">
      <c r="B63" s="3">
        <v>60</v>
      </c>
      <c r="C63" s="3" t="s">
        <v>124</v>
      </c>
      <c r="D63" s="3" t="s">
        <v>125</v>
      </c>
      <c r="E63" s="3" t="s">
        <v>95</v>
      </c>
      <c r="F63" s="3">
        <v>5802</v>
      </c>
      <c r="G63" s="3">
        <v>5</v>
      </c>
      <c r="H63" s="3">
        <v>0.51300000000000001</v>
      </c>
      <c r="I63" s="4">
        <v>56145</v>
      </c>
      <c r="J63" s="4">
        <v>51697</v>
      </c>
      <c r="K63" s="4">
        <v>51289</v>
      </c>
      <c r="L63" s="4">
        <v>4448</v>
      </c>
      <c r="M63" s="4">
        <v>13429</v>
      </c>
      <c r="N63" s="18">
        <v>0</v>
      </c>
      <c r="O63" s="18">
        <v>8103</v>
      </c>
      <c r="P63" s="18">
        <v>4855</v>
      </c>
      <c r="Q63" s="18">
        <v>0</v>
      </c>
      <c r="R63" s="18">
        <v>471</v>
      </c>
      <c r="S63" s="18">
        <v>0</v>
      </c>
      <c r="T63" s="18">
        <v>13429</v>
      </c>
      <c r="U63" s="18" t="b">
        <v>1</v>
      </c>
      <c r="V63" s="4">
        <v>12882</v>
      </c>
      <c r="W63" s="4">
        <v>12882</v>
      </c>
      <c r="X63" s="3" t="b">
        <v>1</v>
      </c>
      <c r="Y63" s="18">
        <v>8</v>
      </c>
      <c r="Z63" s="18">
        <v>7574</v>
      </c>
      <c r="AA63" s="18">
        <v>5004</v>
      </c>
      <c r="AB63" s="18">
        <v>0</v>
      </c>
      <c r="AC63" s="18">
        <v>296</v>
      </c>
      <c r="AD63" s="18">
        <v>0</v>
      </c>
      <c r="AE63" s="18">
        <v>12882</v>
      </c>
      <c r="AF63" s="4">
        <v>547</v>
      </c>
      <c r="AG63" s="5">
        <v>4.0732742572045573E-2</v>
      </c>
      <c r="AH63" s="18">
        <f t="shared" si="0"/>
        <v>529</v>
      </c>
      <c r="AI63" s="6">
        <v>0.23918425505387836</v>
      </c>
      <c r="AJ63" s="3">
        <v>0.23899999999999999</v>
      </c>
      <c r="AK63" s="6">
        <v>0.57859419922360622</v>
      </c>
      <c r="AL63" s="25">
        <v>0.57899999999999996</v>
      </c>
      <c r="AM63" s="6">
        <v>0.25976362264734898</v>
      </c>
      <c r="AN63" s="3">
        <v>0.26</v>
      </c>
      <c r="AO63" s="6">
        <v>0.62224685546445546</v>
      </c>
      <c r="AP63" s="6">
        <v>0.25116496714695158</v>
      </c>
      <c r="AQ63" s="6">
        <v>0.251</v>
      </c>
      <c r="AR63" s="6">
        <v>0.62756397442795375</v>
      </c>
      <c r="AS63" s="6">
        <v>0.628</v>
      </c>
      <c r="AT63" s="6">
        <v>-1.198071209307322E-2</v>
      </c>
      <c r="AU63" s="6">
        <v>-4.8969775204347532E-2</v>
      </c>
      <c r="AV63" s="6">
        <v>8.5986555003974008E-3</v>
      </c>
      <c r="AW63" s="6">
        <v>-5.3171189634982907E-3</v>
      </c>
      <c r="AX63" s="7">
        <v>77</v>
      </c>
      <c r="AY63" s="7">
        <v>41</v>
      </c>
      <c r="AZ63" s="7">
        <v>38</v>
      </c>
      <c r="BA63" s="26">
        <v>-39</v>
      </c>
      <c r="BB63" s="26">
        <v>-3</v>
      </c>
      <c r="BC63" s="6">
        <v>0.22944162436548224</v>
      </c>
      <c r="BD63" s="6">
        <v>0.22900000000000001</v>
      </c>
      <c r="BE63" s="11">
        <v>0.58553262663342853</v>
      </c>
      <c r="BF63" s="7">
        <v>80</v>
      </c>
      <c r="BG63" s="26">
        <v>-42</v>
      </c>
      <c r="BH63" s="7">
        <v>3</v>
      </c>
    </row>
    <row r="64" spans="2:60" x14ac:dyDescent="0.25">
      <c r="B64" s="3">
        <v>61</v>
      </c>
      <c r="C64" s="3" t="s">
        <v>126</v>
      </c>
      <c r="D64" s="3" t="s">
        <v>127</v>
      </c>
      <c r="E64" s="3" t="s">
        <v>95</v>
      </c>
      <c r="F64" s="3">
        <v>5703</v>
      </c>
      <c r="G64" s="3">
        <v>5</v>
      </c>
      <c r="H64" s="3">
        <v>0.53</v>
      </c>
      <c r="I64" s="4">
        <v>25484</v>
      </c>
      <c r="J64" s="4">
        <v>27286</v>
      </c>
      <c r="K64" s="4">
        <v>27119</v>
      </c>
      <c r="L64" s="4">
        <v>-1802</v>
      </c>
      <c r="M64" s="4">
        <v>4054</v>
      </c>
      <c r="N64" s="18">
        <v>0</v>
      </c>
      <c r="O64" s="18">
        <v>3859</v>
      </c>
      <c r="P64" s="18">
        <v>9</v>
      </c>
      <c r="Q64" s="18">
        <v>0</v>
      </c>
      <c r="R64" s="18">
        <v>186</v>
      </c>
      <c r="S64" s="18">
        <v>0</v>
      </c>
      <c r="T64" s="18">
        <v>4054</v>
      </c>
      <c r="U64" s="18" t="b">
        <v>1</v>
      </c>
      <c r="V64" s="4">
        <v>3652</v>
      </c>
      <c r="W64" s="4">
        <v>3652</v>
      </c>
      <c r="X64" s="3" t="b">
        <v>1</v>
      </c>
      <c r="Y64" s="18">
        <v>0</v>
      </c>
      <c r="Z64" s="18">
        <v>3461</v>
      </c>
      <c r="AA64" s="18">
        <v>0</v>
      </c>
      <c r="AB64" s="18">
        <v>0</v>
      </c>
      <c r="AC64" s="18">
        <v>191</v>
      </c>
      <c r="AD64" s="18">
        <v>0</v>
      </c>
      <c r="AE64" s="18">
        <v>3652</v>
      </c>
      <c r="AF64" s="4">
        <v>402</v>
      </c>
      <c r="AG64" s="5">
        <v>9.9161322150962017E-2</v>
      </c>
      <c r="AH64" s="18">
        <f t="shared" si="0"/>
        <v>398</v>
      </c>
      <c r="AI64" s="6">
        <v>0.15908020718882437</v>
      </c>
      <c r="AJ64" s="3">
        <v>0.159</v>
      </c>
      <c r="AK64" s="6">
        <v>0.49603147241232581</v>
      </c>
      <c r="AL64" s="25">
        <v>0.496</v>
      </c>
      <c r="AM64" s="6">
        <v>0.14857436047790076</v>
      </c>
      <c r="AN64" s="3">
        <v>0.14899999999999999</v>
      </c>
      <c r="AO64" s="6">
        <v>0.49593585285881203</v>
      </c>
      <c r="AP64" s="6">
        <v>0.13466573251226077</v>
      </c>
      <c r="AQ64" s="6">
        <v>0.13500000000000001</v>
      </c>
      <c r="AR64" s="6">
        <v>0.49299246421294152</v>
      </c>
      <c r="AS64" s="6">
        <v>0.49299999999999999</v>
      </c>
      <c r="AT64" s="6">
        <v>2.4414474676563602E-2</v>
      </c>
      <c r="AU64" s="6">
        <v>3.0390081993842966E-3</v>
      </c>
      <c r="AV64" s="6">
        <v>1.3908627965639991E-2</v>
      </c>
      <c r="AW64" s="6">
        <v>2.943388645870515E-3</v>
      </c>
      <c r="AX64" s="26">
        <v>168</v>
      </c>
      <c r="AY64" s="26">
        <v>171</v>
      </c>
      <c r="AZ64" s="7">
        <v>171</v>
      </c>
      <c r="BA64" s="26">
        <v>3</v>
      </c>
      <c r="BB64" s="26">
        <v>0</v>
      </c>
      <c r="BC64" s="6">
        <v>0.14330560351593155</v>
      </c>
      <c r="BD64" s="6">
        <v>0.14299999999999999</v>
      </c>
      <c r="BE64" s="11">
        <v>0.49299891913466165</v>
      </c>
      <c r="BF64" s="26">
        <v>167</v>
      </c>
      <c r="BG64" s="26">
        <v>4</v>
      </c>
      <c r="BH64" s="7">
        <v>-1</v>
      </c>
    </row>
    <row r="65" spans="2:60" x14ac:dyDescent="0.25">
      <c r="B65" s="3">
        <v>62</v>
      </c>
      <c r="C65" s="3" t="s">
        <v>128</v>
      </c>
      <c r="D65" s="3" t="s">
        <v>129</v>
      </c>
      <c r="E65" s="3" t="s">
        <v>95</v>
      </c>
      <c r="F65" s="3">
        <v>5301</v>
      </c>
      <c r="G65" s="3">
        <v>5</v>
      </c>
      <c r="H65" s="3">
        <v>0.59399999999999997</v>
      </c>
      <c r="I65" s="4">
        <v>63440</v>
      </c>
      <c r="J65" s="4">
        <v>68939</v>
      </c>
      <c r="K65" s="4">
        <v>68788</v>
      </c>
      <c r="L65" s="4">
        <v>-5499</v>
      </c>
      <c r="M65" s="4">
        <v>19745</v>
      </c>
      <c r="N65" s="18">
        <v>0</v>
      </c>
      <c r="O65" s="18">
        <v>13264</v>
      </c>
      <c r="P65" s="18">
        <v>6251</v>
      </c>
      <c r="Q65" s="18">
        <v>0</v>
      </c>
      <c r="R65" s="18">
        <v>230</v>
      </c>
      <c r="S65" s="18">
        <v>0</v>
      </c>
      <c r="T65" s="18">
        <v>19745</v>
      </c>
      <c r="U65" s="18" t="b">
        <v>1</v>
      </c>
      <c r="V65" s="4">
        <v>18954</v>
      </c>
      <c r="W65" s="4">
        <v>18954</v>
      </c>
      <c r="X65" s="3" t="b">
        <v>1</v>
      </c>
      <c r="Y65" s="18">
        <v>22</v>
      </c>
      <c r="Z65" s="18">
        <v>12225</v>
      </c>
      <c r="AA65" s="18">
        <v>6466</v>
      </c>
      <c r="AB65" s="18">
        <v>0</v>
      </c>
      <c r="AC65" s="18">
        <v>241</v>
      </c>
      <c r="AD65" s="18">
        <v>0</v>
      </c>
      <c r="AE65" s="18">
        <v>18954</v>
      </c>
      <c r="AF65" s="4">
        <v>791</v>
      </c>
      <c r="AG65" s="5">
        <v>4.0060774879716383E-2</v>
      </c>
      <c r="AH65" s="18">
        <f t="shared" si="0"/>
        <v>1039</v>
      </c>
      <c r="AI65" s="6">
        <v>0.31123896595208073</v>
      </c>
      <c r="AJ65" s="3">
        <v>0.311</v>
      </c>
      <c r="AK65" s="6">
        <v>0.65286052620593316</v>
      </c>
      <c r="AL65" s="25">
        <v>0.65300000000000002</v>
      </c>
      <c r="AM65" s="6">
        <v>0.28641262565456416</v>
      </c>
      <c r="AN65" s="3">
        <v>0.28599999999999998</v>
      </c>
      <c r="AO65" s="6">
        <v>0.6525201230678721</v>
      </c>
      <c r="AP65" s="6">
        <v>0.27554224574053615</v>
      </c>
      <c r="AQ65" s="6">
        <v>0.27600000000000002</v>
      </c>
      <c r="AR65" s="6">
        <v>0.65656645507774092</v>
      </c>
      <c r="AS65" s="6">
        <v>0.65600000000000003</v>
      </c>
      <c r="AT65" s="6">
        <v>3.5696720211544575E-2</v>
      </c>
      <c r="AU65" s="6">
        <v>-3.7059288718077621E-3</v>
      </c>
      <c r="AV65" s="6">
        <v>1.0870379914028006E-2</v>
      </c>
      <c r="AW65" s="6">
        <v>-4.0463320098688138E-3</v>
      </c>
      <c r="AX65" s="7">
        <v>23</v>
      </c>
      <c r="AY65" s="7">
        <v>22</v>
      </c>
      <c r="AZ65" s="7">
        <v>24</v>
      </c>
      <c r="BA65" s="26">
        <v>1</v>
      </c>
      <c r="BB65" s="26">
        <v>2</v>
      </c>
      <c r="BC65" s="6">
        <v>0.29877049180327869</v>
      </c>
      <c r="BD65" s="6">
        <v>0.29899999999999999</v>
      </c>
      <c r="BE65" s="11">
        <v>0.66001084233734442</v>
      </c>
      <c r="BF65" s="7">
        <v>20</v>
      </c>
      <c r="BG65" s="26">
        <v>4</v>
      </c>
      <c r="BH65" s="7">
        <v>-3</v>
      </c>
    </row>
    <row r="66" spans="2:60" x14ac:dyDescent="0.25">
      <c r="B66" s="3">
        <v>63</v>
      </c>
      <c r="C66" s="3" t="s">
        <v>130</v>
      </c>
      <c r="D66" s="3" t="s">
        <v>131</v>
      </c>
      <c r="E66" s="3" t="s">
        <v>95</v>
      </c>
      <c r="F66" s="3">
        <v>5506</v>
      </c>
      <c r="G66" s="3">
        <v>5</v>
      </c>
      <c r="H66" s="3">
        <v>0.49099999999999999</v>
      </c>
      <c r="I66" s="4">
        <v>22136</v>
      </c>
      <c r="J66" s="4">
        <v>23645</v>
      </c>
      <c r="K66" s="4">
        <v>23621</v>
      </c>
      <c r="L66" s="4">
        <v>-1509</v>
      </c>
      <c r="M66" s="4">
        <v>4276</v>
      </c>
      <c r="N66" s="18">
        <v>0</v>
      </c>
      <c r="O66" s="18">
        <v>4022</v>
      </c>
      <c r="P66" s="18">
        <v>66</v>
      </c>
      <c r="Q66" s="18">
        <v>0</v>
      </c>
      <c r="R66" s="18">
        <v>188</v>
      </c>
      <c r="S66" s="18">
        <v>0</v>
      </c>
      <c r="T66" s="18">
        <v>4276</v>
      </c>
      <c r="U66" s="18" t="b">
        <v>1</v>
      </c>
      <c r="V66" s="4">
        <v>4088</v>
      </c>
      <c r="W66" s="4">
        <v>4088</v>
      </c>
      <c r="X66" s="3" t="b">
        <v>1</v>
      </c>
      <c r="Y66" s="18">
        <v>103</v>
      </c>
      <c r="Z66" s="18">
        <v>3785</v>
      </c>
      <c r="AA66" s="18">
        <v>55</v>
      </c>
      <c r="AB66" s="18">
        <v>0</v>
      </c>
      <c r="AC66" s="18">
        <v>145</v>
      </c>
      <c r="AD66" s="18">
        <v>0</v>
      </c>
      <c r="AE66" s="18">
        <v>4088</v>
      </c>
      <c r="AF66" s="4">
        <v>188</v>
      </c>
      <c r="AG66" s="5">
        <v>4.3966323666978488E-2</v>
      </c>
      <c r="AH66" s="18">
        <f t="shared" si="0"/>
        <v>237</v>
      </c>
      <c r="AI66" s="6">
        <v>0.19316949765088542</v>
      </c>
      <c r="AJ66" s="3">
        <v>0.193</v>
      </c>
      <c r="AK66" s="6">
        <v>0.53116708478925523</v>
      </c>
      <c r="AL66" s="25">
        <v>0.53100000000000003</v>
      </c>
      <c r="AM66" s="6">
        <v>0.18084161556354408</v>
      </c>
      <c r="AN66" s="3">
        <v>0.18099999999999999</v>
      </c>
      <c r="AO66" s="6">
        <v>0.53259145486279358</v>
      </c>
      <c r="AP66" s="6">
        <v>0.17306633927437451</v>
      </c>
      <c r="AQ66" s="6">
        <v>0.17299999999999999</v>
      </c>
      <c r="AR66" s="6">
        <v>0.53707623480061795</v>
      </c>
      <c r="AS66" s="6">
        <v>0.53700000000000003</v>
      </c>
      <c r="AT66" s="6">
        <v>2.0103158376510916E-2</v>
      </c>
      <c r="AU66" s="6">
        <v>-5.9091500113627182E-3</v>
      </c>
      <c r="AV66" s="6">
        <v>7.7752762891695748E-3</v>
      </c>
      <c r="AW66" s="6">
        <v>-4.484779937824368E-3</v>
      </c>
      <c r="AX66" s="26">
        <v>124</v>
      </c>
      <c r="AY66" s="26">
        <v>126</v>
      </c>
      <c r="AZ66" s="7">
        <v>125</v>
      </c>
      <c r="BA66" s="26">
        <v>1</v>
      </c>
      <c r="BB66" s="26">
        <v>-1</v>
      </c>
      <c r="BC66" s="6">
        <v>0.18467654499457897</v>
      </c>
      <c r="BD66" s="6">
        <v>0.185</v>
      </c>
      <c r="BE66" s="11">
        <v>0.53744265544818715</v>
      </c>
      <c r="BF66" s="26">
        <v>117</v>
      </c>
      <c r="BG66" s="26">
        <v>8</v>
      </c>
      <c r="BH66" s="7">
        <v>-7</v>
      </c>
    </row>
    <row r="67" spans="2:60" x14ac:dyDescent="0.25">
      <c r="B67" s="3">
        <v>64</v>
      </c>
      <c r="C67" s="3" t="s">
        <v>132</v>
      </c>
      <c r="D67" s="3" t="s">
        <v>133</v>
      </c>
      <c r="E67" s="3" t="s">
        <v>95</v>
      </c>
      <c r="F67" s="3">
        <v>5803</v>
      </c>
      <c r="G67" s="3">
        <v>5</v>
      </c>
      <c r="H67" s="3">
        <v>0.43099999999999999</v>
      </c>
      <c r="I67" s="4">
        <v>19778</v>
      </c>
      <c r="J67" s="4">
        <v>20247</v>
      </c>
      <c r="K67" s="4">
        <v>20013</v>
      </c>
      <c r="L67" s="4">
        <v>-469</v>
      </c>
      <c r="M67" s="4">
        <v>3904</v>
      </c>
      <c r="N67" s="18">
        <v>0</v>
      </c>
      <c r="O67" s="18">
        <v>3625</v>
      </c>
      <c r="P67" s="18">
        <v>27</v>
      </c>
      <c r="Q67" s="18">
        <v>0</v>
      </c>
      <c r="R67" s="18">
        <v>252</v>
      </c>
      <c r="S67" s="18">
        <v>0</v>
      </c>
      <c r="T67" s="18">
        <v>3904</v>
      </c>
      <c r="U67" s="18" t="b">
        <v>1</v>
      </c>
      <c r="V67" s="4">
        <v>3620</v>
      </c>
      <c r="W67" s="4">
        <v>3620</v>
      </c>
      <c r="X67" s="3" t="b">
        <v>1</v>
      </c>
      <c r="Y67" s="18">
        <v>11</v>
      </c>
      <c r="Z67" s="18">
        <v>3416</v>
      </c>
      <c r="AA67" s="18">
        <v>0</v>
      </c>
      <c r="AB67" s="18">
        <v>0</v>
      </c>
      <c r="AC67" s="18">
        <v>193</v>
      </c>
      <c r="AD67" s="18">
        <v>0</v>
      </c>
      <c r="AE67" s="18">
        <v>3620</v>
      </c>
      <c r="AF67" s="4">
        <v>284</v>
      </c>
      <c r="AG67" s="5">
        <v>7.274590163934426E-2</v>
      </c>
      <c r="AH67" s="18">
        <f t="shared" si="0"/>
        <v>209</v>
      </c>
      <c r="AI67" s="6">
        <v>0.19739104055010617</v>
      </c>
      <c r="AJ67" s="3">
        <v>0.19700000000000001</v>
      </c>
      <c r="AK67" s="6">
        <v>0.53551820189756449</v>
      </c>
      <c r="AL67" s="25">
        <v>0.53600000000000003</v>
      </c>
      <c r="AM67" s="6">
        <v>0.19281868918852177</v>
      </c>
      <c r="AN67" s="3">
        <v>0.193</v>
      </c>
      <c r="AO67" s="6">
        <v>0.54619741058491211</v>
      </c>
      <c r="AP67" s="6">
        <v>0.18088242642282518</v>
      </c>
      <c r="AQ67" s="6">
        <v>0.18099999999999999</v>
      </c>
      <c r="AR67" s="6">
        <v>0.54635702860854984</v>
      </c>
      <c r="AS67" s="6">
        <v>0.54600000000000004</v>
      </c>
      <c r="AT67" s="6">
        <v>1.6508614127280996E-2</v>
      </c>
      <c r="AU67" s="6">
        <v>-1.083882671098535E-2</v>
      </c>
      <c r="AV67" s="6">
        <v>1.1936262765696593E-2</v>
      </c>
      <c r="AW67" s="6">
        <v>-1.5961802363773092E-4</v>
      </c>
      <c r="AX67" s="7">
        <v>120</v>
      </c>
      <c r="AY67" s="7">
        <v>113</v>
      </c>
      <c r="AZ67" s="7">
        <v>118</v>
      </c>
      <c r="BA67" s="26">
        <v>-2</v>
      </c>
      <c r="BB67" s="26">
        <v>5</v>
      </c>
      <c r="BC67" s="6">
        <v>0.18303165132976035</v>
      </c>
      <c r="BD67" s="6">
        <v>0.183</v>
      </c>
      <c r="BE67" s="11">
        <v>0.53567558857249808</v>
      </c>
      <c r="BF67" s="7">
        <v>120</v>
      </c>
      <c r="BG67" s="26">
        <v>-2</v>
      </c>
      <c r="BH67" s="7">
        <v>0</v>
      </c>
    </row>
    <row r="68" spans="2:60" x14ac:dyDescent="0.25">
      <c r="B68" s="3">
        <v>65</v>
      </c>
      <c r="C68" s="3" t="s">
        <v>134</v>
      </c>
      <c r="D68" s="3" t="s">
        <v>135</v>
      </c>
      <c r="E68" s="3" t="s">
        <v>95</v>
      </c>
      <c r="F68" s="3">
        <v>5704</v>
      </c>
      <c r="G68" s="3">
        <v>5</v>
      </c>
      <c r="H68" s="3">
        <v>0.44500000000000001</v>
      </c>
      <c r="I68" s="4">
        <v>7269</v>
      </c>
      <c r="J68" s="4">
        <v>7841</v>
      </c>
      <c r="K68" s="4">
        <v>7794</v>
      </c>
      <c r="L68" s="4">
        <v>-572</v>
      </c>
      <c r="M68" s="4">
        <v>1269</v>
      </c>
      <c r="N68" s="18">
        <v>0</v>
      </c>
      <c r="O68" s="18">
        <v>1178</v>
      </c>
      <c r="P68" s="18">
        <v>0</v>
      </c>
      <c r="Q68" s="18">
        <v>0</v>
      </c>
      <c r="R68" s="18">
        <v>91</v>
      </c>
      <c r="S68" s="18">
        <v>0</v>
      </c>
      <c r="T68" s="18">
        <v>1269</v>
      </c>
      <c r="U68" s="18" t="b">
        <v>1</v>
      </c>
      <c r="V68" s="4">
        <v>1018</v>
      </c>
      <c r="W68" s="4">
        <v>1018</v>
      </c>
      <c r="X68" s="3" t="b">
        <v>1</v>
      </c>
      <c r="Y68" s="18">
        <v>0</v>
      </c>
      <c r="Z68" s="18">
        <v>947</v>
      </c>
      <c r="AA68" s="18">
        <v>1</v>
      </c>
      <c r="AB68" s="18">
        <v>0</v>
      </c>
      <c r="AC68" s="18">
        <v>70</v>
      </c>
      <c r="AD68" s="18">
        <v>0</v>
      </c>
      <c r="AE68" s="18">
        <v>1018</v>
      </c>
      <c r="AF68" s="4">
        <v>251</v>
      </c>
      <c r="AG68" s="5">
        <v>0.19779353821907014</v>
      </c>
      <c r="AH68" s="18">
        <f t="shared" ref="AH68:AH131" si="1">O68-Z68</f>
        <v>231</v>
      </c>
      <c r="AI68" s="6">
        <v>0.17457697069748246</v>
      </c>
      <c r="AJ68" s="3">
        <v>0.17499999999999999</v>
      </c>
      <c r="AK68" s="6">
        <v>0.51200388686733278</v>
      </c>
      <c r="AL68" s="25">
        <v>0.51200000000000001</v>
      </c>
      <c r="AM68" s="6">
        <v>0.16184160183650045</v>
      </c>
      <c r="AN68" s="3">
        <v>0.16200000000000001</v>
      </c>
      <c r="AO68" s="6">
        <v>0.51100743913538904</v>
      </c>
      <c r="AP68" s="6">
        <v>0.13061329227610982</v>
      </c>
      <c r="AQ68" s="6">
        <v>0.13100000000000001</v>
      </c>
      <c r="AR68" s="6">
        <v>0.48835206730897557</v>
      </c>
      <c r="AS68" s="6">
        <v>0.48799999999999999</v>
      </c>
      <c r="AT68" s="6">
        <v>4.3963678421372637E-2</v>
      </c>
      <c r="AU68" s="6">
        <v>2.3651819558357212E-2</v>
      </c>
      <c r="AV68" s="6">
        <v>3.1228309560390632E-2</v>
      </c>
      <c r="AW68" s="6">
        <v>2.2655371826413473E-2</v>
      </c>
      <c r="AX68" s="26">
        <v>144</v>
      </c>
      <c r="AY68" s="26">
        <v>146</v>
      </c>
      <c r="AZ68" s="7">
        <v>177</v>
      </c>
      <c r="BA68" s="26">
        <v>33</v>
      </c>
      <c r="BB68" s="26">
        <v>31</v>
      </c>
      <c r="BC68" s="6">
        <v>0.14004677397166049</v>
      </c>
      <c r="BD68" s="6">
        <v>0.14000000000000001</v>
      </c>
      <c r="BE68" s="11">
        <v>0.48949804253432949</v>
      </c>
      <c r="BF68" s="26">
        <v>172</v>
      </c>
      <c r="BG68" s="26">
        <v>5</v>
      </c>
      <c r="BH68" s="7">
        <v>28</v>
      </c>
    </row>
    <row r="69" spans="2:60" x14ac:dyDescent="0.25">
      <c r="B69" s="3">
        <v>66</v>
      </c>
      <c r="C69" s="3" t="s">
        <v>136</v>
      </c>
      <c r="D69" s="3" t="s">
        <v>137</v>
      </c>
      <c r="E69" s="3" t="s">
        <v>95</v>
      </c>
      <c r="F69" s="3">
        <v>5403</v>
      </c>
      <c r="G69" s="3">
        <v>5</v>
      </c>
      <c r="H69" s="3">
        <v>0.45200000000000001</v>
      </c>
      <c r="I69" s="4">
        <v>7561</v>
      </c>
      <c r="J69" s="4">
        <v>6438</v>
      </c>
      <c r="K69" s="4">
        <v>6385</v>
      </c>
      <c r="L69" s="4">
        <v>1123</v>
      </c>
      <c r="M69" s="4">
        <v>1664</v>
      </c>
      <c r="N69" s="18">
        <v>0</v>
      </c>
      <c r="O69" s="18">
        <v>1564</v>
      </c>
      <c r="P69" s="18">
        <v>0</v>
      </c>
      <c r="Q69" s="18">
        <v>0</v>
      </c>
      <c r="R69" s="18">
        <v>100</v>
      </c>
      <c r="S69" s="18">
        <v>0</v>
      </c>
      <c r="T69" s="18">
        <v>1664</v>
      </c>
      <c r="U69" s="18" t="b">
        <v>1</v>
      </c>
      <c r="V69" s="4">
        <v>1384</v>
      </c>
      <c r="W69" s="4">
        <v>1384</v>
      </c>
      <c r="X69" s="3" t="b">
        <v>1</v>
      </c>
      <c r="Y69" s="18">
        <v>1</v>
      </c>
      <c r="Z69" s="18">
        <v>1312</v>
      </c>
      <c r="AA69" s="18">
        <v>0</v>
      </c>
      <c r="AB69" s="18">
        <v>0</v>
      </c>
      <c r="AC69" s="18">
        <v>71</v>
      </c>
      <c r="AD69" s="18">
        <v>0</v>
      </c>
      <c r="AE69" s="18">
        <v>1384</v>
      </c>
      <c r="AF69" s="4">
        <v>280</v>
      </c>
      <c r="AG69" s="5">
        <v>0.16826923076923078</v>
      </c>
      <c r="AH69" s="18">
        <f t="shared" si="1"/>
        <v>252</v>
      </c>
      <c r="AI69" s="6">
        <v>0.22007670942996957</v>
      </c>
      <c r="AJ69" s="3">
        <v>0.22</v>
      </c>
      <c r="AK69" s="6">
        <v>0.55890017487119781</v>
      </c>
      <c r="AL69" s="25">
        <v>0.55900000000000005</v>
      </c>
      <c r="AM69" s="6">
        <v>0.25846536191363778</v>
      </c>
      <c r="AN69" s="3">
        <v>0.25800000000000001</v>
      </c>
      <c r="AO69" s="6">
        <v>0.62077203126183877</v>
      </c>
      <c r="AP69" s="6">
        <v>0.21675802662490212</v>
      </c>
      <c r="AQ69" s="6">
        <v>0.217</v>
      </c>
      <c r="AR69" s="6">
        <v>0.58812060074424333</v>
      </c>
      <c r="AS69" s="6">
        <v>0.58799999999999997</v>
      </c>
      <c r="AT69" s="6">
        <v>3.3186828050674466E-3</v>
      </c>
      <c r="AU69" s="6">
        <v>-2.9220425873045519E-2</v>
      </c>
      <c r="AV69" s="6">
        <v>4.1707335288735659E-2</v>
      </c>
      <c r="AW69" s="6">
        <v>3.2651430517595448E-2</v>
      </c>
      <c r="AX69" s="7">
        <v>103</v>
      </c>
      <c r="AY69" s="7">
        <v>42</v>
      </c>
      <c r="AZ69" s="7">
        <v>68</v>
      </c>
      <c r="BA69" s="26">
        <v>-35</v>
      </c>
      <c r="BB69" s="26">
        <v>26</v>
      </c>
      <c r="BC69" s="6">
        <v>0.18304457082396508</v>
      </c>
      <c r="BD69" s="6">
        <v>0.183</v>
      </c>
      <c r="BE69" s="11">
        <v>0.53568946765219061</v>
      </c>
      <c r="BF69" s="7">
        <v>119</v>
      </c>
      <c r="BG69" s="26">
        <v>-51</v>
      </c>
      <c r="BH69" s="7">
        <v>16</v>
      </c>
    </row>
    <row r="70" spans="2:60" x14ac:dyDescent="0.25">
      <c r="B70" s="3">
        <v>67</v>
      </c>
      <c r="C70" s="3" t="s">
        <v>138</v>
      </c>
      <c r="D70" s="3" t="s">
        <v>139</v>
      </c>
      <c r="E70" s="3" t="s">
        <v>95</v>
      </c>
      <c r="F70" s="3">
        <v>5404</v>
      </c>
      <c r="G70" s="3">
        <v>5</v>
      </c>
      <c r="H70" s="3">
        <v>0.41699999999999998</v>
      </c>
      <c r="I70" s="4">
        <v>10206</v>
      </c>
      <c r="J70" s="4">
        <v>10633</v>
      </c>
      <c r="K70" s="4">
        <v>10615</v>
      </c>
      <c r="L70" s="4">
        <v>-427</v>
      </c>
      <c r="M70" s="4">
        <v>300</v>
      </c>
      <c r="N70" s="18">
        <v>22</v>
      </c>
      <c r="O70" s="18">
        <v>196</v>
      </c>
      <c r="P70" s="18">
        <v>0</v>
      </c>
      <c r="Q70" s="18">
        <v>0</v>
      </c>
      <c r="R70" s="18">
        <v>82</v>
      </c>
      <c r="S70" s="18">
        <v>0</v>
      </c>
      <c r="T70" s="18">
        <v>300</v>
      </c>
      <c r="U70" s="18" t="b">
        <v>1</v>
      </c>
      <c r="V70" s="4">
        <v>271</v>
      </c>
      <c r="W70" s="4">
        <v>271</v>
      </c>
      <c r="X70" s="3" t="b">
        <v>1</v>
      </c>
      <c r="Y70" s="18">
        <v>33</v>
      </c>
      <c r="Z70" s="18">
        <v>178</v>
      </c>
      <c r="AA70" s="18">
        <v>0</v>
      </c>
      <c r="AB70" s="18">
        <v>0</v>
      </c>
      <c r="AC70" s="18">
        <v>60</v>
      </c>
      <c r="AD70" s="18">
        <v>0</v>
      </c>
      <c r="AE70" s="18">
        <v>271</v>
      </c>
      <c r="AF70" s="4">
        <v>29</v>
      </c>
      <c r="AG70" s="5">
        <v>9.6666666666666665E-2</v>
      </c>
      <c r="AH70" s="18">
        <f t="shared" si="1"/>
        <v>18</v>
      </c>
      <c r="AI70" s="6">
        <v>2.9394473838918283E-2</v>
      </c>
      <c r="AJ70" s="3">
        <v>2.9000000000000001E-2</v>
      </c>
      <c r="AK70" s="6">
        <v>0.36236522133938909</v>
      </c>
      <c r="AL70" s="25">
        <v>0.36199999999999999</v>
      </c>
      <c r="AM70" s="6">
        <v>2.8214050597197404E-2</v>
      </c>
      <c r="AN70" s="3">
        <v>2.8000000000000001E-2</v>
      </c>
      <c r="AO70" s="6">
        <v>0.35920653998875235</v>
      </c>
      <c r="AP70" s="6">
        <v>2.5529910504003769E-2</v>
      </c>
      <c r="AQ70" s="6">
        <v>2.5999999999999999E-2</v>
      </c>
      <c r="AR70" s="6">
        <v>0.36654164857986959</v>
      </c>
      <c r="AS70" s="6">
        <v>0.36599999999999999</v>
      </c>
      <c r="AT70" s="6">
        <v>3.8645633349145142E-3</v>
      </c>
      <c r="AU70" s="6">
        <v>-4.176427240480507E-3</v>
      </c>
      <c r="AV70" s="6">
        <v>2.6841400931936349E-3</v>
      </c>
      <c r="AW70" s="6">
        <v>-7.3351085911172453E-3</v>
      </c>
      <c r="AX70" s="26">
        <v>327</v>
      </c>
      <c r="AY70" s="26">
        <v>324</v>
      </c>
      <c r="AZ70" s="7">
        <v>323</v>
      </c>
      <c r="BA70" s="26">
        <v>-4</v>
      </c>
      <c r="BB70" s="26">
        <v>-1</v>
      </c>
      <c r="BC70" s="6">
        <v>2.6553008034489515E-2</v>
      </c>
      <c r="BD70" s="6">
        <v>2.7E-2</v>
      </c>
      <c r="BE70" s="11">
        <v>0.36757461448897105</v>
      </c>
      <c r="BF70" s="26">
        <v>324</v>
      </c>
      <c r="BG70" s="26">
        <v>-1</v>
      </c>
      <c r="BH70" s="7">
        <v>-3</v>
      </c>
    </row>
    <row r="71" spans="2:60" x14ac:dyDescent="0.25">
      <c r="B71" s="3">
        <v>68</v>
      </c>
      <c r="C71" s="3" t="s">
        <v>140</v>
      </c>
      <c r="D71" s="3" t="s">
        <v>141</v>
      </c>
      <c r="E71" s="3" t="s">
        <v>95</v>
      </c>
      <c r="F71" s="3">
        <v>5105</v>
      </c>
      <c r="G71" s="3">
        <v>5</v>
      </c>
      <c r="H71" s="3">
        <v>0.54400000000000004</v>
      </c>
      <c r="I71" s="4">
        <v>22539</v>
      </c>
      <c r="J71" s="4">
        <v>21221</v>
      </c>
      <c r="K71" s="4">
        <v>20959</v>
      </c>
      <c r="L71" s="4">
        <v>1318</v>
      </c>
      <c r="M71" s="4">
        <v>7521</v>
      </c>
      <c r="N71" s="18">
        <v>0</v>
      </c>
      <c r="O71" s="18">
        <v>6793</v>
      </c>
      <c r="P71" s="18">
        <v>0</v>
      </c>
      <c r="Q71" s="18">
        <v>0</v>
      </c>
      <c r="R71" s="18">
        <v>728</v>
      </c>
      <c r="S71" s="18">
        <v>0</v>
      </c>
      <c r="T71" s="18">
        <v>7521</v>
      </c>
      <c r="U71" s="18" t="b">
        <v>1</v>
      </c>
      <c r="V71" s="4">
        <v>6460</v>
      </c>
      <c r="W71" s="4">
        <v>6460</v>
      </c>
      <c r="X71" s="3" t="b">
        <v>1</v>
      </c>
      <c r="Y71" s="18">
        <v>36</v>
      </c>
      <c r="Z71" s="18">
        <v>5877</v>
      </c>
      <c r="AA71" s="18">
        <v>0</v>
      </c>
      <c r="AB71" s="18">
        <v>0</v>
      </c>
      <c r="AC71" s="18">
        <v>547</v>
      </c>
      <c r="AD71" s="18">
        <v>0</v>
      </c>
      <c r="AE71" s="18">
        <v>6460</v>
      </c>
      <c r="AF71" s="4">
        <v>1061</v>
      </c>
      <c r="AG71" s="5">
        <v>0.14107166600186147</v>
      </c>
      <c r="AH71" s="18">
        <f t="shared" si="1"/>
        <v>916</v>
      </c>
      <c r="AI71" s="6">
        <v>0.33368827365899106</v>
      </c>
      <c r="AJ71" s="3">
        <v>0.33400000000000002</v>
      </c>
      <c r="AK71" s="6">
        <v>0.67599888323915613</v>
      </c>
      <c r="AL71" s="25">
        <v>0.67600000000000005</v>
      </c>
      <c r="AM71" s="6">
        <v>0.35441308138165023</v>
      </c>
      <c r="AN71" s="3">
        <v>0.35399999999999998</v>
      </c>
      <c r="AO71" s="6">
        <v>0.72976864125157304</v>
      </c>
      <c r="AP71" s="6">
        <v>0.30822081206164414</v>
      </c>
      <c r="AQ71" s="6">
        <v>0.308</v>
      </c>
      <c r="AR71" s="6">
        <v>0.6936896303094684</v>
      </c>
      <c r="AS71" s="6">
        <v>0.69399999999999995</v>
      </c>
      <c r="AT71" s="6">
        <v>2.5467461597346919E-2</v>
      </c>
      <c r="AU71" s="6">
        <v>-1.7690747070312263E-2</v>
      </c>
      <c r="AV71" s="6">
        <v>4.6192269320006085E-2</v>
      </c>
      <c r="AW71" s="6">
        <v>3.6079010942104639E-2</v>
      </c>
      <c r="AX71" s="7">
        <v>17</v>
      </c>
      <c r="AY71" s="7">
        <v>8</v>
      </c>
      <c r="AZ71" s="7">
        <v>14</v>
      </c>
      <c r="BA71" s="26">
        <v>-3</v>
      </c>
      <c r="BB71" s="26">
        <v>6</v>
      </c>
      <c r="BC71" s="6">
        <v>0.28661431296863216</v>
      </c>
      <c r="BD71" s="6">
        <v>0.28699999999999998</v>
      </c>
      <c r="BE71" s="11">
        <v>0.64695177267643444</v>
      </c>
      <c r="BF71" s="7">
        <v>29</v>
      </c>
      <c r="BG71" s="26">
        <v>-15</v>
      </c>
      <c r="BH71" s="7">
        <v>12</v>
      </c>
    </row>
    <row r="72" spans="2:60" x14ac:dyDescent="0.25">
      <c r="B72" s="3">
        <v>69</v>
      </c>
      <c r="C72" s="3" t="s">
        <v>142</v>
      </c>
      <c r="D72" s="3" t="s">
        <v>143</v>
      </c>
      <c r="E72" s="3" t="s">
        <v>95</v>
      </c>
      <c r="F72" s="3">
        <v>5705</v>
      </c>
      <c r="G72" s="3">
        <v>5</v>
      </c>
      <c r="H72" s="3">
        <v>0.51200000000000001</v>
      </c>
      <c r="I72" s="4">
        <v>17336</v>
      </c>
      <c r="J72" s="4">
        <v>18023</v>
      </c>
      <c r="K72" s="4">
        <v>17945</v>
      </c>
      <c r="L72" s="4">
        <v>-687</v>
      </c>
      <c r="M72" s="4">
        <v>2525</v>
      </c>
      <c r="N72" s="18">
        <v>0</v>
      </c>
      <c r="O72" s="18">
        <v>2447</v>
      </c>
      <c r="P72" s="18">
        <v>1</v>
      </c>
      <c r="Q72" s="18">
        <v>0</v>
      </c>
      <c r="R72" s="18">
        <v>77</v>
      </c>
      <c r="S72" s="18">
        <v>0</v>
      </c>
      <c r="T72" s="18">
        <v>2525</v>
      </c>
      <c r="U72" s="18" t="b">
        <v>1</v>
      </c>
      <c r="V72" s="4">
        <v>2342</v>
      </c>
      <c r="W72" s="4">
        <v>2342</v>
      </c>
      <c r="X72" s="3" t="b">
        <v>1</v>
      </c>
      <c r="Y72" s="18">
        <v>0</v>
      </c>
      <c r="Z72" s="18">
        <v>2272</v>
      </c>
      <c r="AA72" s="18">
        <v>1</v>
      </c>
      <c r="AB72" s="18">
        <v>0</v>
      </c>
      <c r="AC72" s="18">
        <v>69</v>
      </c>
      <c r="AD72" s="18">
        <v>0</v>
      </c>
      <c r="AE72" s="18">
        <v>2342</v>
      </c>
      <c r="AF72" s="4">
        <v>183</v>
      </c>
      <c r="AG72" s="5">
        <v>7.247524752475247E-2</v>
      </c>
      <c r="AH72" s="18">
        <f t="shared" si="1"/>
        <v>175</v>
      </c>
      <c r="AI72" s="6">
        <v>0.14565066912782648</v>
      </c>
      <c r="AJ72" s="3">
        <v>0.14599999999999999</v>
      </c>
      <c r="AK72" s="6">
        <v>0.4821897339274025</v>
      </c>
      <c r="AL72" s="25">
        <v>0.48199999999999998</v>
      </c>
      <c r="AM72" s="6">
        <v>0.14009876269211563</v>
      </c>
      <c r="AN72" s="3">
        <v>0.14000000000000001</v>
      </c>
      <c r="AO72" s="6">
        <v>0.48630757371461553</v>
      </c>
      <c r="AP72" s="6">
        <v>0.13050989133463362</v>
      </c>
      <c r="AQ72" s="6">
        <v>0.13100000000000001</v>
      </c>
      <c r="AR72" s="6">
        <v>0.48835206730897557</v>
      </c>
      <c r="AS72" s="6">
        <v>0.48799999999999999</v>
      </c>
      <c r="AT72" s="6">
        <v>1.5140777793192867E-2</v>
      </c>
      <c r="AU72" s="6">
        <v>-6.1623333815730708E-3</v>
      </c>
      <c r="AV72" s="6">
        <v>9.588871357482015E-3</v>
      </c>
      <c r="AW72" s="6">
        <v>-2.0444935943600417E-3</v>
      </c>
      <c r="AX72" s="26">
        <v>184</v>
      </c>
      <c r="AY72" s="26">
        <v>185</v>
      </c>
      <c r="AZ72" s="7">
        <v>178</v>
      </c>
      <c r="BA72" s="26">
        <v>-6</v>
      </c>
      <c r="BB72" s="26">
        <v>-7</v>
      </c>
      <c r="BC72" s="6">
        <v>0.13509460083064145</v>
      </c>
      <c r="BD72" s="6">
        <v>0.13500000000000001</v>
      </c>
      <c r="BE72" s="11">
        <v>0.48417805054497703</v>
      </c>
      <c r="BF72" s="26">
        <v>180</v>
      </c>
      <c r="BG72" s="26">
        <v>-2</v>
      </c>
      <c r="BH72" s="7">
        <v>-4</v>
      </c>
    </row>
    <row r="73" spans="2:60" x14ac:dyDescent="0.25">
      <c r="B73" s="3">
        <v>70</v>
      </c>
      <c r="C73" s="3" t="s">
        <v>144</v>
      </c>
      <c r="D73" s="3" t="s">
        <v>145</v>
      </c>
      <c r="E73" s="3" t="s">
        <v>95</v>
      </c>
      <c r="F73" s="3">
        <v>5501</v>
      </c>
      <c r="G73" s="3">
        <v>5</v>
      </c>
      <c r="H73" s="3">
        <v>0.57099999999999995</v>
      </c>
      <c r="I73" s="4">
        <v>96753</v>
      </c>
      <c r="J73" s="4">
        <v>100972</v>
      </c>
      <c r="K73" s="4">
        <v>100196</v>
      </c>
      <c r="L73" s="4">
        <v>-4219</v>
      </c>
      <c r="M73" s="4">
        <v>25517</v>
      </c>
      <c r="N73" s="18">
        <v>2</v>
      </c>
      <c r="O73" s="18">
        <v>13657</v>
      </c>
      <c r="P73" s="18">
        <v>11253</v>
      </c>
      <c r="Q73" s="18">
        <v>0</v>
      </c>
      <c r="R73" s="18">
        <v>605</v>
      </c>
      <c r="S73" s="18">
        <v>0</v>
      </c>
      <c r="T73" s="18">
        <v>25517</v>
      </c>
      <c r="U73" s="18" t="b">
        <v>1</v>
      </c>
      <c r="V73" s="4">
        <v>24535</v>
      </c>
      <c r="W73" s="4">
        <v>24535</v>
      </c>
      <c r="X73" s="3" t="b">
        <v>1</v>
      </c>
      <c r="Y73" s="18">
        <v>19</v>
      </c>
      <c r="Z73" s="18">
        <v>12140</v>
      </c>
      <c r="AA73" s="18">
        <v>11716</v>
      </c>
      <c r="AB73" s="18">
        <v>0</v>
      </c>
      <c r="AC73" s="18">
        <v>660</v>
      </c>
      <c r="AD73" s="18">
        <v>0</v>
      </c>
      <c r="AE73" s="18">
        <v>24535</v>
      </c>
      <c r="AF73" s="4">
        <v>982</v>
      </c>
      <c r="AG73" s="5">
        <v>3.8484147823019947E-2</v>
      </c>
      <c r="AH73" s="18">
        <f t="shared" si="1"/>
        <v>1517</v>
      </c>
      <c r="AI73" s="6">
        <v>0.26373342428658542</v>
      </c>
      <c r="AJ73" s="3">
        <v>0.26400000000000001</v>
      </c>
      <c r="AK73" s="6">
        <v>0.60389687002269454</v>
      </c>
      <c r="AL73" s="25">
        <v>0.60399999999999998</v>
      </c>
      <c r="AM73" s="6">
        <v>0.25271362357881394</v>
      </c>
      <c r="AN73" s="3">
        <v>0.253</v>
      </c>
      <c r="AO73" s="6">
        <v>0.6142380564730705</v>
      </c>
      <c r="AP73" s="6">
        <v>0.2448700546928021</v>
      </c>
      <c r="AQ73" s="6">
        <v>0.245</v>
      </c>
      <c r="AR73" s="6">
        <v>0.62060337907200491</v>
      </c>
      <c r="AS73" s="6">
        <v>0.62</v>
      </c>
      <c r="AT73" s="6">
        <v>1.8863369593783319E-2</v>
      </c>
      <c r="AU73" s="6">
        <v>-1.670650904931037E-2</v>
      </c>
      <c r="AV73" s="6">
        <v>7.8435688860118424E-3</v>
      </c>
      <c r="AW73" s="6">
        <v>-6.3653225989344087E-3</v>
      </c>
      <c r="AX73" s="7">
        <v>54</v>
      </c>
      <c r="AY73" s="7">
        <v>48</v>
      </c>
      <c r="AZ73" s="7">
        <v>45</v>
      </c>
      <c r="BA73" s="26">
        <v>-9</v>
      </c>
      <c r="BB73" s="26">
        <v>-3</v>
      </c>
      <c r="BC73" s="6">
        <v>0.25358386820046924</v>
      </c>
      <c r="BD73" s="6">
        <v>0.254</v>
      </c>
      <c r="BE73" s="11">
        <v>0.61146801704683706</v>
      </c>
      <c r="BF73" s="7">
        <v>52</v>
      </c>
      <c r="BG73" s="26">
        <v>-7</v>
      </c>
      <c r="BH73" s="7">
        <v>-2</v>
      </c>
    </row>
    <row r="74" spans="2:60" x14ac:dyDescent="0.25">
      <c r="B74" s="3">
        <v>71</v>
      </c>
      <c r="C74" s="3" t="s">
        <v>146</v>
      </c>
      <c r="D74" s="3" t="s">
        <v>147</v>
      </c>
      <c r="E74" s="3" t="s">
        <v>95</v>
      </c>
      <c r="F74" s="3">
        <v>5801</v>
      </c>
      <c r="G74" s="3">
        <v>5</v>
      </c>
      <c r="H74" s="3">
        <v>0.60299999999999998</v>
      </c>
      <c r="I74" s="4">
        <v>162559</v>
      </c>
      <c r="J74" s="4">
        <v>173591</v>
      </c>
      <c r="K74" s="4">
        <v>172073</v>
      </c>
      <c r="L74" s="4">
        <v>-11032</v>
      </c>
      <c r="M74" s="4">
        <v>52845</v>
      </c>
      <c r="N74" s="18">
        <v>0</v>
      </c>
      <c r="O74" s="18">
        <v>28176</v>
      </c>
      <c r="P74" s="18">
        <v>24096</v>
      </c>
      <c r="Q74" s="18">
        <v>0</v>
      </c>
      <c r="R74" s="18">
        <v>573</v>
      </c>
      <c r="S74" s="18">
        <v>0</v>
      </c>
      <c r="T74" s="18">
        <v>52845</v>
      </c>
      <c r="U74" s="18" t="b">
        <v>1</v>
      </c>
      <c r="V74" s="4">
        <v>51612</v>
      </c>
      <c r="W74" s="4">
        <v>51612</v>
      </c>
      <c r="X74" s="3" t="b">
        <v>1</v>
      </c>
      <c r="Y74" s="18">
        <v>6</v>
      </c>
      <c r="Z74" s="18">
        <v>25816</v>
      </c>
      <c r="AA74" s="18">
        <v>25266</v>
      </c>
      <c r="AB74" s="18">
        <v>0</v>
      </c>
      <c r="AC74" s="18">
        <v>524</v>
      </c>
      <c r="AD74" s="18">
        <v>0</v>
      </c>
      <c r="AE74" s="18">
        <v>51612</v>
      </c>
      <c r="AF74" s="4">
        <v>1233</v>
      </c>
      <c r="AG74" s="5">
        <v>2.3332387170025545E-2</v>
      </c>
      <c r="AH74" s="18">
        <f t="shared" si="1"/>
        <v>2360</v>
      </c>
      <c r="AI74" s="6">
        <v>0.325081970238498</v>
      </c>
      <c r="AJ74" s="3">
        <v>0.32500000000000001</v>
      </c>
      <c r="AK74" s="6">
        <v>0.66712842166949626</v>
      </c>
      <c r="AL74" s="25">
        <v>0.66700000000000004</v>
      </c>
      <c r="AM74" s="6">
        <v>0.30442246429826431</v>
      </c>
      <c r="AN74" s="3">
        <v>0.30399999999999999</v>
      </c>
      <c r="AO74" s="6">
        <v>0.67297929989364202</v>
      </c>
      <c r="AP74" s="6">
        <v>0.29994246627884674</v>
      </c>
      <c r="AQ74" s="6">
        <v>0.3</v>
      </c>
      <c r="AR74" s="6">
        <v>0.6844088365015365</v>
      </c>
      <c r="AS74" s="6">
        <v>0.68400000000000005</v>
      </c>
      <c r="AT74" s="6">
        <v>2.5139503959651255E-2</v>
      </c>
      <c r="AU74" s="6">
        <v>-1.7280414832040236E-2</v>
      </c>
      <c r="AV74" s="6">
        <v>4.4799980194175637E-3</v>
      </c>
      <c r="AW74" s="6">
        <v>-1.1429536607894475E-2</v>
      </c>
      <c r="AX74" s="26">
        <v>21</v>
      </c>
      <c r="AY74" s="26">
        <v>18</v>
      </c>
      <c r="AZ74" s="7">
        <v>16</v>
      </c>
      <c r="BA74" s="26">
        <v>-5</v>
      </c>
      <c r="BB74" s="26">
        <v>-2</v>
      </c>
      <c r="BC74" s="6">
        <v>0.31749703184689865</v>
      </c>
      <c r="BD74" s="6">
        <v>0.317</v>
      </c>
      <c r="BE74" s="11">
        <v>0.68012828172878004</v>
      </c>
      <c r="BF74" s="26">
        <v>16</v>
      </c>
      <c r="BG74" s="26">
        <v>0</v>
      </c>
      <c r="BH74" s="7">
        <v>-5</v>
      </c>
    </row>
    <row r="75" spans="2:60" x14ac:dyDescent="0.25">
      <c r="B75" s="3">
        <v>72</v>
      </c>
      <c r="C75" s="3" t="s">
        <v>148</v>
      </c>
      <c r="D75" s="3" t="s">
        <v>149</v>
      </c>
      <c r="E75" s="3" t="s">
        <v>95</v>
      </c>
      <c r="F75" s="3">
        <v>5107</v>
      </c>
      <c r="G75" s="3">
        <v>5</v>
      </c>
      <c r="H75" s="3">
        <v>0.53500000000000003</v>
      </c>
      <c r="I75" s="4">
        <v>35754</v>
      </c>
      <c r="J75" s="4">
        <v>38613</v>
      </c>
      <c r="K75" s="4">
        <v>38040</v>
      </c>
      <c r="L75" s="4">
        <v>-2859</v>
      </c>
      <c r="M75" s="4">
        <v>8447</v>
      </c>
      <c r="N75" s="18">
        <v>0</v>
      </c>
      <c r="O75" s="18">
        <v>8117</v>
      </c>
      <c r="P75" s="18">
        <v>36</v>
      </c>
      <c r="Q75" s="18">
        <v>0</v>
      </c>
      <c r="R75" s="18">
        <v>294</v>
      </c>
      <c r="S75" s="18">
        <v>0</v>
      </c>
      <c r="T75" s="18">
        <v>8447</v>
      </c>
      <c r="U75" s="18" t="b">
        <v>1</v>
      </c>
      <c r="V75" s="4">
        <v>7933</v>
      </c>
      <c r="W75" s="4">
        <v>7933</v>
      </c>
      <c r="X75" s="3" t="b">
        <v>1</v>
      </c>
      <c r="Y75" s="18">
        <v>2</v>
      </c>
      <c r="Z75" s="18">
        <v>7735</v>
      </c>
      <c r="AA75" s="18">
        <v>0</v>
      </c>
      <c r="AB75" s="18">
        <v>0</v>
      </c>
      <c r="AC75" s="18">
        <v>196</v>
      </c>
      <c r="AD75" s="18">
        <v>0</v>
      </c>
      <c r="AE75" s="18">
        <v>7933</v>
      </c>
      <c r="AF75" s="4">
        <v>514</v>
      </c>
      <c r="AG75" s="5">
        <v>6.0850005919261277E-2</v>
      </c>
      <c r="AH75" s="18">
        <f t="shared" si="1"/>
        <v>382</v>
      </c>
      <c r="AI75" s="6">
        <v>0.23625328634558371</v>
      </c>
      <c r="AJ75" s="3">
        <v>0.23599999999999999</v>
      </c>
      <c r="AK75" s="6">
        <v>0.57557326863139679</v>
      </c>
      <c r="AL75" s="25">
        <v>0.57599999999999996</v>
      </c>
      <c r="AM75" s="6">
        <v>0.21876052106803409</v>
      </c>
      <c r="AN75" s="3">
        <v>0.219</v>
      </c>
      <c r="AO75" s="6">
        <v>0.57566733178229013</v>
      </c>
      <c r="AP75" s="6">
        <v>0.20854363827549949</v>
      </c>
      <c r="AQ75" s="6">
        <v>0.20899999999999999</v>
      </c>
      <c r="AR75" s="6">
        <v>0.57883980693631143</v>
      </c>
      <c r="AS75" s="6">
        <v>0.57799999999999996</v>
      </c>
      <c r="AT75" s="6">
        <v>2.770964807008422E-2</v>
      </c>
      <c r="AU75" s="6">
        <v>-3.2665383049146346E-3</v>
      </c>
      <c r="AV75" s="6">
        <v>1.0216882792534604E-2</v>
      </c>
      <c r="AW75" s="6">
        <v>-3.1724751540213036E-3</v>
      </c>
      <c r="AX75" s="7">
        <v>84</v>
      </c>
      <c r="AY75" s="7">
        <v>80</v>
      </c>
      <c r="AZ75" s="7">
        <v>83</v>
      </c>
      <c r="BA75" s="26">
        <v>-1</v>
      </c>
      <c r="BB75" s="26">
        <v>3</v>
      </c>
      <c r="BC75" s="6">
        <v>0.22187727247301001</v>
      </c>
      <c r="BD75" s="6">
        <v>0.222</v>
      </c>
      <c r="BE75" s="11">
        <v>0.57740643832646743</v>
      </c>
      <c r="BF75" s="7">
        <v>88</v>
      </c>
      <c r="BG75" s="26">
        <v>-5</v>
      </c>
      <c r="BH75" s="7">
        <v>4</v>
      </c>
    </row>
    <row r="76" spans="2:60" x14ac:dyDescent="0.25">
      <c r="B76" s="3">
        <v>73</v>
      </c>
      <c r="C76" s="3" t="s">
        <v>150</v>
      </c>
      <c r="D76" s="3" t="s">
        <v>151</v>
      </c>
      <c r="E76" s="3" t="s">
        <v>95</v>
      </c>
      <c r="F76" s="3">
        <v>5303</v>
      </c>
      <c r="G76" s="3">
        <v>5</v>
      </c>
      <c r="H76" s="3">
        <v>0.47799999999999998</v>
      </c>
      <c r="I76" s="4">
        <v>11855</v>
      </c>
      <c r="J76" s="4">
        <v>12030</v>
      </c>
      <c r="K76" s="4">
        <v>11847</v>
      </c>
      <c r="L76" s="4">
        <v>-175</v>
      </c>
      <c r="M76" s="4">
        <v>2700</v>
      </c>
      <c r="N76" s="18">
        <v>0</v>
      </c>
      <c r="O76" s="18">
        <v>1804</v>
      </c>
      <c r="P76" s="18">
        <v>836</v>
      </c>
      <c r="Q76" s="18">
        <v>0</v>
      </c>
      <c r="R76" s="18">
        <v>60</v>
      </c>
      <c r="S76" s="18">
        <v>0</v>
      </c>
      <c r="T76" s="18">
        <v>2700</v>
      </c>
      <c r="U76" s="18" t="b">
        <v>1</v>
      </c>
      <c r="V76" s="4">
        <v>2421</v>
      </c>
      <c r="W76" s="4">
        <v>2421</v>
      </c>
      <c r="X76" s="3" t="b">
        <v>1</v>
      </c>
      <c r="Y76" s="18">
        <v>3</v>
      </c>
      <c r="Z76" s="18">
        <v>1561</v>
      </c>
      <c r="AA76" s="18">
        <v>819</v>
      </c>
      <c r="AB76" s="18">
        <v>0</v>
      </c>
      <c r="AC76" s="18">
        <v>38</v>
      </c>
      <c r="AD76" s="18">
        <v>0</v>
      </c>
      <c r="AE76" s="18">
        <v>2421</v>
      </c>
      <c r="AF76" s="4">
        <v>279</v>
      </c>
      <c r="AG76" s="5">
        <v>0.10333333333333333</v>
      </c>
      <c r="AH76" s="18">
        <f t="shared" si="1"/>
        <v>243</v>
      </c>
      <c r="AI76" s="6">
        <v>0.22775200337410376</v>
      </c>
      <c r="AJ76" s="3">
        <v>0.22800000000000001</v>
      </c>
      <c r="AK76" s="6">
        <v>0.56681105096292006</v>
      </c>
      <c r="AL76" s="25">
        <v>0.56699999999999995</v>
      </c>
      <c r="AM76" s="6">
        <v>0.22443890274314215</v>
      </c>
      <c r="AN76" s="3">
        <v>0.224</v>
      </c>
      <c r="AO76" s="6">
        <v>0.58211797340510585</v>
      </c>
      <c r="AP76" s="6">
        <v>0.20435553304634085</v>
      </c>
      <c r="AQ76" s="6">
        <v>0.20399999999999999</v>
      </c>
      <c r="AR76" s="6">
        <v>0.57303931080635395</v>
      </c>
      <c r="AS76" s="6">
        <v>0.57299999999999995</v>
      </c>
      <c r="AT76" s="6">
        <v>2.3396470327762903E-2</v>
      </c>
      <c r="AU76" s="6">
        <v>-6.2282598434338921E-3</v>
      </c>
      <c r="AV76" s="6">
        <v>2.0083369696801301E-2</v>
      </c>
      <c r="AW76" s="6">
        <v>9.0786625987518965E-3</v>
      </c>
      <c r="AX76" s="26">
        <v>95</v>
      </c>
      <c r="AY76" s="26">
        <v>72</v>
      </c>
      <c r="AZ76" s="7">
        <v>92</v>
      </c>
      <c r="BA76" s="26">
        <v>-3</v>
      </c>
      <c r="BB76" s="26">
        <v>20</v>
      </c>
      <c r="BC76" s="6">
        <v>0.20421762969211305</v>
      </c>
      <c r="BD76" s="6">
        <v>0.20399999999999999</v>
      </c>
      <c r="BE76" s="11">
        <v>0.55843513917074672</v>
      </c>
      <c r="BF76" s="26">
        <v>102</v>
      </c>
      <c r="BG76" s="26">
        <v>-10</v>
      </c>
      <c r="BH76" s="7">
        <v>7</v>
      </c>
    </row>
    <row r="77" spans="2:60" x14ac:dyDescent="0.25">
      <c r="B77" s="3">
        <v>74</v>
      </c>
      <c r="C77" s="3" t="s">
        <v>152</v>
      </c>
      <c r="D77" s="3" t="s">
        <v>153</v>
      </c>
      <c r="E77" s="3" t="s">
        <v>95</v>
      </c>
      <c r="F77" s="3">
        <v>5601</v>
      </c>
      <c r="G77" s="3">
        <v>5</v>
      </c>
      <c r="H77" s="3">
        <v>0.498</v>
      </c>
      <c r="I77" s="4">
        <v>96770</v>
      </c>
      <c r="J77" s="4">
        <v>98579</v>
      </c>
      <c r="K77" s="4">
        <v>98169</v>
      </c>
      <c r="L77" s="4">
        <v>-1809</v>
      </c>
      <c r="M77" s="4">
        <v>23185</v>
      </c>
      <c r="N77" s="18">
        <v>0</v>
      </c>
      <c r="O77" s="18">
        <v>16066</v>
      </c>
      <c r="P77" s="18">
        <v>6566</v>
      </c>
      <c r="Q77" s="18">
        <v>0</v>
      </c>
      <c r="R77" s="18">
        <v>553</v>
      </c>
      <c r="S77" s="18">
        <v>0</v>
      </c>
      <c r="T77" s="18">
        <v>23185</v>
      </c>
      <c r="U77" s="18" t="b">
        <v>1</v>
      </c>
      <c r="V77" s="4">
        <v>22046</v>
      </c>
      <c r="W77" s="4">
        <v>22046</v>
      </c>
      <c r="X77" s="3" t="b">
        <v>1</v>
      </c>
      <c r="Y77" s="18">
        <v>194</v>
      </c>
      <c r="Z77" s="18">
        <v>14148</v>
      </c>
      <c r="AA77" s="18">
        <v>6888</v>
      </c>
      <c r="AB77" s="18">
        <v>1</v>
      </c>
      <c r="AC77" s="18">
        <v>815</v>
      </c>
      <c r="AD77" s="18">
        <v>0</v>
      </c>
      <c r="AE77" s="18">
        <v>22046</v>
      </c>
      <c r="AF77" s="4">
        <v>1139</v>
      </c>
      <c r="AG77" s="5">
        <v>4.9126590467974983E-2</v>
      </c>
      <c r="AH77" s="18">
        <f t="shared" si="1"/>
        <v>1918</v>
      </c>
      <c r="AI77" s="6">
        <v>0.23958871551100547</v>
      </c>
      <c r="AJ77" s="3">
        <v>0.24</v>
      </c>
      <c r="AK77" s="6">
        <v>0.5790110740148029</v>
      </c>
      <c r="AL77" s="25">
        <v>0.57899999999999996</v>
      </c>
      <c r="AM77" s="6">
        <v>0.23519207944896986</v>
      </c>
      <c r="AN77" s="3">
        <v>0.23499999999999999</v>
      </c>
      <c r="AO77" s="6">
        <v>0.59433358221847155</v>
      </c>
      <c r="AP77" s="6">
        <v>0.22457191170328719</v>
      </c>
      <c r="AQ77" s="6">
        <v>0.22500000000000001</v>
      </c>
      <c r="AR77" s="6">
        <v>0.59740139455217522</v>
      </c>
      <c r="AS77" s="6">
        <v>0.59699999999999998</v>
      </c>
      <c r="AT77" s="6">
        <v>1.5016803807718276E-2</v>
      </c>
      <c r="AU77" s="6">
        <v>-1.8390320537372329E-2</v>
      </c>
      <c r="AV77" s="6">
        <v>1.0620167745682668E-2</v>
      </c>
      <c r="AW77" s="6">
        <v>-3.0678123337036789E-3</v>
      </c>
      <c r="AX77" s="7">
        <v>76</v>
      </c>
      <c r="AY77" s="7">
        <v>64</v>
      </c>
      <c r="AZ77" s="7">
        <v>62</v>
      </c>
      <c r="BA77" s="26">
        <v>-14</v>
      </c>
      <c r="BB77" s="26">
        <v>-2</v>
      </c>
      <c r="BC77" s="6">
        <v>0.22781853880334815</v>
      </c>
      <c r="BD77" s="6">
        <v>0.22800000000000001</v>
      </c>
      <c r="BE77" s="11">
        <v>0.58378898764046505</v>
      </c>
      <c r="BF77" s="7">
        <v>82</v>
      </c>
      <c r="BG77" s="26">
        <v>-20</v>
      </c>
      <c r="BH77" s="7">
        <v>6</v>
      </c>
    </row>
    <row r="78" spans="2:60" x14ac:dyDescent="0.25">
      <c r="B78" s="3">
        <v>75</v>
      </c>
      <c r="C78" s="3" t="s">
        <v>154</v>
      </c>
      <c r="D78" s="3" t="s">
        <v>155</v>
      </c>
      <c r="E78" s="3" t="s">
        <v>95</v>
      </c>
      <c r="F78" s="3">
        <v>5304</v>
      </c>
      <c r="G78" s="3">
        <v>5</v>
      </c>
      <c r="H78" s="3">
        <v>0.48899999999999999</v>
      </c>
      <c r="I78" s="4">
        <v>20112</v>
      </c>
      <c r="J78" s="4">
        <v>21756</v>
      </c>
      <c r="K78" s="4">
        <v>21493</v>
      </c>
      <c r="L78" s="4">
        <v>-1644</v>
      </c>
      <c r="M78" s="4">
        <v>3749</v>
      </c>
      <c r="N78" s="18">
        <v>0</v>
      </c>
      <c r="O78" s="18">
        <v>2218</v>
      </c>
      <c r="P78" s="18">
        <v>1424</v>
      </c>
      <c r="Q78" s="18">
        <v>0</v>
      </c>
      <c r="R78" s="18">
        <v>107</v>
      </c>
      <c r="S78" s="18">
        <v>0</v>
      </c>
      <c r="T78" s="18">
        <v>3749</v>
      </c>
      <c r="U78" s="18" t="b">
        <v>1</v>
      </c>
      <c r="V78" s="4">
        <v>3542</v>
      </c>
      <c r="W78" s="4">
        <v>3542</v>
      </c>
      <c r="X78" s="3" t="b">
        <v>1</v>
      </c>
      <c r="Y78" s="18">
        <v>0</v>
      </c>
      <c r="Z78" s="18">
        <v>1976</v>
      </c>
      <c r="AA78" s="18">
        <v>1489</v>
      </c>
      <c r="AB78" s="18">
        <v>0</v>
      </c>
      <c r="AC78" s="18">
        <v>77</v>
      </c>
      <c r="AD78" s="18">
        <v>0</v>
      </c>
      <c r="AE78" s="18">
        <v>3542</v>
      </c>
      <c r="AF78" s="4">
        <v>207</v>
      </c>
      <c r="AG78" s="5">
        <v>5.5214723926380369E-2</v>
      </c>
      <c r="AH78" s="18">
        <f t="shared" si="1"/>
        <v>242</v>
      </c>
      <c r="AI78" s="6">
        <v>0.18640612569610182</v>
      </c>
      <c r="AJ78" s="3">
        <v>0.186</v>
      </c>
      <c r="AK78" s="6">
        <v>0.52419612082540434</v>
      </c>
      <c r="AL78" s="25">
        <v>0.52400000000000002</v>
      </c>
      <c r="AM78" s="6">
        <v>0.17232027946313661</v>
      </c>
      <c r="AN78" s="3">
        <v>0.17199999999999999</v>
      </c>
      <c r="AO78" s="6">
        <v>0.5229112169928648</v>
      </c>
      <c r="AP78" s="6">
        <v>0.16479784115758619</v>
      </c>
      <c r="AQ78" s="6">
        <v>0.16500000000000001</v>
      </c>
      <c r="AR78" s="6">
        <v>0.52779544099268605</v>
      </c>
      <c r="AS78" s="6">
        <v>0.52800000000000002</v>
      </c>
      <c r="AT78" s="6">
        <v>2.1608284538515626E-2</v>
      </c>
      <c r="AU78" s="6">
        <v>-3.5993201672817055E-3</v>
      </c>
      <c r="AV78" s="6">
        <v>7.5224383055504107E-3</v>
      </c>
      <c r="AW78" s="6">
        <v>-4.8842239998212467E-3</v>
      </c>
      <c r="AX78" s="26">
        <v>131</v>
      </c>
      <c r="AY78" s="26">
        <v>135</v>
      </c>
      <c r="AZ78" s="7">
        <v>129</v>
      </c>
      <c r="BA78" s="26">
        <v>-2</v>
      </c>
      <c r="BB78" s="26">
        <v>-6</v>
      </c>
      <c r="BC78" s="6">
        <v>0.17611376292760542</v>
      </c>
      <c r="BD78" s="6">
        <v>0.17599999999999999</v>
      </c>
      <c r="BE78" s="11">
        <v>0.52824387933401107</v>
      </c>
      <c r="BF78" s="26">
        <v>127</v>
      </c>
      <c r="BG78" s="26">
        <v>2</v>
      </c>
      <c r="BH78" s="7">
        <v>-4</v>
      </c>
    </row>
    <row r="79" spans="2:60" x14ac:dyDescent="0.25">
      <c r="B79" s="3">
        <v>76</v>
      </c>
      <c r="C79" s="3" t="s">
        <v>156</v>
      </c>
      <c r="D79" s="3" t="s">
        <v>157</v>
      </c>
      <c r="E79" s="3" t="s">
        <v>95</v>
      </c>
      <c r="F79" s="3">
        <v>5701</v>
      </c>
      <c r="G79" s="3">
        <v>5</v>
      </c>
      <c r="H79" s="3">
        <v>0.55100000000000005</v>
      </c>
      <c r="I79" s="4">
        <v>80413</v>
      </c>
      <c r="J79" s="4">
        <v>86838</v>
      </c>
      <c r="K79" s="4">
        <v>86062</v>
      </c>
      <c r="L79" s="4">
        <v>-6425</v>
      </c>
      <c r="M79" s="4">
        <v>18618</v>
      </c>
      <c r="N79" s="18">
        <v>0</v>
      </c>
      <c r="O79" s="18">
        <v>11023</v>
      </c>
      <c r="P79" s="18">
        <v>7260</v>
      </c>
      <c r="Q79" s="18">
        <v>0</v>
      </c>
      <c r="R79" s="18">
        <v>335</v>
      </c>
      <c r="S79" s="18">
        <v>0</v>
      </c>
      <c r="T79" s="18">
        <v>18618</v>
      </c>
      <c r="U79" s="18" t="b">
        <v>1</v>
      </c>
      <c r="V79" s="4">
        <v>17908</v>
      </c>
      <c r="W79" s="4">
        <v>17908</v>
      </c>
      <c r="X79" s="3" t="b">
        <v>1</v>
      </c>
      <c r="Y79" s="18">
        <v>17</v>
      </c>
      <c r="Z79" s="18">
        <v>9406</v>
      </c>
      <c r="AA79" s="18">
        <v>8047</v>
      </c>
      <c r="AB79" s="18">
        <v>0</v>
      </c>
      <c r="AC79" s="18">
        <v>438</v>
      </c>
      <c r="AD79" s="18">
        <v>0</v>
      </c>
      <c r="AE79" s="18">
        <v>17908</v>
      </c>
      <c r="AF79" s="4">
        <v>710</v>
      </c>
      <c r="AG79" s="5">
        <v>3.813513803845741E-2</v>
      </c>
      <c r="AH79" s="18">
        <f t="shared" si="1"/>
        <v>1617</v>
      </c>
      <c r="AI79" s="6">
        <v>0.23152972778033404</v>
      </c>
      <c r="AJ79" s="3">
        <v>0.23200000000000001</v>
      </c>
      <c r="AK79" s="6">
        <v>0.57070472720566534</v>
      </c>
      <c r="AL79" s="25">
        <v>0.57099999999999995</v>
      </c>
      <c r="AM79" s="6">
        <v>0.21439922614523596</v>
      </c>
      <c r="AN79" s="3">
        <v>0.214</v>
      </c>
      <c r="AO79" s="6">
        <v>0.57071290071935155</v>
      </c>
      <c r="AP79" s="6">
        <v>0.20808254514187446</v>
      </c>
      <c r="AQ79" s="6">
        <v>0.20799999999999999</v>
      </c>
      <c r="AR79" s="6">
        <v>0.57767970771031996</v>
      </c>
      <c r="AS79" s="6">
        <v>0.57799999999999996</v>
      </c>
      <c r="AT79" s="6">
        <v>2.3447182638459574E-2</v>
      </c>
      <c r="AU79" s="6">
        <v>-6.9749805046546154E-3</v>
      </c>
      <c r="AV79" s="6">
        <v>6.3166810033614962E-3</v>
      </c>
      <c r="AW79" s="6">
        <v>-6.9668069909684105E-3</v>
      </c>
      <c r="AX79" s="7">
        <v>89</v>
      </c>
      <c r="AY79" s="7">
        <v>88</v>
      </c>
      <c r="AZ79" s="7">
        <v>84</v>
      </c>
      <c r="BA79" s="26">
        <v>-5</v>
      </c>
      <c r="BB79" s="26">
        <v>-4</v>
      </c>
      <c r="BC79" s="6">
        <v>0.22270030965142451</v>
      </c>
      <c r="BD79" s="6">
        <v>0.223</v>
      </c>
      <c r="BE79" s="11">
        <v>0.57829060595781234</v>
      </c>
      <c r="BF79" s="7">
        <v>87</v>
      </c>
      <c r="BG79" s="26">
        <v>-3</v>
      </c>
      <c r="BH79" s="7">
        <v>-2</v>
      </c>
    </row>
    <row r="80" spans="2:60" x14ac:dyDescent="0.25">
      <c r="B80" s="3">
        <v>77</v>
      </c>
      <c r="C80" s="3" t="s">
        <v>158</v>
      </c>
      <c r="D80" s="3" t="s">
        <v>159</v>
      </c>
      <c r="E80" s="3" t="s">
        <v>95</v>
      </c>
      <c r="F80" s="3">
        <v>5706</v>
      </c>
      <c r="G80" s="3">
        <v>5</v>
      </c>
      <c r="H80" s="3">
        <v>0.45400000000000001</v>
      </c>
      <c r="I80" s="4">
        <v>15134</v>
      </c>
      <c r="J80" s="4">
        <v>16962</v>
      </c>
      <c r="K80" s="4">
        <v>16827</v>
      </c>
      <c r="L80" s="4">
        <v>-1828</v>
      </c>
      <c r="M80" s="4">
        <v>1817</v>
      </c>
      <c r="N80" s="18">
        <v>0</v>
      </c>
      <c r="O80" s="18">
        <v>1777</v>
      </c>
      <c r="P80" s="18">
        <v>0</v>
      </c>
      <c r="Q80" s="18">
        <v>0</v>
      </c>
      <c r="R80" s="18">
        <v>40</v>
      </c>
      <c r="S80" s="18">
        <v>0</v>
      </c>
      <c r="T80" s="18">
        <v>1817</v>
      </c>
      <c r="U80" s="18" t="b">
        <v>1</v>
      </c>
      <c r="V80" s="4">
        <v>1581</v>
      </c>
      <c r="W80" s="4">
        <v>1581</v>
      </c>
      <c r="X80" s="3" t="b">
        <v>1</v>
      </c>
      <c r="Y80" s="18">
        <v>0</v>
      </c>
      <c r="Z80" s="18">
        <v>1551</v>
      </c>
      <c r="AA80" s="18">
        <v>0</v>
      </c>
      <c r="AB80" s="18">
        <v>0</v>
      </c>
      <c r="AC80" s="18">
        <v>30</v>
      </c>
      <c r="AD80" s="18">
        <v>0</v>
      </c>
      <c r="AE80" s="18">
        <v>1581</v>
      </c>
      <c r="AF80" s="4">
        <v>236</v>
      </c>
      <c r="AG80" s="5">
        <v>0.1298844248761695</v>
      </c>
      <c r="AH80" s="18">
        <f t="shared" si="1"/>
        <v>226</v>
      </c>
      <c r="AI80" s="6">
        <v>0.12006079027355623</v>
      </c>
      <c r="AJ80" s="3">
        <v>0.12</v>
      </c>
      <c r="AK80" s="6">
        <v>0.45581441041643433</v>
      </c>
      <c r="AL80" s="25">
        <v>0.45600000000000002</v>
      </c>
      <c r="AM80" s="6">
        <v>0.10712180167433086</v>
      </c>
      <c r="AN80" s="3">
        <v>0.107</v>
      </c>
      <c r="AO80" s="6">
        <v>0.44884574576673536</v>
      </c>
      <c r="AP80" s="6">
        <v>9.3956141914779814E-2</v>
      </c>
      <c r="AQ80" s="6">
        <v>9.4E-2</v>
      </c>
      <c r="AR80" s="6">
        <v>0.44542839594729061</v>
      </c>
      <c r="AS80" s="6">
        <v>0.44600000000000001</v>
      </c>
      <c r="AT80" s="6">
        <v>2.6104648358776419E-2</v>
      </c>
      <c r="AU80" s="6">
        <v>1.0386014469143723E-2</v>
      </c>
      <c r="AV80" s="6">
        <v>1.3165659759551043E-2</v>
      </c>
      <c r="AW80" s="6">
        <v>3.4173498194447482E-3</v>
      </c>
      <c r="AX80" s="26">
        <v>210</v>
      </c>
      <c r="AY80" s="26">
        <v>222</v>
      </c>
      <c r="AZ80" s="7">
        <v>224</v>
      </c>
      <c r="BA80" s="26">
        <v>14</v>
      </c>
      <c r="BB80" s="26">
        <v>2</v>
      </c>
      <c r="BC80" s="6">
        <v>0.10446676357869697</v>
      </c>
      <c r="BD80" s="6">
        <v>0.104</v>
      </c>
      <c r="BE80" s="11">
        <v>0.45127535425556459</v>
      </c>
      <c r="BF80" s="26">
        <v>218</v>
      </c>
      <c r="BG80" s="26">
        <v>6</v>
      </c>
      <c r="BH80" s="7">
        <v>8</v>
      </c>
    </row>
    <row r="81" spans="2:60" x14ac:dyDescent="0.25">
      <c r="B81" s="3">
        <v>78</v>
      </c>
      <c r="C81" s="3" t="s">
        <v>160</v>
      </c>
      <c r="D81" s="3" t="s">
        <v>161</v>
      </c>
      <c r="E81" s="3" t="s">
        <v>95</v>
      </c>
      <c r="F81" s="3">
        <v>5606</v>
      </c>
      <c r="G81" s="3">
        <v>5</v>
      </c>
      <c r="H81" s="3">
        <v>0.67800000000000005</v>
      </c>
      <c r="I81" s="4">
        <v>13171</v>
      </c>
      <c r="J81" s="4">
        <v>12609</v>
      </c>
      <c r="K81" s="4">
        <v>12456</v>
      </c>
      <c r="L81" s="4">
        <v>562</v>
      </c>
      <c r="M81" s="4">
        <v>4377</v>
      </c>
      <c r="N81" s="18">
        <v>0</v>
      </c>
      <c r="O81" s="18">
        <v>2537</v>
      </c>
      <c r="P81" s="18">
        <v>1426</v>
      </c>
      <c r="Q81" s="18">
        <v>0</v>
      </c>
      <c r="R81" s="18">
        <v>414</v>
      </c>
      <c r="S81" s="18">
        <v>0</v>
      </c>
      <c r="T81" s="18">
        <v>4377</v>
      </c>
      <c r="U81" s="18" t="b">
        <v>1</v>
      </c>
      <c r="V81" s="4">
        <v>4100</v>
      </c>
      <c r="W81" s="4">
        <v>4100</v>
      </c>
      <c r="X81" s="3" t="b">
        <v>1</v>
      </c>
      <c r="Y81" s="18">
        <v>34</v>
      </c>
      <c r="Z81" s="18">
        <v>2290</v>
      </c>
      <c r="AA81" s="18">
        <v>1462</v>
      </c>
      <c r="AB81" s="18">
        <v>0</v>
      </c>
      <c r="AC81" s="18">
        <v>314</v>
      </c>
      <c r="AD81" s="18">
        <v>0</v>
      </c>
      <c r="AE81" s="18">
        <v>4100</v>
      </c>
      <c r="AF81" s="4">
        <v>277</v>
      </c>
      <c r="AG81" s="5">
        <v>6.3285355266164037E-2</v>
      </c>
      <c r="AH81" s="18">
        <f t="shared" si="1"/>
        <v>247</v>
      </c>
      <c r="AI81" s="6">
        <v>0.33232100827575733</v>
      </c>
      <c r="AJ81" s="3">
        <v>0.33200000000000002</v>
      </c>
      <c r="AK81" s="6">
        <v>0.67458965160451245</v>
      </c>
      <c r="AL81" s="25">
        <v>0.67500000000000004</v>
      </c>
      <c r="AM81" s="6">
        <v>0.34713300023792532</v>
      </c>
      <c r="AN81" s="3">
        <v>0.34699999999999998</v>
      </c>
      <c r="AO81" s="6">
        <v>0.721498469021156</v>
      </c>
      <c r="AP81" s="6">
        <v>0.32915863840719334</v>
      </c>
      <c r="AQ81" s="6">
        <v>0.32900000000000001</v>
      </c>
      <c r="AR81" s="6">
        <v>0.71805171405528967</v>
      </c>
      <c r="AS81" s="6">
        <v>0.71799999999999997</v>
      </c>
      <c r="AT81" s="6">
        <v>3.1623698685639967E-3</v>
      </c>
      <c r="AU81" s="6">
        <v>-4.3462062450777217E-2</v>
      </c>
      <c r="AV81" s="6">
        <v>1.7974361830731977E-2</v>
      </c>
      <c r="AW81" s="6">
        <v>3.4467549658663277E-3</v>
      </c>
      <c r="AX81" s="7">
        <v>18</v>
      </c>
      <c r="AY81" s="7">
        <v>9</v>
      </c>
      <c r="AZ81" s="7">
        <v>8</v>
      </c>
      <c r="BA81" s="26">
        <v>-10</v>
      </c>
      <c r="BB81" s="26">
        <v>-1</v>
      </c>
      <c r="BC81" s="6">
        <v>0.31128995520461622</v>
      </c>
      <c r="BD81" s="6">
        <v>0.311</v>
      </c>
      <c r="BE81" s="11">
        <v>0.67346017924651425</v>
      </c>
      <c r="BF81" s="7">
        <v>17</v>
      </c>
      <c r="BG81" s="26">
        <v>-9</v>
      </c>
      <c r="BH81" s="7">
        <v>-1</v>
      </c>
    </row>
    <row r="82" spans="2:60" x14ac:dyDescent="0.25">
      <c r="B82" s="3">
        <v>79</v>
      </c>
      <c r="C82" s="3" t="s">
        <v>95</v>
      </c>
      <c r="D82" s="3" t="s">
        <v>162</v>
      </c>
      <c r="E82" s="3" t="s">
        <v>95</v>
      </c>
      <c r="F82" s="3">
        <v>5101</v>
      </c>
      <c r="G82" s="3">
        <v>5</v>
      </c>
      <c r="H82" s="3">
        <v>0.61599999999999999</v>
      </c>
      <c r="I82" s="4">
        <v>284938</v>
      </c>
      <c r="J82" s="4">
        <v>320816</v>
      </c>
      <c r="K82" s="4">
        <v>319745</v>
      </c>
      <c r="L82" s="4">
        <v>-35878</v>
      </c>
      <c r="M82" s="4">
        <v>82175</v>
      </c>
      <c r="N82" s="18">
        <v>37</v>
      </c>
      <c r="O82" s="18">
        <v>49485</v>
      </c>
      <c r="P82" s="18">
        <v>31242</v>
      </c>
      <c r="Q82" s="18">
        <v>0</v>
      </c>
      <c r="R82" s="18">
        <v>1411</v>
      </c>
      <c r="S82" s="18">
        <v>0</v>
      </c>
      <c r="T82" s="18">
        <v>82175</v>
      </c>
      <c r="U82" s="18" t="b">
        <v>1</v>
      </c>
      <c r="V82" s="4">
        <v>80299</v>
      </c>
      <c r="W82" s="4">
        <v>80299</v>
      </c>
      <c r="X82" s="3" t="b">
        <v>1</v>
      </c>
      <c r="Y82" s="18">
        <v>622</v>
      </c>
      <c r="Z82" s="18">
        <v>45186</v>
      </c>
      <c r="AA82" s="18">
        <v>32825</v>
      </c>
      <c r="AB82" s="18">
        <v>1</v>
      </c>
      <c r="AC82" s="18">
        <v>1665</v>
      </c>
      <c r="AD82" s="18">
        <v>0</v>
      </c>
      <c r="AE82" s="18">
        <v>80299</v>
      </c>
      <c r="AF82" s="4">
        <v>1876</v>
      </c>
      <c r="AG82" s="5">
        <v>2.2829327654396107E-2</v>
      </c>
      <c r="AH82" s="18">
        <f t="shared" si="1"/>
        <v>4299</v>
      </c>
      <c r="AI82" s="6">
        <v>0.28839607212797169</v>
      </c>
      <c r="AJ82" s="3">
        <v>0.28799999999999998</v>
      </c>
      <c r="AK82" s="6">
        <v>0.62931650249372106</v>
      </c>
      <c r="AL82" s="25">
        <v>0.629</v>
      </c>
      <c r="AM82" s="6">
        <v>0.25614370854321478</v>
      </c>
      <c r="AN82" s="3">
        <v>0.25600000000000001</v>
      </c>
      <c r="AO82" s="6">
        <v>0.61813463301672766</v>
      </c>
      <c r="AP82" s="6">
        <v>0.25113449780293673</v>
      </c>
      <c r="AQ82" s="6">
        <v>0.251</v>
      </c>
      <c r="AR82" s="6">
        <v>0.62756397442795375</v>
      </c>
      <c r="AS82" s="6">
        <v>0.628</v>
      </c>
      <c r="AT82" s="6">
        <v>3.7261574325034963E-2</v>
      </c>
      <c r="AU82" s="6">
        <v>1.7525280657673115E-3</v>
      </c>
      <c r="AV82" s="6">
        <v>5.0092107402780472E-3</v>
      </c>
      <c r="AW82" s="6">
        <v>-9.4293414112260887E-3</v>
      </c>
      <c r="AX82" s="26">
        <v>36</v>
      </c>
      <c r="AY82" s="26">
        <v>44</v>
      </c>
      <c r="AZ82" s="7">
        <v>37</v>
      </c>
      <c r="BA82" s="26">
        <v>1</v>
      </c>
      <c r="BB82" s="26">
        <v>-7</v>
      </c>
      <c r="BC82" s="6">
        <v>0.28181218370312139</v>
      </c>
      <c r="BD82" s="6">
        <v>0.28199999999999997</v>
      </c>
      <c r="BE82" s="11">
        <v>0.64179296895595395</v>
      </c>
      <c r="BF82" s="26">
        <v>31</v>
      </c>
      <c r="BG82" s="26">
        <v>6</v>
      </c>
      <c r="BH82" s="7">
        <v>-5</v>
      </c>
    </row>
    <row r="83" spans="2:60" x14ac:dyDescent="0.25">
      <c r="B83" s="3">
        <v>80</v>
      </c>
      <c r="C83" s="3" t="s">
        <v>163</v>
      </c>
      <c r="D83" s="3" t="s">
        <v>164</v>
      </c>
      <c r="E83" s="3" t="s">
        <v>95</v>
      </c>
      <c r="F83" s="3">
        <v>5804</v>
      </c>
      <c r="G83" s="3">
        <v>5</v>
      </c>
      <c r="H83" s="3">
        <v>0.54500000000000004</v>
      </c>
      <c r="I83" s="4">
        <v>139571</v>
      </c>
      <c r="J83" s="4">
        <v>147418</v>
      </c>
      <c r="K83" s="4">
        <v>145490</v>
      </c>
      <c r="L83" s="4">
        <v>-7847</v>
      </c>
      <c r="M83" s="4">
        <v>41083</v>
      </c>
      <c r="N83" s="18">
        <v>0</v>
      </c>
      <c r="O83" s="18">
        <v>26412</v>
      </c>
      <c r="P83" s="18">
        <v>14378</v>
      </c>
      <c r="Q83" s="18">
        <v>0</v>
      </c>
      <c r="R83" s="18">
        <v>293</v>
      </c>
      <c r="S83" s="18">
        <v>0</v>
      </c>
      <c r="T83" s="18">
        <v>41083</v>
      </c>
      <c r="U83" s="18" t="b">
        <v>1</v>
      </c>
      <c r="V83" s="4">
        <v>40082</v>
      </c>
      <c r="W83" s="4">
        <v>40082</v>
      </c>
      <c r="X83" s="3" t="b">
        <v>1</v>
      </c>
      <c r="Y83" s="18">
        <v>2</v>
      </c>
      <c r="Z83" s="18">
        <v>23676</v>
      </c>
      <c r="AA83" s="18">
        <v>16014</v>
      </c>
      <c r="AB83" s="18">
        <v>0</v>
      </c>
      <c r="AC83" s="18">
        <v>390</v>
      </c>
      <c r="AD83" s="18">
        <v>0</v>
      </c>
      <c r="AE83" s="18">
        <v>40082</v>
      </c>
      <c r="AF83" s="4">
        <v>1001</v>
      </c>
      <c r="AG83" s="5">
        <v>2.4365309252002046E-2</v>
      </c>
      <c r="AH83" s="18">
        <f t="shared" si="1"/>
        <v>2736</v>
      </c>
      <c r="AI83" s="6">
        <v>0.29435197856288198</v>
      </c>
      <c r="AJ83" s="3">
        <v>0.29399999999999998</v>
      </c>
      <c r="AK83" s="6">
        <v>0.6354552169408042</v>
      </c>
      <c r="AL83" s="25">
        <v>0.63500000000000001</v>
      </c>
      <c r="AM83" s="6">
        <v>0.27868374282652053</v>
      </c>
      <c r="AN83" s="3">
        <v>0.27900000000000003</v>
      </c>
      <c r="AO83" s="6">
        <v>0.64374011212091597</v>
      </c>
      <c r="AP83" s="6">
        <v>0.27549659770430956</v>
      </c>
      <c r="AQ83" s="6">
        <v>0.27500000000000002</v>
      </c>
      <c r="AR83" s="6">
        <v>0.65540635585174944</v>
      </c>
      <c r="AS83" s="6">
        <v>0.65600000000000003</v>
      </c>
      <c r="AT83" s="6">
        <v>1.8855380858572413E-2</v>
      </c>
      <c r="AU83" s="6">
        <v>-1.9951138910945243E-2</v>
      </c>
      <c r="AV83" s="6">
        <v>3.1871451222109659E-3</v>
      </c>
      <c r="AW83" s="6">
        <v>-1.166624373083347E-2</v>
      </c>
      <c r="AX83" s="7">
        <v>33</v>
      </c>
      <c r="AY83" s="7">
        <v>30</v>
      </c>
      <c r="AZ83" s="7">
        <v>25</v>
      </c>
      <c r="BA83" s="26">
        <v>-8</v>
      </c>
      <c r="BB83" s="26">
        <v>-5</v>
      </c>
      <c r="BC83" s="6">
        <v>0.28718000157625867</v>
      </c>
      <c r="BD83" s="6">
        <v>0.28699999999999998</v>
      </c>
      <c r="BE83" s="11">
        <v>0.64755947736997865</v>
      </c>
      <c r="BF83" s="7">
        <v>28</v>
      </c>
      <c r="BG83" s="26">
        <v>-3</v>
      </c>
      <c r="BH83" s="7">
        <v>-5</v>
      </c>
    </row>
    <row r="84" spans="2:60" x14ac:dyDescent="0.25">
      <c r="B84" s="3">
        <v>81</v>
      </c>
      <c r="C84" s="3" t="s">
        <v>165</v>
      </c>
      <c r="D84" s="3" t="s">
        <v>166</v>
      </c>
      <c r="E84" s="3" t="s">
        <v>95</v>
      </c>
      <c r="F84" s="3">
        <v>5109</v>
      </c>
      <c r="G84" s="3">
        <v>5</v>
      </c>
      <c r="H84" s="3">
        <v>0.64300000000000002</v>
      </c>
      <c r="I84" s="4">
        <v>334871</v>
      </c>
      <c r="J84" s="4">
        <v>371490</v>
      </c>
      <c r="K84" s="4">
        <v>369303</v>
      </c>
      <c r="L84" s="4">
        <v>-36619</v>
      </c>
      <c r="M84" s="4">
        <v>114243</v>
      </c>
      <c r="N84" s="18">
        <v>2</v>
      </c>
      <c r="O84" s="18">
        <v>60570</v>
      </c>
      <c r="P84" s="18">
        <v>52464</v>
      </c>
      <c r="Q84" s="18">
        <v>0</v>
      </c>
      <c r="R84" s="18">
        <v>1207</v>
      </c>
      <c r="S84" s="18">
        <v>0</v>
      </c>
      <c r="T84" s="18">
        <v>114243</v>
      </c>
      <c r="U84" s="18" t="b">
        <v>1</v>
      </c>
      <c r="V84" s="4">
        <v>111896</v>
      </c>
      <c r="W84" s="4">
        <v>111896</v>
      </c>
      <c r="X84" s="3" t="b">
        <v>1</v>
      </c>
      <c r="Y84" s="18">
        <v>286</v>
      </c>
      <c r="Z84" s="18">
        <v>55089</v>
      </c>
      <c r="AA84" s="18">
        <v>55061</v>
      </c>
      <c r="AB84" s="18">
        <v>2</v>
      </c>
      <c r="AC84" s="18">
        <v>1458</v>
      </c>
      <c r="AD84" s="18">
        <v>0</v>
      </c>
      <c r="AE84" s="18">
        <v>111896</v>
      </c>
      <c r="AF84" s="4">
        <v>2347</v>
      </c>
      <c r="AG84" s="5">
        <v>2.0543928293199582E-2</v>
      </c>
      <c r="AH84" s="18">
        <f t="shared" si="1"/>
        <v>5481</v>
      </c>
      <c r="AI84" s="6">
        <v>0.34115525082793074</v>
      </c>
      <c r="AJ84" s="3">
        <v>0.34100000000000003</v>
      </c>
      <c r="AK84" s="6">
        <v>0.6836950485708233</v>
      </c>
      <c r="AL84" s="25">
        <v>0.68400000000000005</v>
      </c>
      <c r="AM84" s="6">
        <v>0.30752644754905917</v>
      </c>
      <c r="AN84" s="3">
        <v>0.308</v>
      </c>
      <c r="AO84" s="6">
        <v>0.67650542488835175</v>
      </c>
      <c r="AP84" s="6">
        <v>0.30299239377963355</v>
      </c>
      <c r="AQ84" s="6">
        <v>0.30299999999999999</v>
      </c>
      <c r="AR84" s="6">
        <v>0.68788913417951103</v>
      </c>
      <c r="AS84" s="6">
        <v>0.68799999999999994</v>
      </c>
      <c r="AT84" s="6">
        <v>3.8162857048297194E-2</v>
      </c>
      <c r="AU84" s="6">
        <v>-4.1940856086877254E-3</v>
      </c>
      <c r="AV84" s="6">
        <v>4.5340537694256167E-3</v>
      </c>
      <c r="AW84" s="6">
        <v>-1.1383709291159283E-2</v>
      </c>
      <c r="AX84" s="26">
        <v>13</v>
      </c>
      <c r="AY84" s="26">
        <v>17</v>
      </c>
      <c r="AZ84" s="7">
        <v>15</v>
      </c>
      <c r="BA84" s="26">
        <v>2</v>
      </c>
      <c r="BB84" s="26">
        <v>-2</v>
      </c>
      <c r="BC84" s="6">
        <v>0.33414658181807322</v>
      </c>
      <c r="BD84" s="6">
        <v>0.33400000000000002</v>
      </c>
      <c r="BE84" s="11">
        <v>0.69801446420881053</v>
      </c>
      <c r="BF84" s="26">
        <v>11</v>
      </c>
      <c r="BG84" s="26">
        <v>4</v>
      </c>
      <c r="BH84" s="7">
        <v>-2</v>
      </c>
    </row>
    <row r="85" spans="2:60" x14ac:dyDescent="0.25">
      <c r="B85" s="3">
        <v>82</v>
      </c>
      <c r="C85" s="3" t="s">
        <v>167</v>
      </c>
      <c r="D85" s="3" t="s">
        <v>168</v>
      </c>
      <c r="E85" s="3" t="s">
        <v>95</v>
      </c>
      <c r="F85" s="3">
        <v>5405</v>
      </c>
      <c r="G85" s="3">
        <v>5</v>
      </c>
      <c r="H85" s="3">
        <v>0.60699999999999998</v>
      </c>
      <c r="I85" s="4">
        <v>7980</v>
      </c>
      <c r="J85" s="4">
        <v>8368</v>
      </c>
      <c r="K85" s="4">
        <v>8281</v>
      </c>
      <c r="L85" s="4">
        <v>-388</v>
      </c>
      <c r="M85" s="4">
        <v>2587</v>
      </c>
      <c r="N85" s="18">
        <v>13</v>
      </c>
      <c r="O85" s="18">
        <v>2025</v>
      </c>
      <c r="P85" s="18">
        <v>1</v>
      </c>
      <c r="Q85" s="18">
        <v>0</v>
      </c>
      <c r="R85" s="18">
        <v>548</v>
      </c>
      <c r="S85" s="18">
        <v>0</v>
      </c>
      <c r="T85" s="18">
        <v>2587</v>
      </c>
      <c r="U85" s="18" t="b">
        <v>1</v>
      </c>
      <c r="V85" s="4">
        <v>2094</v>
      </c>
      <c r="W85" s="4">
        <v>2094</v>
      </c>
      <c r="X85" s="3" t="b">
        <v>1</v>
      </c>
      <c r="Y85" s="18">
        <v>27</v>
      </c>
      <c r="Z85" s="18">
        <v>1718</v>
      </c>
      <c r="AA85" s="18">
        <v>0</v>
      </c>
      <c r="AB85" s="18">
        <v>0</v>
      </c>
      <c r="AC85" s="18">
        <v>349</v>
      </c>
      <c r="AD85" s="18">
        <v>0</v>
      </c>
      <c r="AE85" s="18">
        <v>2094</v>
      </c>
      <c r="AF85" s="4">
        <v>493</v>
      </c>
      <c r="AG85" s="5">
        <v>0.19056822574410515</v>
      </c>
      <c r="AH85" s="18">
        <f t="shared" si="1"/>
        <v>307</v>
      </c>
      <c r="AI85" s="6">
        <v>0.32418546365914785</v>
      </c>
      <c r="AJ85" s="3">
        <v>0.32400000000000001</v>
      </c>
      <c r="AK85" s="6">
        <v>0.66620439810554244</v>
      </c>
      <c r="AL85" s="25">
        <v>0.66600000000000004</v>
      </c>
      <c r="AM85" s="6">
        <v>0.30915391969407263</v>
      </c>
      <c r="AN85" s="3">
        <v>0.309</v>
      </c>
      <c r="AO85" s="6">
        <v>0.67835423325652067</v>
      </c>
      <c r="AP85" s="6">
        <v>0.25286801110976936</v>
      </c>
      <c r="AQ85" s="6">
        <v>0.253</v>
      </c>
      <c r="AR85" s="6">
        <v>0.6298841728799367</v>
      </c>
      <c r="AS85" s="6">
        <v>0.63</v>
      </c>
      <c r="AT85" s="6">
        <v>7.1317452549378491E-2</v>
      </c>
      <c r="AU85" s="6">
        <v>3.632022522560574E-2</v>
      </c>
      <c r="AV85" s="6">
        <v>5.6285908584303268E-2</v>
      </c>
      <c r="AW85" s="6">
        <v>4.8470060376583968E-2</v>
      </c>
      <c r="AX85" s="7">
        <v>22</v>
      </c>
      <c r="AY85" s="7">
        <v>16</v>
      </c>
      <c r="AZ85" s="7">
        <v>36</v>
      </c>
      <c r="BA85" s="26">
        <v>14</v>
      </c>
      <c r="BB85" s="26">
        <v>20</v>
      </c>
      <c r="BC85" s="6">
        <v>0.26240601503759398</v>
      </c>
      <c r="BD85" s="6">
        <v>0.26200000000000001</v>
      </c>
      <c r="BE85" s="11">
        <v>0.62094542204983272</v>
      </c>
      <c r="BF85" s="7">
        <v>42</v>
      </c>
      <c r="BG85" s="26">
        <v>-6</v>
      </c>
      <c r="BH85" s="7">
        <v>20</v>
      </c>
    </row>
    <row r="86" spans="2:60" x14ac:dyDescent="0.25">
      <c r="B86" s="3">
        <v>83</v>
      </c>
      <c r="C86" s="3" t="s">
        <v>169</v>
      </c>
      <c r="D86" s="3" t="s">
        <v>170</v>
      </c>
      <c r="E86" s="3" t="s">
        <v>704</v>
      </c>
      <c r="F86" s="3">
        <v>6302</v>
      </c>
      <c r="G86" s="3">
        <v>6</v>
      </c>
      <c r="H86" s="3">
        <v>0.53600000000000003</v>
      </c>
      <c r="I86" s="4">
        <v>15668</v>
      </c>
      <c r="J86" s="4">
        <v>16148</v>
      </c>
      <c r="K86" s="4">
        <v>16106</v>
      </c>
      <c r="L86" s="4">
        <v>-480</v>
      </c>
      <c r="M86" s="4">
        <v>1023</v>
      </c>
      <c r="N86" s="18">
        <v>0</v>
      </c>
      <c r="O86" s="18">
        <v>929</v>
      </c>
      <c r="P86" s="18">
        <v>0</v>
      </c>
      <c r="Q86" s="18">
        <v>0</v>
      </c>
      <c r="R86" s="18">
        <v>94</v>
      </c>
      <c r="S86" s="18">
        <v>0</v>
      </c>
      <c r="T86" s="18">
        <v>1023</v>
      </c>
      <c r="U86" s="18" t="b">
        <v>1</v>
      </c>
      <c r="V86" s="4">
        <v>993</v>
      </c>
      <c r="W86" s="4">
        <v>993</v>
      </c>
      <c r="X86" s="3" t="b">
        <v>1</v>
      </c>
      <c r="Y86" s="18">
        <v>0</v>
      </c>
      <c r="Z86" s="18">
        <v>922</v>
      </c>
      <c r="AA86" s="18">
        <v>0</v>
      </c>
      <c r="AB86" s="18">
        <v>0</v>
      </c>
      <c r="AC86" s="18">
        <v>71</v>
      </c>
      <c r="AD86" s="18">
        <v>0</v>
      </c>
      <c r="AE86" s="18">
        <v>993</v>
      </c>
      <c r="AF86" s="4">
        <v>30</v>
      </c>
      <c r="AG86" s="5">
        <v>2.932551319648094E-2</v>
      </c>
      <c r="AH86" s="18">
        <f t="shared" si="1"/>
        <v>7</v>
      </c>
      <c r="AI86" s="6">
        <v>6.5292315547612972E-2</v>
      </c>
      <c r="AJ86" s="3">
        <v>6.5000000000000002E-2</v>
      </c>
      <c r="AK86" s="6">
        <v>0.39936489585149998</v>
      </c>
      <c r="AL86" s="25">
        <v>0.39900000000000002</v>
      </c>
      <c r="AM86" s="6">
        <v>6.3351498637602185E-2</v>
      </c>
      <c r="AN86" s="3">
        <v>6.3E-2</v>
      </c>
      <c r="AO86" s="6">
        <v>0.39912268120950722</v>
      </c>
      <c r="AP86" s="6">
        <v>6.1654041971935927E-2</v>
      </c>
      <c r="AQ86" s="6">
        <v>6.2E-2</v>
      </c>
      <c r="AR86" s="6">
        <v>0.40830522071556308</v>
      </c>
      <c r="AS86" s="6">
        <v>0.40799999999999997</v>
      </c>
      <c r="AT86" s="6">
        <v>3.6382735756770451E-3</v>
      </c>
      <c r="AU86" s="6">
        <v>-8.9403248640630983E-3</v>
      </c>
      <c r="AV86" s="6">
        <v>1.6974566656662582E-3</v>
      </c>
      <c r="AW86" s="6">
        <v>-9.1825395060558535E-3</v>
      </c>
      <c r="AX86" s="26">
        <v>285</v>
      </c>
      <c r="AY86" s="26">
        <v>285</v>
      </c>
      <c r="AZ86" s="7">
        <v>270</v>
      </c>
      <c r="BA86" s="26">
        <v>-15</v>
      </c>
      <c r="BB86" s="26">
        <v>-15</v>
      </c>
      <c r="BC86" s="6">
        <v>6.3377584886392641E-2</v>
      </c>
      <c r="BD86" s="6">
        <v>6.3E-2</v>
      </c>
      <c r="BE86" s="11">
        <v>0.40713430844246346</v>
      </c>
      <c r="BF86" s="26">
        <v>265</v>
      </c>
      <c r="BG86" s="26">
        <v>5</v>
      </c>
      <c r="BH86" s="7">
        <v>-20</v>
      </c>
    </row>
    <row r="87" spans="2:60" x14ac:dyDescent="0.25">
      <c r="B87" s="3">
        <v>84</v>
      </c>
      <c r="C87" s="3" t="s">
        <v>172</v>
      </c>
      <c r="D87" s="3" t="s">
        <v>173</v>
      </c>
      <c r="E87" s="3" t="s">
        <v>704</v>
      </c>
      <c r="F87" s="3">
        <v>6303</v>
      </c>
      <c r="G87" s="3">
        <v>6</v>
      </c>
      <c r="H87" s="3">
        <v>0.48199999999999998</v>
      </c>
      <c r="I87" s="4">
        <v>37258</v>
      </c>
      <c r="J87" s="4">
        <v>38451</v>
      </c>
      <c r="K87" s="4">
        <v>38288</v>
      </c>
      <c r="L87" s="4">
        <v>-1193</v>
      </c>
      <c r="M87" s="4">
        <v>3487</v>
      </c>
      <c r="N87" s="18">
        <v>0</v>
      </c>
      <c r="O87" s="18">
        <v>3263</v>
      </c>
      <c r="P87" s="18">
        <v>9</v>
      </c>
      <c r="Q87" s="18">
        <v>0</v>
      </c>
      <c r="R87" s="18">
        <v>215</v>
      </c>
      <c r="S87" s="18">
        <v>0</v>
      </c>
      <c r="T87" s="18">
        <v>3487</v>
      </c>
      <c r="U87" s="18" t="b">
        <v>1</v>
      </c>
      <c r="V87" s="4">
        <v>3389</v>
      </c>
      <c r="W87" s="4">
        <v>3389</v>
      </c>
      <c r="X87" s="3" t="b">
        <v>1</v>
      </c>
      <c r="Y87" s="18">
        <v>39</v>
      </c>
      <c r="Z87" s="18">
        <v>3050</v>
      </c>
      <c r="AA87" s="18">
        <v>42</v>
      </c>
      <c r="AB87" s="18">
        <v>0</v>
      </c>
      <c r="AC87" s="18">
        <v>258</v>
      </c>
      <c r="AD87" s="18">
        <v>0</v>
      </c>
      <c r="AE87" s="18">
        <v>3389</v>
      </c>
      <c r="AF87" s="4">
        <v>98</v>
      </c>
      <c r="AG87" s="5">
        <v>2.8104387725838832E-2</v>
      </c>
      <c r="AH87" s="18">
        <f t="shared" si="1"/>
        <v>213</v>
      </c>
      <c r="AI87" s="6">
        <v>9.3590638252187455E-2</v>
      </c>
      <c r="AJ87" s="3">
        <v>9.4E-2</v>
      </c>
      <c r="AK87" s="6">
        <v>0.4285317950150877</v>
      </c>
      <c r="AL87" s="25">
        <v>0.42899999999999999</v>
      </c>
      <c r="AM87" s="6">
        <v>9.0686848196405809E-2</v>
      </c>
      <c r="AN87" s="3">
        <v>9.0999999999999998E-2</v>
      </c>
      <c r="AO87" s="6">
        <v>0.43017563850035018</v>
      </c>
      <c r="AP87" s="6">
        <v>8.8513372335979945E-2</v>
      </c>
      <c r="AQ87" s="6">
        <v>8.8999999999999996E-2</v>
      </c>
      <c r="AR87" s="6">
        <v>0.43962789981733319</v>
      </c>
      <c r="AS87" s="6">
        <v>0.439</v>
      </c>
      <c r="AT87" s="6">
        <v>5.0772659162075101E-3</v>
      </c>
      <c r="AU87" s="6">
        <v>-1.1096104802245488E-2</v>
      </c>
      <c r="AV87" s="6">
        <v>2.1734758604258636E-3</v>
      </c>
      <c r="AW87" s="6">
        <v>-9.4522613169830128E-3</v>
      </c>
      <c r="AX87" s="7">
        <v>242</v>
      </c>
      <c r="AY87" s="7">
        <v>244</v>
      </c>
      <c r="AZ87" s="7">
        <v>231</v>
      </c>
      <c r="BA87" s="26">
        <v>-11</v>
      </c>
      <c r="BB87" s="26">
        <v>-13</v>
      </c>
      <c r="BC87" s="6">
        <v>9.0960330667239256E-2</v>
      </c>
      <c r="BD87" s="6">
        <v>9.0999999999999998E-2</v>
      </c>
      <c r="BE87" s="11">
        <v>0.43676574143558644</v>
      </c>
      <c r="BF87" s="7">
        <v>237</v>
      </c>
      <c r="BG87" s="26">
        <v>-6</v>
      </c>
      <c r="BH87" s="7">
        <v>-5</v>
      </c>
    </row>
    <row r="88" spans="2:60" x14ac:dyDescent="0.25">
      <c r="B88" s="3">
        <v>85</v>
      </c>
      <c r="C88" s="3" t="s">
        <v>174</v>
      </c>
      <c r="D88" s="3" t="s">
        <v>175</v>
      </c>
      <c r="E88" s="3" t="s">
        <v>704</v>
      </c>
      <c r="F88" s="3">
        <v>6102</v>
      </c>
      <c r="G88" s="3">
        <v>6</v>
      </c>
      <c r="H88" s="3">
        <v>0.46899999999999997</v>
      </c>
      <c r="I88" s="4">
        <v>13955</v>
      </c>
      <c r="J88" s="4">
        <v>14627</v>
      </c>
      <c r="K88" s="4">
        <v>14504</v>
      </c>
      <c r="L88" s="4">
        <v>-672</v>
      </c>
      <c r="M88" s="4">
        <v>1377</v>
      </c>
      <c r="N88" s="18">
        <v>0</v>
      </c>
      <c r="O88" s="18">
        <v>1323</v>
      </c>
      <c r="P88" s="18">
        <v>0</v>
      </c>
      <c r="Q88" s="18">
        <v>0</v>
      </c>
      <c r="R88" s="18">
        <v>54</v>
      </c>
      <c r="S88" s="18">
        <v>0</v>
      </c>
      <c r="T88" s="18">
        <v>1377</v>
      </c>
      <c r="U88" s="18" t="b">
        <v>1</v>
      </c>
      <c r="V88" s="4">
        <v>1336</v>
      </c>
      <c r="W88" s="4">
        <v>1336</v>
      </c>
      <c r="X88" s="3" t="b">
        <v>1</v>
      </c>
      <c r="Y88" s="18">
        <v>0</v>
      </c>
      <c r="Z88" s="18">
        <v>1291</v>
      </c>
      <c r="AA88" s="18">
        <v>4</v>
      </c>
      <c r="AB88" s="18">
        <v>0</v>
      </c>
      <c r="AC88" s="18">
        <v>41</v>
      </c>
      <c r="AD88" s="18">
        <v>0</v>
      </c>
      <c r="AE88" s="18">
        <v>1336</v>
      </c>
      <c r="AF88" s="4">
        <v>41</v>
      </c>
      <c r="AG88" s="5">
        <v>2.9774872912127815E-2</v>
      </c>
      <c r="AH88" s="18">
        <f t="shared" si="1"/>
        <v>32</v>
      </c>
      <c r="AI88" s="6">
        <v>9.8674310283052666E-2</v>
      </c>
      <c r="AJ88" s="3">
        <v>9.9000000000000005E-2</v>
      </c>
      <c r="AK88" s="6">
        <v>0.43377150307315676</v>
      </c>
      <c r="AL88" s="25">
        <v>0.434</v>
      </c>
      <c r="AM88" s="6">
        <v>9.4140972174745333E-2</v>
      </c>
      <c r="AN88" s="3">
        <v>9.4E-2</v>
      </c>
      <c r="AO88" s="6">
        <v>0.43409952336401053</v>
      </c>
      <c r="AP88" s="6">
        <v>9.2112520683949262E-2</v>
      </c>
      <c r="AQ88" s="6">
        <v>9.1999999999999998E-2</v>
      </c>
      <c r="AR88" s="6">
        <v>0.44310819749530761</v>
      </c>
      <c r="AS88" s="6">
        <v>0.443</v>
      </c>
      <c r="AT88" s="6">
        <v>6.5617895991034042E-3</v>
      </c>
      <c r="AU88" s="6">
        <v>-9.3366944221508485E-3</v>
      </c>
      <c r="AV88" s="6">
        <v>2.028451490796071E-3</v>
      </c>
      <c r="AW88" s="6">
        <v>-9.0086741312970786E-3</v>
      </c>
      <c r="AX88" s="26">
        <v>239</v>
      </c>
      <c r="AY88" s="26">
        <v>238</v>
      </c>
      <c r="AZ88" s="7">
        <v>228</v>
      </c>
      <c r="BA88" s="26">
        <v>-11</v>
      </c>
      <c r="BB88" s="26">
        <v>-10</v>
      </c>
      <c r="BC88" s="6">
        <v>9.5736295234682911E-2</v>
      </c>
      <c r="BD88" s="6">
        <v>9.6000000000000002E-2</v>
      </c>
      <c r="BE88" s="11">
        <v>0.44189643709518989</v>
      </c>
      <c r="BF88" s="26">
        <v>229</v>
      </c>
      <c r="BG88" s="26">
        <v>-1</v>
      </c>
      <c r="BH88" s="7">
        <v>-10</v>
      </c>
    </row>
    <row r="89" spans="2:60" x14ac:dyDescent="0.25">
      <c r="B89" s="3">
        <v>86</v>
      </c>
      <c r="C89" s="3" t="s">
        <v>176</v>
      </c>
      <c r="D89" s="3" t="s">
        <v>177</v>
      </c>
      <c r="E89" s="3" t="s">
        <v>704</v>
      </c>
      <c r="F89" s="3">
        <v>6103</v>
      </c>
      <c r="G89" s="3">
        <v>6</v>
      </c>
      <c r="H89" s="3"/>
      <c r="I89" s="4">
        <v>7916</v>
      </c>
      <c r="J89" s="4">
        <v>8024</v>
      </c>
      <c r="K89" s="4">
        <v>7983</v>
      </c>
      <c r="L89" s="4">
        <v>-108</v>
      </c>
      <c r="M89" s="4">
        <v>1390</v>
      </c>
      <c r="N89" s="18">
        <v>0</v>
      </c>
      <c r="O89" s="18">
        <v>1319</v>
      </c>
      <c r="P89" s="18">
        <v>0</v>
      </c>
      <c r="Q89" s="18">
        <v>0</v>
      </c>
      <c r="R89" s="18">
        <v>71</v>
      </c>
      <c r="S89" s="18">
        <v>0</v>
      </c>
      <c r="T89" s="18">
        <v>1390</v>
      </c>
      <c r="U89" s="18" t="b">
        <v>1</v>
      </c>
      <c r="V89" s="4">
        <v>1280</v>
      </c>
      <c r="W89" s="4">
        <v>1280</v>
      </c>
      <c r="X89" s="3" t="b">
        <v>1</v>
      </c>
      <c r="Y89" s="18">
        <v>0</v>
      </c>
      <c r="Z89" s="18">
        <v>1194</v>
      </c>
      <c r="AA89" s="18">
        <v>0</v>
      </c>
      <c r="AB89" s="18">
        <v>0</v>
      </c>
      <c r="AC89" s="18">
        <v>86</v>
      </c>
      <c r="AD89" s="18">
        <v>0</v>
      </c>
      <c r="AE89" s="18">
        <v>1280</v>
      </c>
      <c r="AF89" s="4">
        <v>110</v>
      </c>
      <c r="AG89" s="5">
        <v>7.9136690647482008E-2</v>
      </c>
      <c r="AH89" s="18">
        <f t="shared" si="1"/>
        <v>125</v>
      </c>
      <c r="AI89" s="6">
        <v>0.17559373420919655</v>
      </c>
      <c r="AJ89" s="3">
        <v>0.17599999999999999</v>
      </c>
      <c r="AK89" s="6">
        <v>0.51305185847784052</v>
      </c>
      <c r="AL89" s="25">
        <v>0.51300000000000001</v>
      </c>
      <c r="AM89" s="6">
        <v>0.17323030907278167</v>
      </c>
      <c r="AN89" s="3">
        <v>0.17299999999999999</v>
      </c>
      <c r="AO89" s="6">
        <v>0.52394501063581489</v>
      </c>
      <c r="AP89" s="6">
        <v>0.16034072403858199</v>
      </c>
      <c r="AQ89" s="6">
        <v>0.16</v>
      </c>
      <c r="AR89" s="6">
        <v>0.52199494486272868</v>
      </c>
      <c r="AS89" s="6">
        <v>0.52200000000000002</v>
      </c>
      <c r="AT89" s="6">
        <v>1.5253010170614562E-2</v>
      </c>
      <c r="AU89" s="6">
        <v>-8.9430863848881659E-3</v>
      </c>
      <c r="AV89" s="6">
        <v>1.288958503419968E-2</v>
      </c>
      <c r="AW89" s="6">
        <v>1.950065773086207E-3</v>
      </c>
      <c r="AX89" s="7">
        <v>140</v>
      </c>
      <c r="AY89" s="7">
        <v>134</v>
      </c>
      <c r="AZ89" s="7">
        <v>135</v>
      </c>
      <c r="BA89" s="26">
        <v>-5</v>
      </c>
      <c r="BB89" s="26">
        <v>1</v>
      </c>
      <c r="BC89" s="6">
        <v>0.1616978271854472</v>
      </c>
      <c r="BD89" s="6">
        <v>0.16200000000000001</v>
      </c>
      <c r="BE89" s="11">
        <v>0.51275721106063166</v>
      </c>
      <c r="BF89" s="7">
        <v>144</v>
      </c>
      <c r="BG89" s="26">
        <v>-9</v>
      </c>
      <c r="BH89" s="7">
        <v>4</v>
      </c>
    </row>
    <row r="90" spans="2:60" x14ac:dyDescent="0.25">
      <c r="B90" s="3">
        <v>87</v>
      </c>
      <c r="C90" s="3" t="s">
        <v>178</v>
      </c>
      <c r="D90" s="3" t="s">
        <v>179</v>
      </c>
      <c r="E90" s="3" t="s">
        <v>704</v>
      </c>
      <c r="F90" s="3">
        <v>6104</v>
      </c>
      <c r="G90" s="3">
        <v>6</v>
      </c>
      <c r="H90" s="3">
        <v>0.497</v>
      </c>
      <c r="I90" s="4">
        <v>21373</v>
      </c>
      <c r="J90" s="4">
        <v>22143</v>
      </c>
      <c r="K90" s="4">
        <v>21936</v>
      </c>
      <c r="L90" s="4">
        <v>-770</v>
      </c>
      <c r="M90" s="4">
        <v>3438</v>
      </c>
      <c r="N90" s="18">
        <v>0</v>
      </c>
      <c r="O90" s="18">
        <v>3371</v>
      </c>
      <c r="P90" s="18">
        <v>0</v>
      </c>
      <c r="Q90" s="18">
        <v>0</v>
      </c>
      <c r="R90" s="18">
        <v>67</v>
      </c>
      <c r="S90" s="18">
        <v>0</v>
      </c>
      <c r="T90" s="18">
        <v>3438</v>
      </c>
      <c r="U90" s="18" t="b">
        <v>1</v>
      </c>
      <c r="V90" s="4">
        <v>3011</v>
      </c>
      <c r="W90" s="4">
        <v>3011</v>
      </c>
      <c r="X90" s="3" t="b">
        <v>1</v>
      </c>
      <c r="Y90" s="18">
        <v>1</v>
      </c>
      <c r="Z90" s="18">
        <v>2951</v>
      </c>
      <c r="AA90" s="18">
        <v>0</v>
      </c>
      <c r="AB90" s="18">
        <v>0</v>
      </c>
      <c r="AC90" s="18">
        <v>59</v>
      </c>
      <c r="AD90" s="18">
        <v>0</v>
      </c>
      <c r="AE90" s="18">
        <v>3011</v>
      </c>
      <c r="AF90" s="4">
        <v>427</v>
      </c>
      <c r="AG90" s="5">
        <v>0.1242001163467132</v>
      </c>
      <c r="AH90" s="18">
        <f t="shared" si="1"/>
        <v>420</v>
      </c>
      <c r="AI90" s="6">
        <v>0.16085715622514388</v>
      </c>
      <c r="AJ90" s="3">
        <v>0.161</v>
      </c>
      <c r="AK90" s="6">
        <v>0.49786296235263905</v>
      </c>
      <c r="AL90" s="25">
        <v>0.498</v>
      </c>
      <c r="AM90" s="6">
        <v>0.15526351442893918</v>
      </c>
      <c r="AN90" s="3">
        <v>0.155</v>
      </c>
      <c r="AO90" s="6">
        <v>0.50353473179418573</v>
      </c>
      <c r="AP90" s="6">
        <v>0.13726294675419401</v>
      </c>
      <c r="AQ90" s="6">
        <v>0.13700000000000001</v>
      </c>
      <c r="AR90" s="6">
        <v>0.49531266266492446</v>
      </c>
      <c r="AS90" s="6">
        <v>0.496</v>
      </c>
      <c r="AT90" s="6">
        <v>2.3594209470949867E-2</v>
      </c>
      <c r="AU90" s="6">
        <v>2.5502996877145856E-3</v>
      </c>
      <c r="AV90" s="6">
        <v>1.8000567674745171E-2</v>
      </c>
      <c r="AW90" s="6">
        <v>8.2220691292612669E-3</v>
      </c>
      <c r="AX90" s="26">
        <v>163</v>
      </c>
      <c r="AY90" s="26">
        <v>159</v>
      </c>
      <c r="AZ90" s="7">
        <v>167</v>
      </c>
      <c r="BA90" s="26">
        <v>4</v>
      </c>
      <c r="BB90" s="26">
        <v>8</v>
      </c>
      <c r="BC90" s="6">
        <v>0.14087867870677959</v>
      </c>
      <c r="BD90" s="6">
        <v>0.14099999999999999</v>
      </c>
      <c r="BE90" s="11">
        <v>0.49039173635332772</v>
      </c>
      <c r="BF90" s="26">
        <v>170</v>
      </c>
      <c r="BG90" s="26">
        <v>-3</v>
      </c>
      <c r="BH90" s="7">
        <v>7</v>
      </c>
    </row>
    <row r="91" spans="2:60" x14ac:dyDescent="0.25">
      <c r="B91" s="3">
        <v>88</v>
      </c>
      <c r="C91" s="3" t="s">
        <v>180</v>
      </c>
      <c r="D91" s="3" t="s">
        <v>181</v>
      </c>
      <c r="E91" s="3" t="s">
        <v>704</v>
      </c>
      <c r="F91" s="3">
        <v>6105</v>
      </c>
      <c r="G91" s="3">
        <v>6</v>
      </c>
      <c r="H91" s="3">
        <v>0.54700000000000004</v>
      </c>
      <c r="I91" s="4">
        <v>21925</v>
      </c>
      <c r="J91" s="4">
        <v>23647</v>
      </c>
      <c r="K91" s="4">
        <v>23425</v>
      </c>
      <c r="L91" s="4">
        <v>-1722</v>
      </c>
      <c r="M91" s="4">
        <v>3898</v>
      </c>
      <c r="N91" s="18">
        <v>0</v>
      </c>
      <c r="O91" s="18">
        <v>3858</v>
      </c>
      <c r="P91" s="18">
        <v>0</v>
      </c>
      <c r="Q91" s="18">
        <v>0</v>
      </c>
      <c r="R91" s="18">
        <v>40</v>
      </c>
      <c r="S91" s="18">
        <v>0</v>
      </c>
      <c r="T91" s="18">
        <v>3898</v>
      </c>
      <c r="U91" s="18" t="b">
        <v>1</v>
      </c>
      <c r="V91" s="4">
        <v>3564</v>
      </c>
      <c r="W91" s="4">
        <v>3564</v>
      </c>
      <c r="X91" s="3" t="b">
        <v>1</v>
      </c>
      <c r="Y91" s="18">
        <v>1</v>
      </c>
      <c r="Z91" s="18">
        <v>3515</v>
      </c>
      <c r="AA91" s="18">
        <v>0</v>
      </c>
      <c r="AB91" s="18">
        <v>0</v>
      </c>
      <c r="AC91" s="18">
        <v>48</v>
      </c>
      <c r="AD91" s="18">
        <v>0</v>
      </c>
      <c r="AE91" s="18">
        <v>3564</v>
      </c>
      <c r="AF91" s="4">
        <v>334</v>
      </c>
      <c r="AG91" s="5">
        <v>8.5684966649563876E-2</v>
      </c>
      <c r="AH91" s="18">
        <f t="shared" si="1"/>
        <v>343</v>
      </c>
      <c r="AI91" s="6">
        <v>0.17778791334093499</v>
      </c>
      <c r="AJ91" s="3">
        <v>0.17799999999999999</v>
      </c>
      <c r="AK91" s="6">
        <v>0.51531338479338851</v>
      </c>
      <c r="AL91" s="25">
        <v>0.51500000000000001</v>
      </c>
      <c r="AM91" s="6">
        <v>0.16484120607265193</v>
      </c>
      <c r="AN91" s="3">
        <v>0.16500000000000001</v>
      </c>
      <c r="AO91" s="6">
        <v>0.51441498956873066</v>
      </c>
      <c r="AP91" s="6">
        <v>0.15214514407684099</v>
      </c>
      <c r="AQ91" s="6">
        <v>0.152</v>
      </c>
      <c r="AR91" s="6">
        <v>0.51271415105479679</v>
      </c>
      <c r="AS91" s="6">
        <v>0.51300000000000001</v>
      </c>
      <c r="AT91" s="6">
        <v>2.5642769264094006E-2</v>
      </c>
      <c r="AU91" s="6">
        <v>2.5992337385917219E-3</v>
      </c>
      <c r="AV91" s="6">
        <v>1.2696061995810942E-2</v>
      </c>
      <c r="AW91" s="6">
        <v>1.7008385139338777E-3</v>
      </c>
      <c r="AX91" s="7">
        <v>136</v>
      </c>
      <c r="AY91" s="7">
        <v>143</v>
      </c>
      <c r="AZ91" s="7">
        <v>148</v>
      </c>
      <c r="BA91" s="26">
        <v>12</v>
      </c>
      <c r="BB91" s="26">
        <v>5</v>
      </c>
      <c r="BC91" s="6">
        <v>0.16255416191562144</v>
      </c>
      <c r="BD91" s="6">
        <v>0.16300000000000001</v>
      </c>
      <c r="BE91" s="11">
        <v>0.51367714939376385</v>
      </c>
      <c r="BF91" s="7">
        <v>143</v>
      </c>
      <c r="BG91" s="26">
        <v>5</v>
      </c>
      <c r="BH91" s="7">
        <v>7</v>
      </c>
    </row>
    <row r="92" spans="2:60" x14ac:dyDescent="0.25">
      <c r="B92" s="3">
        <v>89</v>
      </c>
      <c r="C92" s="3" t="s">
        <v>182</v>
      </c>
      <c r="D92" s="3" t="s">
        <v>183</v>
      </c>
      <c r="E92" s="3" t="s">
        <v>704</v>
      </c>
      <c r="F92" s="3">
        <v>6106</v>
      </c>
      <c r="G92" s="3">
        <v>6</v>
      </c>
      <c r="H92" s="3">
        <v>0.41599999999999998</v>
      </c>
      <c r="I92" s="4">
        <v>35938</v>
      </c>
      <c r="J92" s="4">
        <v>38185</v>
      </c>
      <c r="K92" s="4">
        <v>37793</v>
      </c>
      <c r="L92" s="4">
        <v>-2247</v>
      </c>
      <c r="M92" s="4">
        <v>8782</v>
      </c>
      <c r="N92" s="18">
        <v>0</v>
      </c>
      <c r="O92" s="18">
        <v>8567</v>
      </c>
      <c r="P92" s="18">
        <v>48</v>
      </c>
      <c r="Q92" s="18">
        <v>0</v>
      </c>
      <c r="R92" s="18">
        <v>167</v>
      </c>
      <c r="S92" s="18">
        <v>0</v>
      </c>
      <c r="T92" s="18">
        <v>8782</v>
      </c>
      <c r="U92" s="18" t="b">
        <v>1</v>
      </c>
      <c r="V92" s="4">
        <v>8338</v>
      </c>
      <c r="W92" s="4">
        <v>8338</v>
      </c>
      <c r="X92" s="3" t="b">
        <v>1</v>
      </c>
      <c r="Y92" s="18">
        <v>15</v>
      </c>
      <c r="Z92" s="18">
        <v>8256</v>
      </c>
      <c r="AA92" s="18">
        <v>6</v>
      </c>
      <c r="AB92" s="18">
        <v>0</v>
      </c>
      <c r="AC92" s="18">
        <v>61</v>
      </c>
      <c r="AD92" s="18">
        <v>0</v>
      </c>
      <c r="AE92" s="18">
        <v>8338</v>
      </c>
      <c r="AF92" s="4">
        <v>444</v>
      </c>
      <c r="AG92" s="5">
        <v>5.0557959462537008E-2</v>
      </c>
      <c r="AH92" s="18">
        <f t="shared" si="1"/>
        <v>311</v>
      </c>
      <c r="AI92" s="6">
        <v>0.24436529578718905</v>
      </c>
      <c r="AJ92" s="3">
        <v>0.24399999999999999</v>
      </c>
      <c r="AK92" s="6">
        <v>0.58393426457689601</v>
      </c>
      <c r="AL92" s="25">
        <v>0.58399999999999996</v>
      </c>
      <c r="AM92" s="6">
        <v>0.22998559643839203</v>
      </c>
      <c r="AN92" s="3">
        <v>0.23</v>
      </c>
      <c r="AO92" s="6">
        <v>0.58841901748187753</v>
      </c>
      <c r="AP92" s="6">
        <v>0.22062286666843067</v>
      </c>
      <c r="AQ92" s="6">
        <v>0.221</v>
      </c>
      <c r="AR92" s="6">
        <v>0.59276099764820922</v>
      </c>
      <c r="AS92" s="6">
        <v>0.59199999999999997</v>
      </c>
      <c r="AT92" s="6">
        <v>2.3742429118758374E-2</v>
      </c>
      <c r="AU92" s="6">
        <v>-8.8267330713132086E-3</v>
      </c>
      <c r="AV92" s="6">
        <v>9.3627297699613588E-3</v>
      </c>
      <c r="AW92" s="6">
        <v>-4.3419801663316937E-3</v>
      </c>
      <c r="AX92" s="26">
        <v>73</v>
      </c>
      <c r="AY92" s="26">
        <v>67</v>
      </c>
      <c r="AZ92" s="7">
        <v>64</v>
      </c>
      <c r="BA92" s="26">
        <v>-9</v>
      </c>
      <c r="BB92" s="26">
        <v>-3</v>
      </c>
      <c r="BC92" s="6">
        <v>0.23201068506872949</v>
      </c>
      <c r="BD92" s="6">
        <v>0.23200000000000001</v>
      </c>
      <c r="BE92" s="11">
        <v>0.5882925023429888</v>
      </c>
      <c r="BF92" s="26">
        <v>73</v>
      </c>
      <c r="BG92" s="26">
        <v>-9</v>
      </c>
      <c r="BH92" s="7">
        <v>0</v>
      </c>
    </row>
    <row r="93" spans="2:60" x14ac:dyDescent="0.25">
      <c r="B93" s="3">
        <v>90</v>
      </c>
      <c r="C93" s="3" t="s">
        <v>184</v>
      </c>
      <c r="D93" s="3" t="s">
        <v>185</v>
      </c>
      <c r="E93" s="3" t="s">
        <v>704</v>
      </c>
      <c r="F93" s="3">
        <v>6202</v>
      </c>
      <c r="G93" s="3">
        <v>6</v>
      </c>
      <c r="H93" s="3"/>
      <c r="I93" s="4">
        <v>4609</v>
      </c>
      <c r="J93" s="4">
        <v>3098</v>
      </c>
      <c r="K93" s="4">
        <v>3103</v>
      </c>
      <c r="L93" s="4">
        <v>1511</v>
      </c>
      <c r="M93" s="4">
        <v>383</v>
      </c>
      <c r="N93" s="18">
        <v>0</v>
      </c>
      <c r="O93" s="18">
        <v>197</v>
      </c>
      <c r="P93" s="18">
        <v>0</v>
      </c>
      <c r="Q93" s="18">
        <v>0</v>
      </c>
      <c r="R93" s="18">
        <v>186</v>
      </c>
      <c r="S93" s="18">
        <v>0</v>
      </c>
      <c r="T93" s="18">
        <v>383</v>
      </c>
      <c r="U93" s="18" t="b">
        <v>1</v>
      </c>
      <c r="V93" s="4">
        <v>285</v>
      </c>
      <c r="W93" s="4">
        <v>285</v>
      </c>
      <c r="X93" s="3" t="b">
        <v>1</v>
      </c>
      <c r="Y93" s="18">
        <v>0</v>
      </c>
      <c r="Z93" s="18">
        <v>169</v>
      </c>
      <c r="AA93" s="18">
        <v>0</v>
      </c>
      <c r="AB93" s="18">
        <v>0</v>
      </c>
      <c r="AC93" s="18">
        <v>116</v>
      </c>
      <c r="AD93" s="18">
        <v>0</v>
      </c>
      <c r="AE93" s="18">
        <v>285</v>
      </c>
      <c r="AF93" s="4">
        <v>98</v>
      </c>
      <c r="AG93" s="5">
        <v>0.25587467362924282</v>
      </c>
      <c r="AH93" s="18">
        <f t="shared" si="1"/>
        <v>28</v>
      </c>
      <c r="AI93" s="6">
        <v>8.3098285962247775E-2</v>
      </c>
      <c r="AJ93" s="3">
        <v>8.3000000000000004E-2</v>
      </c>
      <c r="AK93" s="6">
        <v>0.41771739500896865</v>
      </c>
      <c r="AL93" s="25">
        <v>0.41799999999999998</v>
      </c>
      <c r="AM93" s="6">
        <v>0.12362814719173661</v>
      </c>
      <c r="AN93" s="3">
        <v>0.124</v>
      </c>
      <c r="AO93" s="6">
        <v>0.46759695439047211</v>
      </c>
      <c r="AP93" s="6">
        <v>9.1846600064453748E-2</v>
      </c>
      <c r="AQ93" s="6">
        <v>9.1999999999999998E-2</v>
      </c>
      <c r="AR93" s="6">
        <v>0.44310819749530761</v>
      </c>
      <c r="AS93" s="6">
        <v>0.443</v>
      </c>
      <c r="AT93" s="6">
        <v>-8.7483141022059729E-3</v>
      </c>
      <c r="AU93" s="6">
        <v>-2.5390802486338959E-2</v>
      </c>
      <c r="AV93" s="6">
        <v>3.1781547127282858E-2</v>
      </c>
      <c r="AW93" s="6">
        <v>2.4488756895164498E-2</v>
      </c>
      <c r="AX93" s="7">
        <v>256</v>
      </c>
      <c r="AY93" s="7">
        <v>199</v>
      </c>
      <c r="AZ93" s="7">
        <v>229</v>
      </c>
      <c r="BA93" s="26">
        <v>-27</v>
      </c>
      <c r="BB93" s="26">
        <v>30</v>
      </c>
      <c r="BC93" s="6">
        <v>6.1835539162508134E-2</v>
      </c>
      <c r="BD93" s="6">
        <v>6.2E-2</v>
      </c>
      <c r="BE93" s="11">
        <v>0.40547772845935875</v>
      </c>
      <c r="BF93" s="7">
        <v>271</v>
      </c>
      <c r="BG93" s="26">
        <v>-42</v>
      </c>
      <c r="BH93" s="7">
        <v>15</v>
      </c>
    </row>
    <row r="94" spans="2:60" x14ac:dyDescent="0.25">
      <c r="B94" s="3">
        <v>91</v>
      </c>
      <c r="C94" s="3" t="s">
        <v>186</v>
      </c>
      <c r="D94" s="3" t="s">
        <v>187</v>
      </c>
      <c r="E94" s="3" t="s">
        <v>704</v>
      </c>
      <c r="F94" s="3">
        <v>6107</v>
      </c>
      <c r="G94" s="3">
        <v>6</v>
      </c>
      <c r="H94" s="3">
        <v>0.44400000000000001</v>
      </c>
      <c r="I94" s="4">
        <v>27554</v>
      </c>
      <c r="J94" s="4">
        <v>27749</v>
      </c>
      <c r="K94" s="4">
        <v>27520</v>
      </c>
      <c r="L94" s="4">
        <v>-195</v>
      </c>
      <c r="M94" s="4">
        <v>1859</v>
      </c>
      <c r="N94" s="18">
        <v>18</v>
      </c>
      <c r="O94" s="18">
        <v>1099</v>
      </c>
      <c r="P94" s="18">
        <v>0</v>
      </c>
      <c r="Q94" s="18">
        <v>0</v>
      </c>
      <c r="R94" s="18">
        <v>742</v>
      </c>
      <c r="S94" s="18">
        <v>0</v>
      </c>
      <c r="T94" s="18">
        <v>1859</v>
      </c>
      <c r="U94" s="18" t="b">
        <v>1</v>
      </c>
      <c r="V94" s="4">
        <v>1726</v>
      </c>
      <c r="W94" s="4">
        <v>1726</v>
      </c>
      <c r="X94" s="3" t="b">
        <v>1</v>
      </c>
      <c r="Y94" s="18">
        <v>34</v>
      </c>
      <c r="Z94" s="18">
        <v>1031</v>
      </c>
      <c r="AA94" s="18">
        <v>0</v>
      </c>
      <c r="AB94" s="18">
        <v>0</v>
      </c>
      <c r="AC94" s="18">
        <v>661</v>
      </c>
      <c r="AD94" s="18">
        <v>0</v>
      </c>
      <c r="AE94" s="18">
        <v>1726</v>
      </c>
      <c r="AF94" s="4">
        <v>133</v>
      </c>
      <c r="AG94" s="5">
        <v>7.1543840774609999E-2</v>
      </c>
      <c r="AH94" s="18">
        <f t="shared" si="1"/>
        <v>68</v>
      </c>
      <c r="AI94" s="6">
        <v>6.7467518327647524E-2</v>
      </c>
      <c r="AJ94" s="3">
        <v>6.7000000000000004E-2</v>
      </c>
      <c r="AK94" s="6">
        <v>0.40160686336342488</v>
      </c>
      <c r="AL94" s="25">
        <v>0.40200000000000002</v>
      </c>
      <c r="AM94" s="6">
        <v>6.6993405167753789E-2</v>
      </c>
      <c r="AN94" s="3">
        <v>6.7000000000000004E-2</v>
      </c>
      <c r="AO94" s="6">
        <v>0.40325988705334531</v>
      </c>
      <c r="AP94" s="6">
        <v>6.2718023255813951E-2</v>
      </c>
      <c r="AQ94" s="6">
        <v>6.3E-2</v>
      </c>
      <c r="AR94" s="6">
        <v>0.40946531994155455</v>
      </c>
      <c r="AS94" s="6">
        <v>0.40899999999999997</v>
      </c>
      <c r="AT94" s="6">
        <v>4.7494950718335732E-3</v>
      </c>
      <c r="AU94" s="6">
        <v>-7.8584565781296689E-3</v>
      </c>
      <c r="AV94" s="6">
        <v>4.2753819119398379E-3</v>
      </c>
      <c r="AW94" s="6">
        <v>-6.2054328882092391E-3</v>
      </c>
      <c r="AX94" s="26">
        <v>283</v>
      </c>
      <c r="AY94" s="26">
        <v>278</v>
      </c>
      <c r="AZ94" s="7">
        <v>268</v>
      </c>
      <c r="BA94" s="26">
        <v>-15</v>
      </c>
      <c r="BB94" s="26">
        <v>-10</v>
      </c>
      <c r="BC94" s="6">
        <v>6.2640632938956234E-2</v>
      </c>
      <c r="BD94" s="6">
        <v>6.3E-2</v>
      </c>
      <c r="BE94" s="11">
        <v>0.40634261995636728</v>
      </c>
      <c r="BF94" s="26">
        <v>268</v>
      </c>
      <c r="BG94" s="26">
        <v>0</v>
      </c>
      <c r="BH94" s="7">
        <v>-15</v>
      </c>
    </row>
    <row r="95" spans="2:60" x14ac:dyDescent="0.25">
      <c r="B95" s="3">
        <v>92</v>
      </c>
      <c r="C95" s="3" t="s">
        <v>188</v>
      </c>
      <c r="D95" s="3" t="s">
        <v>189</v>
      </c>
      <c r="E95" s="3" t="s">
        <v>704</v>
      </c>
      <c r="F95" s="3">
        <v>6203</v>
      </c>
      <c r="G95" s="3">
        <v>6</v>
      </c>
      <c r="H95" s="3">
        <v>0.45</v>
      </c>
      <c r="I95" s="4">
        <v>8852</v>
      </c>
      <c r="J95" s="4">
        <v>6949</v>
      </c>
      <c r="K95" s="4">
        <v>6909</v>
      </c>
      <c r="L95" s="4">
        <v>1903</v>
      </c>
      <c r="M95" s="4">
        <v>776</v>
      </c>
      <c r="N95" s="18">
        <v>8</v>
      </c>
      <c r="O95" s="18">
        <v>259</v>
      </c>
      <c r="P95" s="18">
        <v>0</v>
      </c>
      <c r="Q95" s="18">
        <v>0</v>
      </c>
      <c r="R95" s="18">
        <v>509</v>
      </c>
      <c r="S95" s="18">
        <v>0</v>
      </c>
      <c r="T95" s="18">
        <v>776</v>
      </c>
      <c r="U95" s="18" t="b">
        <v>1</v>
      </c>
      <c r="V95" s="4">
        <v>588</v>
      </c>
      <c r="W95" s="4">
        <v>588</v>
      </c>
      <c r="X95" s="3" t="b">
        <v>1</v>
      </c>
      <c r="Y95" s="18">
        <v>6</v>
      </c>
      <c r="Z95" s="18">
        <v>178</v>
      </c>
      <c r="AA95" s="18">
        <v>0</v>
      </c>
      <c r="AB95" s="18">
        <v>0</v>
      </c>
      <c r="AC95" s="18">
        <v>404</v>
      </c>
      <c r="AD95" s="18">
        <v>0</v>
      </c>
      <c r="AE95" s="18">
        <v>588</v>
      </c>
      <c r="AF95" s="4">
        <v>188</v>
      </c>
      <c r="AG95" s="5">
        <v>0.2422680412371134</v>
      </c>
      <c r="AH95" s="18">
        <f t="shared" si="1"/>
        <v>81</v>
      </c>
      <c r="AI95" s="6">
        <v>8.7663804789877994E-2</v>
      </c>
      <c r="AJ95" s="3">
        <v>8.7999999999999995E-2</v>
      </c>
      <c r="AK95" s="6">
        <v>0.42242304589383278</v>
      </c>
      <c r="AL95" s="25">
        <v>0.42199999999999999</v>
      </c>
      <c r="AM95" s="6">
        <v>0.11167074399194128</v>
      </c>
      <c r="AN95" s="3">
        <v>0.112</v>
      </c>
      <c r="AO95" s="6">
        <v>0.45401334427149898</v>
      </c>
      <c r="AP95" s="6">
        <v>8.5106382978723402E-2</v>
      </c>
      <c r="AQ95" s="6">
        <v>8.5000000000000006E-2</v>
      </c>
      <c r="AR95" s="6">
        <v>0.43498750291336724</v>
      </c>
      <c r="AS95" s="6">
        <v>0.435</v>
      </c>
      <c r="AT95" s="6">
        <v>2.5574218111545921E-3</v>
      </c>
      <c r="AU95" s="6">
        <v>-1.2564457019534458E-2</v>
      </c>
      <c r="AV95" s="6">
        <v>2.656436101321788E-2</v>
      </c>
      <c r="AW95" s="6">
        <v>1.9025841358131734E-2</v>
      </c>
      <c r="AX95" s="7">
        <v>252</v>
      </c>
      <c r="AY95" s="7">
        <v>215</v>
      </c>
      <c r="AZ95" s="7">
        <v>237</v>
      </c>
      <c r="BA95" s="26">
        <v>-15</v>
      </c>
      <c r="BB95" s="26">
        <v>22</v>
      </c>
      <c r="BC95" s="6">
        <v>6.6425666516041579E-2</v>
      </c>
      <c r="BD95" s="6">
        <v>6.6000000000000003E-2</v>
      </c>
      <c r="BE95" s="11">
        <v>0.4104087839890288</v>
      </c>
      <c r="BF95" s="7">
        <v>260</v>
      </c>
      <c r="BG95" s="26">
        <v>-23</v>
      </c>
      <c r="BH95" s="7">
        <v>8</v>
      </c>
    </row>
    <row r="96" spans="2:60" x14ac:dyDescent="0.25">
      <c r="B96" s="3">
        <v>93</v>
      </c>
      <c r="C96" s="3" t="s">
        <v>190</v>
      </c>
      <c r="D96" s="3" t="s">
        <v>191</v>
      </c>
      <c r="E96" s="3" t="s">
        <v>704</v>
      </c>
      <c r="F96" s="3">
        <v>6304</v>
      </c>
      <c r="G96" s="3">
        <v>6</v>
      </c>
      <c r="H96" s="3">
        <v>0.45800000000000002</v>
      </c>
      <c r="I96" s="4">
        <v>7791</v>
      </c>
      <c r="J96" s="4">
        <v>7454</v>
      </c>
      <c r="K96" s="4">
        <v>7420</v>
      </c>
      <c r="L96" s="4">
        <v>337</v>
      </c>
      <c r="M96" s="4">
        <v>569</v>
      </c>
      <c r="N96" s="18">
        <v>0</v>
      </c>
      <c r="O96" s="18">
        <v>462</v>
      </c>
      <c r="P96" s="18">
        <v>0</v>
      </c>
      <c r="Q96" s="18">
        <v>0</v>
      </c>
      <c r="R96" s="18">
        <v>107</v>
      </c>
      <c r="S96" s="18">
        <v>0</v>
      </c>
      <c r="T96" s="18">
        <v>569</v>
      </c>
      <c r="U96" s="18" t="b">
        <v>1</v>
      </c>
      <c r="V96" s="4">
        <v>511</v>
      </c>
      <c r="W96" s="4">
        <v>511</v>
      </c>
      <c r="X96" s="3" t="b">
        <v>1</v>
      </c>
      <c r="Y96" s="18">
        <v>0</v>
      </c>
      <c r="Z96" s="18">
        <v>441</v>
      </c>
      <c r="AA96" s="18">
        <v>0</v>
      </c>
      <c r="AB96" s="18">
        <v>0</v>
      </c>
      <c r="AC96" s="18">
        <v>70</v>
      </c>
      <c r="AD96" s="18">
        <v>0</v>
      </c>
      <c r="AE96" s="18">
        <v>511</v>
      </c>
      <c r="AF96" s="4">
        <v>58</v>
      </c>
      <c r="AG96" s="5">
        <v>0.10193321616871705</v>
      </c>
      <c r="AH96" s="18">
        <f t="shared" si="1"/>
        <v>21</v>
      </c>
      <c r="AI96" s="6">
        <v>7.3032986779617504E-2</v>
      </c>
      <c r="AJ96" s="3">
        <v>7.2999999999999995E-2</v>
      </c>
      <c r="AK96" s="6">
        <v>0.40734315589324671</v>
      </c>
      <c r="AL96" s="25">
        <v>0.40699999999999997</v>
      </c>
      <c r="AM96" s="6">
        <v>7.6334853769788033E-2</v>
      </c>
      <c r="AN96" s="3">
        <v>7.5999999999999998E-2</v>
      </c>
      <c r="AO96" s="6">
        <v>0.41387177273088371</v>
      </c>
      <c r="AP96" s="6">
        <v>6.8867924528301885E-2</v>
      </c>
      <c r="AQ96" s="6">
        <v>6.9000000000000006E-2</v>
      </c>
      <c r="AR96" s="6">
        <v>0.4164259152975035</v>
      </c>
      <c r="AS96" s="6">
        <v>0.41599999999999998</v>
      </c>
      <c r="AT96" s="6">
        <v>4.1650622513156182E-3</v>
      </c>
      <c r="AU96" s="6">
        <v>-9.0827594042567905E-3</v>
      </c>
      <c r="AV96" s="6">
        <v>7.4669292414861477E-3</v>
      </c>
      <c r="AW96" s="6">
        <v>-2.5541425666197881E-3</v>
      </c>
      <c r="AX96" s="26">
        <v>271</v>
      </c>
      <c r="AY96" s="26">
        <v>262</v>
      </c>
      <c r="AZ96" s="7">
        <v>256</v>
      </c>
      <c r="BA96" s="26">
        <v>-15</v>
      </c>
      <c r="BB96" s="26">
        <v>-6</v>
      </c>
      <c r="BC96" s="6">
        <v>6.5588499550763707E-2</v>
      </c>
      <c r="BD96" s="6">
        <v>6.6000000000000003E-2</v>
      </c>
      <c r="BE96" s="11">
        <v>0.40950943709177712</v>
      </c>
      <c r="BF96" s="26">
        <v>261</v>
      </c>
      <c r="BG96" s="26">
        <v>-5</v>
      </c>
      <c r="BH96" s="7">
        <v>-10</v>
      </c>
    </row>
    <row r="97" spans="2:60" x14ac:dyDescent="0.25">
      <c r="B97" s="3">
        <v>94</v>
      </c>
      <c r="C97" s="3" t="s">
        <v>192</v>
      </c>
      <c r="D97" s="3" t="s">
        <v>193</v>
      </c>
      <c r="E97" s="3" t="s">
        <v>704</v>
      </c>
      <c r="F97" s="3">
        <v>6108</v>
      </c>
      <c r="G97" s="3">
        <v>6</v>
      </c>
      <c r="H97" s="3">
        <v>0.55800000000000005</v>
      </c>
      <c r="I97" s="4">
        <v>60875</v>
      </c>
      <c r="J97" s="4">
        <v>64751</v>
      </c>
      <c r="K97" s="4">
        <v>63642</v>
      </c>
      <c r="L97" s="4">
        <v>-3876</v>
      </c>
      <c r="M97" s="4">
        <v>16668</v>
      </c>
      <c r="N97" s="18">
        <v>4</v>
      </c>
      <c r="O97" s="18">
        <v>11530</v>
      </c>
      <c r="P97" s="18">
        <v>4844</v>
      </c>
      <c r="Q97" s="18">
        <v>0</v>
      </c>
      <c r="R97" s="18">
        <v>290</v>
      </c>
      <c r="S97" s="18">
        <v>0</v>
      </c>
      <c r="T97" s="18">
        <v>16668</v>
      </c>
      <c r="U97" s="18" t="b">
        <v>1</v>
      </c>
      <c r="V97" s="4">
        <v>15945</v>
      </c>
      <c r="W97" s="4">
        <v>15945</v>
      </c>
      <c r="X97" s="3" t="b">
        <v>1</v>
      </c>
      <c r="Y97" s="18">
        <v>27</v>
      </c>
      <c r="Z97" s="18">
        <v>10671</v>
      </c>
      <c r="AA97" s="18">
        <v>5011</v>
      </c>
      <c r="AB97" s="18">
        <v>0</v>
      </c>
      <c r="AC97" s="18">
        <v>236</v>
      </c>
      <c r="AD97" s="18">
        <v>0</v>
      </c>
      <c r="AE97" s="18">
        <v>15945</v>
      </c>
      <c r="AF97" s="4">
        <v>723</v>
      </c>
      <c r="AG97" s="5">
        <v>4.3376529877609794E-2</v>
      </c>
      <c r="AH97" s="18">
        <f t="shared" si="1"/>
        <v>859</v>
      </c>
      <c r="AI97" s="6">
        <v>0.27380698151950716</v>
      </c>
      <c r="AJ97" s="3">
        <v>0.27400000000000002</v>
      </c>
      <c r="AK97" s="6">
        <v>0.61427962065772657</v>
      </c>
      <c r="AL97" s="25">
        <v>0.61399999999999999</v>
      </c>
      <c r="AM97" s="6">
        <v>0.2574168738706738</v>
      </c>
      <c r="AN97" s="3">
        <v>0.25700000000000001</v>
      </c>
      <c r="AO97" s="6">
        <v>0.61958094883766557</v>
      </c>
      <c r="AP97" s="6">
        <v>0.2505420948430282</v>
      </c>
      <c r="AQ97" s="6">
        <v>0.251</v>
      </c>
      <c r="AR97" s="6">
        <v>0.62756397442795375</v>
      </c>
      <c r="AS97" s="6">
        <v>0.627</v>
      </c>
      <c r="AT97" s="6">
        <v>2.3264886676478969E-2</v>
      </c>
      <c r="AU97" s="6">
        <v>-1.3284353770227186E-2</v>
      </c>
      <c r="AV97" s="6">
        <v>6.8747790276456056E-3</v>
      </c>
      <c r="AW97" s="6">
        <v>-7.9830255902881841E-3</v>
      </c>
      <c r="AX97" s="7">
        <v>44</v>
      </c>
      <c r="AY97" s="7">
        <v>43</v>
      </c>
      <c r="AZ97" s="7">
        <v>39</v>
      </c>
      <c r="BA97" s="26">
        <v>-5</v>
      </c>
      <c r="BB97" s="26">
        <v>-4</v>
      </c>
      <c r="BC97" s="6">
        <v>0.26193018480492813</v>
      </c>
      <c r="BD97" s="6">
        <v>0.26200000000000001</v>
      </c>
      <c r="BE97" s="11">
        <v>0.62043424989288487</v>
      </c>
      <c r="BF97" s="7">
        <v>43</v>
      </c>
      <c r="BG97" s="26">
        <v>-4</v>
      </c>
      <c r="BH97" s="7">
        <v>-1</v>
      </c>
    </row>
    <row r="98" spans="2:60" x14ac:dyDescent="0.25">
      <c r="B98" s="3">
        <v>95</v>
      </c>
      <c r="C98" s="3" t="s">
        <v>194</v>
      </c>
      <c r="D98" s="3" t="s">
        <v>195</v>
      </c>
      <c r="E98" s="3" t="s">
        <v>704</v>
      </c>
      <c r="F98" s="3">
        <v>6109</v>
      </c>
      <c r="G98" s="3">
        <v>6</v>
      </c>
      <c r="H98" s="3">
        <v>0.52</v>
      </c>
      <c r="I98" s="4">
        <v>13882</v>
      </c>
      <c r="J98" s="4">
        <v>14300</v>
      </c>
      <c r="K98" s="4">
        <v>14274</v>
      </c>
      <c r="L98" s="4">
        <v>-418</v>
      </c>
      <c r="M98" s="4">
        <v>1075</v>
      </c>
      <c r="N98" s="18">
        <v>0</v>
      </c>
      <c r="O98" s="18">
        <v>928</v>
      </c>
      <c r="P98" s="18">
        <v>0</v>
      </c>
      <c r="Q98" s="18">
        <v>0</v>
      </c>
      <c r="R98" s="18">
        <v>147</v>
      </c>
      <c r="S98" s="18">
        <v>0</v>
      </c>
      <c r="T98" s="18">
        <v>1075</v>
      </c>
      <c r="U98" s="18" t="b">
        <v>1</v>
      </c>
      <c r="V98" s="4">
        <v>949</v>
      </c>
      <c r="W98" s="4">
        <v>949</v>
      </c>
      <c r="X98" s="3" t="b">
        <v>1</v>
      </c>
      <c r="Y98" s="18">
        <v>1</v>
      </c>
      <c r="Z98" s="18">
        <v>817</v>
      </c>
      <c r="AA98" s="18">
        <v>0</v>
      </c>
      <c r="AB98" s="18">
        <v>0</v>
      </c>
      <c r="AC98" s="18">
        <v>131</v>
      </c>
      <c r="AD98" s="18">
        <v>0</v>
      </c>
      <c r="AE98" s="18">
        <v>949</v>
      </c>
      <c r="AF98" s="4">
        <v>126</v>
      </c>
      <c r="AG98" s="5">
        <v>0.1172093023255814</v>
      </c>
      <c r="AH98" s="18">
        <f t="shared" si="1"/>
        <v>111</v>
      </c>
      <c r="AI98" s="6">
        <v>7.7438409451087736E-2</v>
      </c>
      <c r="AJ98" s="3">
        <v>7.6999999999999999E-2</v>
      </c>
      <c r="AK98" s="6">
        <v>0.41188379669988306</v>
      </c>
      <c r="AL98" s="25">
        <v>0.41199999999999998</v>
      </c>
      <c r="AM98" s="6">
        <v>7.5174825174825169E-2</v>
      </c>
      <c r="AN98" s="3">
        <v>7.4999999999999997E-2</v>
      </c>
      <c r="AO98" s="6">
        <v>0.41255398023885625</v>
      </c>
      <c r="AP98" s="6">
        <v>6.6484517304189431E-2</v>
      </c>
      <c r="AQ98" s="6">
        <v>6.6000000000000003E-2</v>
      </c>
      <c r="AR98" s="6">
        <v>0.41294561761952903</v>
      </c>
      <c r="AS98" s="6">
        <v>0.41399999999999998</v>
      </c>
      <c r="AT98" s="6">
        <v>1.0953892146898306E-2</v>
      </c>
      <c r="AU98" s="6">
        <v>-1.0618209196459616E-3</v>
      </c>
      <c r="AV98" s="6">
        <v>8.6903078706357384E-3</v>
      </c>
      <c r="AW98" s="6">
        <v>-3.9163738067277132E-4</v>
      </c>
      <c r="AX98" s="26">
        <v>266</v>
      </c>
      <c r="AY98" s="26">
        <v>264</v>
      </c>
      <c r="AZ98" s="7">
        <v>262</v>
      </c>
      <c r="BA98" s="26">
        <v>-4</v>
      </c>
      <c r="BB98" s="26">
        <v>-2</v>
      </c>
      <c r="BC98" s="6">
        <v>6.8361907506123032E-2</v>
      </c>
      <c r="BD98" s="6">
        <v>6.8000000000000005E-2</v>
      </c>
      <c r="BE98" s="11">
        <v>0.41248883778831291</v>
      </c>
      <c r="BF98" s="26">
        <v>256</v>
      </c>
      <c r="BG98" s="26">
        <v>6</v>
      </c>
      <c r="BH98" s="7">
        <v>-10</v>
      </c>
    </row>
    <row r="99" spans="2:60" x14ac:dyDescent="0.25">
      <c r="B99" s="3">
        <v>96</v>
      </c>
      <c r="C99" s="3" t="s">
        <v>196</v>
      </c>
      <c r="D99" s="3" t="s">
        <v>197</v>
      </c>
      <c r="E99" s="3" t="s">
        <v>704</v>
      </c>
      <c r="F99" s="3">
        <v>6204</v>
      </c>
      <c r="G99" s="3">
        <v>6</v>
      </c>
      <c r="H99" s="3">
        <v>0.374</v>
      </c>
      <c r="I99" s="4">
        <v>8715</v>
      </c>
      <c r="J99" s="4">
        <v>7715</v>
      </c>
      <c r="K99" s="4">
        <v>7699</v>
      </c>
      <c r="L99" s="4">
        <v>1000</v>
      </c>
      <c r="M99" s="4">
        <v>451</v>
      </c>
      <c r="N99" s="18">
        <v>11</v>
      </c>
      <c r="O99" s="18">
        <v>296</v>
      </c>
      <c r="P99" s="18">
        <v>0</v>
      </c>
      <c r="Q99" s="18">
        <v>0</v>
      </c>
      <c r="R99" s="18">
        <v>144</v>
      </c>
      <c r="S99" s="18">
        <v>0</v>
      </c>
      <c r="T99" s="18">
        <v>451</v>
      </c>
      <c r="U99" s="18" t="b">
        <v>1</v>
      </c>
      <c r="V99" s="4">
        <v>359</v>
      </c>
      <c r="W99" s="4">
        <v>359</v>
      </c>
      <c r="X99" s="3" t="b">
        <v>1</v>
      </c>
      <c r="Y99" s="18">
        <v>20</v>
      </c>
      <c r="Z99" s="18">
        <v>260</v>
      </c>
      <c r="AA99" s="18">
        <v>0</v>
      </c>
      <c r="AB99" s="18">
        <v>0</v>
      </c>
      <c r="AC99" s="18">
        <v>79</v>
      </c>
      <c r="AD99" s="18">
        <v>0</v>
      </c>
      <c r="AE99" s="18">
        <v>359</v>
      </c>
      <c r="AF99" s="4">
        <v>92</v>
      </c>
      <c r="AG99" s="5">
        <v>0.2039911308203991</v>
      </c>
      <c r="AH99" s="18">
        <f t="shared" si="1"/>
        <v>36</v>
      </c>
      <c r="AI99" s="6">
        <v>5.1749856569133675E-2</v>
      </c>
      <c r="AJ99" s="3">
        <v>5.1999999999999998E-2</v>
      </c>
      <c r="AK99" s="6">
        <v>0.38540677050336836</v>
      </c>
      <c r="AL99" s="25">
        <v>0.38500000000000001</v>
      </c>
      <c r="AM99" s="6">
        <v>5.845755022683085E-2</v>
      </c>
      <c r="AN99" s="3">
        <v>5.8000000000000003E-2</v>
      </c>
      <c r="AO99" s="6">
        <v>0.39356315578048895</v>
      </c>
      <c r="AP99" s="6">
        <v>4.662943239381738E-2</v>
      </c>
      <c r="AQ99" s="6">
        <v>4.7E-2</v>
      </c>
      <c r="AR99" s="6">
        <v>0.39090373232569076</v>
      </c>
      <c r="AS99" s="6">
        <v>0.39100000000000001</v>
      </c>
      <c r="AT99" s="6">
        <v>5.1204241753162946E-3</v>
      </c>
      <c r="AU99" s="6">
        <v>-5.4969618223223993E-3</v>
      </c>
      <c r="AV99" s="6">
        <v>1.182811783301347E-2</v>
      </c>
      <c r="AW99" s="6">
        <v>2.6594234547981932E-3</v>
      </c>
      <c r="AX99" s="7">
        <v>302</v>
      </c>
      <c r="AY99" s="7">
        <v>293</v>
      </c>
      <c r="AZ99" s="7">
        <v>293</v>
      </c>
      <c r="BA99" s="26">
        <v>-9</v>
      </c>
      <c r="BB99" s="26">
        <v>0</v>
      </c>
      <c r="BC99" s="6">
        <v>4.1193344807802637E-2</v>
      </c>
      <c r="BD99" s="6">
        <v>4.1000000000000002E-2</v>
      </c>
      <c r="BE99" s="11">
        <v>0.3833023510073717</v>
      </c>
      <c r="BF99" s="7">
        <v>306</v>
      </c>
      <c r="BG99" s="26">
        <v>-13</v>
      </c>
      <c r="BH99" s="7">
        <v>4</v>
      </c>
    </row>
    <row r="100" spans="2:60" x14ac:dyDescent="0.25">
      <c r="B100" s="3">
        <v>97</v>
      </c>
      <c r="C100" s="3" t="s">
        <v>198</v>
      </c>
      <c r="D100" s="3" t="s">
        <v>199</v>
      </c>
      <c r="E100" s="3" t="s">
        <v>704</v>
      </c>
      <c r="F100" s="3">
        <v>6110</v>
      </c>
      <c r="G100" s="3">
        <v>6</v>
      </c>
      <c r="H100" s="3">
        <v>0.47399999999999998</v>
      </c>
      <c r="I100" s="4">
        <v>27394</v>
      </c>
      <c r="J100" s="4">
        <v>28552</v>
      </c>
      <c r="K100" s="4">
        <v>28295</v>
      </c>
      <c r="L100" s="4">
        <v>-1158</v>
      </c>
      <c r="M100" s="4">
        <v>4686</v>
      </c>
      <c r="N100" s="18">
        <v>1</v>
      </c>
      <c r="O100" s="18">
        <v>4523</v>
      </c>
      <c r="P100" s="18">
        <v>18</v>
      </c>
      <c r="Q100" s="18">
        <v>0</v>
      </c>
      <c r="R100" s="18">
        <v>144</v>
      </c>
      <c r="S100" s="18">
        <v>0</v>
      </c>
      <c r="T100" s="18">
        <v>4686</v>
      </c>
      <c r="U100" s="18" t="b">
        <v>1</v>
      </c>
      <c r="V100" s="4">
        <v>4466</v>
      </c>
      <c r="W100" s="4">
        <v>4466</v>
      </c>
      <c r="X100" s="3" t="b">
        <v>1</v>
      </c>
      <c r="Y100" s="18">
        <v>2</v>
      </c>
      <c r="Z100" s="18">
        <v>4304</v>
      </c>
      <c r="AA100" s="18">
        <v>8</v>
      </c>
      <c r="AB100" s="18">
        <v>0</v>
      </c>
      <c r="AC100" s="18">
        <v>152</v>
      </c>
      <c r="AD100" s="18">
        <v>0</v>
      </c>
      <c r="AE100" s="18">
        <v>4466</v>
      </c>
      <c r="AF100" s="4">
        <v>220</v>
      </c>
      <c r="AG100" s="5">
        <v>4.6948356807511735E-2</v>
      </c>
      <c r="AH100" s="18">
        <f t="shared" si="1"/>
        <v>219</v>
      </c>
      <c r="AI100" s="6">
        <v>0.17105935606337155</v>
      </c>
      <c r="AJ100" s="3">
        <v>0.17100000000000001</v>
      </c>
      <c r="AK100" s="6">
        <v>0.50837830409337958</v>
      </c>
      <c r="AL100" s="25">
        <v>0.50800000000000001</v>
      </c>
      <c r="AM100" s="6">
        <v>0.16412160268982909</v>
      </c>
      <c r="AN100" s="3">
        <v>0.16400000000000001</v>
      </c>
      <c r="AO100" s="6">
        <v>0.51359752012078841</v>
      </c>
      <c r="AP100" s="6">
        <v>0.15783707368793073</v>
      </c>
      <c r="AQ100" s="6">
        <v>0.158</v>
      </c>
      <c r="AR100" s="6">
        <v>0.51967474641074562</v>
      </c>
      <c r="AS100" s="6">
        <v>0.52</v>
      </c>
      <c r="AT100" s="6">
        <v>1.3222282375440819E-2</v>
      </c>
      <c r="AU100" s="6">
        <v>-1.129644231736604E-2</v>
      </c>
      <c r="AV100" s="6">
        <v>6.2845290018983535E-3</v>
      </c>
      <c r="AW100" s="6">
        <v>-6.077226289957216E-3</v>
      </c>
      <c r="AX100" s="26">
        <v>154</v>
      </c>
      <c r="AY100" s="26">
        <v>144</v>
      </c>
      <c r="AZ100" s="7">
        <v>137</v>
      </c>
      <c r="BA100" s="26">
        <v>-17</v>
      </c>
      <c r="BB100" s="26">
        <v>-7</v>
      </c>
      <c r="BC100" s="6">
        <v>0.16302840037964517</v>
      </c>
      <c r="BD100" s="6">
        <v>0.16300000000000001</v>
      </c>
      <c r="BE100" s="11">
        <v>0.51418661155467893</v>
      </c>
      <c r="BF100" s="26">
        <v>142</v>
      </c>
      <c r="BG100" s="26">
        <v>-5</v>
      </c>
      <c r="BH100" s="7">
        <v>-12</v>
      </c>
    </row>
    <row r="101" spans="2:60" x14ac:dyDescent="0.25">
      <c r="B101" s="3">
        <v>98</v>
      </c>
      <c r="C101" s="3" t="s">
        <v>200</v>
      </c>
      <c r="D101" s="3" t="s">
        <v>201</v>
      </c>
      <c r="E101" s="3" t="s">
        <v>704</v>
      </c>
      <c r="F101" s="3">
        <v>6305</v>
      </c>
      <c r="G101" s="3">
        <v>6</v>
      </c>
      <c r="H101" s="3">
        <v>0.45900000000000002</v>
      </c>
      <c r="I101" s="4">
        <v>18723</v>
      </c>
      <c r="J101" s="4">
        <v>19725</v>
      </c>
      <c r="K101" s="4">
        <v>19589</v>
      </c>
      <c r="L101" s="4">
        <v>-1002</v>
      </c>
      <c r="M101" s="4">
        <v>2030</v>
      </c>
      <c r="N101" s="18">
        <v>0</v>
      </c>
      <c r="O101" s="18">
        <v>1968</v>
      </c>
      <c r="P101" s="18">
        <v>0</v>
      </c>
      <c r="Q101" s="18">
        <v>0</v>
      </c>
      <c r="R101" s="18">
        <v>62</v>
      </c>
      <c r="S101" s="18">
        <v>0</v>
      </c>
      <c r="T101" s="18">
        <v>2030</v>
      </c>
      <c r="U101" s="18" t="b">
        <v>1</v>
      </c>
      <c r="V101" s="4">
        <v>1957</v>
      </c>
      <c r="W101" s="4">
        <v>1957</v>
      </c>
      <c r="X101" s="3" t="b">
        <v>1</v>
      </c>
      <c r="Y101" s="18">
        <v>0</v>
      </c>
      <c r="Z101" s="18">
        <v>1883</v>
      </c>
      <c r="AA101" s="18">
        <v>0</v>
      </c>
      <c r="AB101" s="18">
        <v>0</v>
      </c>
      <c r="AC101" s="18">
        <v>74</v>
      </c>
      <c r="AD101" s="18">
        <v>0</v>
      </c>
      <c r="AE101" s="18">
        <v>1957</v>
      </c>
      <c r="AF101" s="4">
        <v>73</v>
      </c>
      <c r="AG101" s="5">
        <v>3.5960591133004927E-2</v>
      </c>
      <c r="AH101" s="18">
        <f t="shared" si="1"/>
        <v>85</v>
      </c>
      <c r="AI101" s="6">
        <v>0.1084227954921754</v>
      </c>
      <c r="AJ101" s="3">
        <v>0.108</v>
      </c>
      <c r="AK101" s="6">
        <v>0.4438192040645037</v>
      </c>
      <c r="AL101" s="25">
        <v>0.44400000000000001</v>
      </c>
      <c r="AM101" s="6">
        <v>0.10291508238276299</v>
      </c>
      <c r="AN101" s="3">
        <v>0.10299999999999999</v>
      </c>
      <c r="AO101" s="6">
        <v>0.4440669126219603</v>
      </c>
      <c r="AP101" s="6">
        <v>9.990300678952474E-2</v>
      </c>
      <c r="AQ101" s="6">
        <v>0.1</v>
      </c>
      <c r="AR101" s="6">
        <v>0.45238899130323951</v>
      </c>
      <c r="AS101" s="6">
        <v>0.45200000000000001</v>
      </c>
      <c r="AT101" s="6">
        <v>8.5197887026506602E-3</v>
      </c>
      <c r="AU101" s="6">
        <v>-8.5697872387358043E-3</v>
      </c>
      <c r="AV101" s="6">
        <v>3.0120755932382531E-3</v>
      </c>
      <c r="AW101" s="6">
        <v>-8.3220786812792102E-3</v>
      </c>
      <c r="AX101" s="7">
        <v>227</v>
      </c>
      <c r="AY101" s="7">
        <v>232</v>
      </c>
      <c r="AZ101" s="7">
        <v>217</v>
      </c>
      <c r="BA101" s="26">
        <v>-10</v>
      </c>
      <c r="BB101" s="26">
        <v>-15</v>
      </c>
      <c r="BC101" s="6">
        <v>0.10452384767398387</v>
      </c>
      <c r="BD101" s="6">
        <v>0.105</v>
      </c>
      <c r="BE101" s="11">
        <v>0.45133667822809098</v>
      </c>
      <c r="BF101" s="7">
        <v>217</v>
      </c>
      <c r="BG101" s="26">
        <v>0</v>
      </c>
      <c r="BH101" s="7">
        <v>-10</v>
      </c>
    </row>
    <row r="102" spans="2:60" x14ac:dyDescent="0.25">
      <c r="B102" s="3">
        <v>99</v>
      </c>
      <c r="C102" s="3" t="s">
        <v>202</v>
      </c>
      <c r="D102" s="3" t="s">
        <v>203</v>
      </c>
      <c r="E102" s="3" t="s">
        <v>704</v>
      </c>
      <c r="F102" s="3">
        <v>6205</v>
      </c>
      <c r="G102" s="3">
        <v>6</v>
      </c>
      <c r="H102" s="3">
        <v>0.47099999999999997</v>
      </c>
      <c r="I102" s="4">
        <v>8885</v>
      </c>
      <c r="J102" s="4">
        <v>7135</v>
      </c>
      <c r="K102" s="4">
        <v>7081</v>
      </c>
      <c r="L102" s="4">
        <v>1750</v>
      </c>
      <c r="M102" s="4">
        <v>1526</v>
      </c>
      <c r="N102" s="18">
        <v>0</v>
      </c>
      <c r="O102" s="18">
        <v>1004</v>
      </c>
      <c r="P102" s="18">
        <v>0</v>
      </c>
      <c r="Q102" s="18">
        <v>0</v>
      </c>
      <c r="R102" s="18">
        <v>522</v>
      </c>
      <c r="S102" s="18">
        <v>0</v>
      </c>
      <c r="T102" s="18">
        <v>1526</v>
      </c>
      <c r="U102" s="18" t="b">
        <v>1</v>
      </c>
      <c r="V102" s="4">
        <v>1090</v>
      </c>
      <c r="W102" s="4">
        <v>1090</v>
      </c>
      <c r="X102" s="3" t="b">
        <v>1</v>
      </c>
      <c r="Y102" s="18">
        <v>0</v>
      </c>
      <c r="Z102" s="18">
        <v>747</v>
      </c>
      <c r="AA102" s="18">
        <v>0</v>
      </c>
      <c r="AB102" s="18">
        <v>0</v>
      </c>
      <c r="AC102" s="18">
        <v>343</v>
      </c>
      <c r="AD102" s="18">
        <v>0</v>
      </c>
      <c r="AE102" s="18">
        <v>1090</v>
      </c>
      <c r="AF102" s="4">
        <v>436</v>
      </c>
      <c r="AG102" s="5">
        <v>0.2857142857142857</v>
      </c>
      <c r="AH102" s="18">
        <f t="shared" si="1"/>
        <v>257</v>
      </c>
      <c r="AI102" s="6">
        <v>0.17175014068655037</v>
      </c>
      <c r="AJ102" s="3">
        <v>0.17199999999999999</v>
      </c>
      <c r="AK102" s="6">
        <v>0.50909029136055273</v>
      </c>
      <c r="AL102" s="25">
        <v>0.50900000000000001</v>
      </c>
      <c r="AM102" s="6">
        <v>0.21387526278906799</v>
      </c>
      <c r="AN102" s="3">
        <v>0.214</v>
      </c>
      <c r="AO102" s="6">
        <v>0.57011767834306371</v>
      </c>
      <c r="AP102" s="6">
        <v>0.15393306030221721</v>
      </c>
      <c r="AQ102" s="6">
        <v>0.154</v>
      </c>
      <c r="AR102" s="6">
        <v>0.51503434950677973</v>
      </c>
      <c r="AS102" s="6">
        <v>0.51500000000000001</v>
      </c>
      <c r="AT102" s="6">
        <v>1.7817080384333162E-2</v>
      </c>
      <c r="AU102" s="6">
        <v>-5.9440581462270048E-3</v>
      </c>
      <c r="AV102" s="6">
        <v>5.9942202486850782E-2</v>
      </c>
      <c r="AW102" s="6">
        <v>5.5083328836283973E-2</v>
      </c>
      <c r="AX102" s="26">
        <v>151</v>
      </c>
      <c r="AY102" s="26">
        <v>90</v>
      </c>
      <c r="AZ102" s="7">
        <v>142</v>
      </c>
      <c r="BA102" s="26">
        <v>-9</v>
      </c>
      <c r="BB102" s="26">
        <v>52</v>
      </c>
      <c r="BC102" s="6">
        <v>0.12267867191896455</v>
      </c>
      <c r="BD102" s="6">
        <v>0.123</v>
      </c>
      <c r="BE102" s="11">
        <v>0.4708399380699963</v>
      </c>
      <c r="BF102" s="26">
        <v>196</v>
      </c>
      <c r="BG102" s="26">
        <v>-54</v>
      </c>
      <c r="BH102" s="7">
        <v>45</v>
      </c>
    </row>
    <row r="103" spans="2:60" x14ac:dyDescent="0.25">
      <c r="B103" s="3">
        <v>100</v>
      </c>
      <c r="C103" s="3" t="s">
        <v>204</v>
      </c>
      <c r="D103" s="3" t="s">
        <v>205</v>
      </c>
      <c r="E103" s="3" t="s">
        <v>704</v>
      </c>
      <c r="F103" s="3">
        <v>6111</v>
      </c>
      <c r="G103" s="3">
        <v>6</v>
      </c>
      <c r="H103" s="3">
        <v>0.55700000000000005</v>
      </c>
      <c r="I103" s="4">
        <v>13901</v>
      </c>
      <c r="J103" s="4">
        <v>15007</v>
      </c>
      <c r="K103" s="4">
        <v>14919</v>
      </c>
      <c r="L103" s="4">
        <v>-1106</v>
      </c>
      <c r="M103" s="4">
        <v>1807</v>
      </c>
      <c r="N103" s="18">
        <v>0</v>
      </c>
      <c r="O103" s="18">
        <v>1778</v>
      </c>
      <c r="P103" s="18">
        <v>0</v>
      </c>
      <c r="Q103" s="18">
        <v>0</v>
      </c>
      <c r="R103" s="18">
        <v>29</v>
      </c>
      <c r="S103" s="18">
        <v>0</v>
      </c>
      <c r="T103" s="18">
        <v>1807</v>
      </c>
      <c r="U103" s="18" t="b">
        <v>1</v>
      </c>
      <c r="V103" s="4">
        <v>1623</v>
      </c>
      <c r="W103" s="4">
        <v>1623</v>
      </c>
      <c r="X103" s="3" t="b">
        <v>1</v>
      </c>
      <c r="Y103" s="18">
        <v>3</v>
      </c>
      <c r="Z103" s="18">
        <v>1605</v>
      </c>
      <c r="AA103" s="18">
        <v>0</v>
      </c>
      <c r="AB103" s="18">
        <v>0</v>
      </c>
      <c r="AC103" s="18">
        <v>15</v>
      </c>
      <c r="AD103" s="18">
        <v>0</v>
      </c>
      <c r="AE103" s="18">
        <v>1623</v>
      </c>
      <c r="AF103" s="4">
        <v>184</v>
      </c>
      <c r="AG103" s="5">
        <v>0.1018262313226342</v>
      </c>
      <c r="AH103" s="18">
        <f t="shared" si="1"/>
        <v>173</v>
      </c>
      <c r="AI103" s="6">
        <v>0.12999064815480901</v>
      </c>
      <c r="AJ103" s="3">
        <v>0.13</v>
      </c>
      <c r="AK103" s="6">
        <v>0.4660490510541439</v>
      </c>
      <c r="AL103" s="25">
        <v>0.46600000000000003</v>
      </c>
      <c r="AM103" s="6">
        <v>0.12041047511161458</v>
      </c>
      <c r="AN103" s="3">
        <v>0.12</v>
      </c>
      <c r="AO103" s="6">
        <v>0.46394167888484805</v>
      </c>
      <c r="AP103" s="6">
        <v>0.10878745224210738</v>
      </c>
      <c r="AQ103" s="6">
        <v>0.109</v>
      </c>
      <c r="AR103" s="6">
        <v>0.46282988433716288</v>
      </c>
      <c r="AS103" s="6">
        <v>0.46300000000000002</v>
      </c>
      <c r="AT103" s="6">
        <v>2.1203195912701631E-2</v>
      </c>
      <c r="AU103" s="6">
        <v>3.2191667169810256E-3</v>
      </c>
      <c r="AV103" s="6">
        <v>1.1623022869507199E-2</v>
      </c>
      <c r="AW103" s="6">
        <v>1.1117945476851743E-3</v>
      </c>
      <c r="AX103" s="7">
        <v>200</v>
      </c>
      <c r="AY103" s="7">
        <v>205</v>
      </c>
      <c r="AZ103" s="7">
        <v>201</v>
      </c>
      <c r="BA103" s="26">
        <v>1</v>
      </c>
      <c r="BB103" s="26">
        <v>-4</v>
      </c>
      <c r="BC103" s="6">
        <v>0.11675419034601828</v>
      </c>
      <c r="BD103" s="6">
        <v>0.11700000000000001</v>
      </c>
      <c r="BE103" s="11">
        <v>0.46447542018832655</v>
      </c>
      <c r="BF103" s="7">
        <v>199</v>
      </c>
      <c r="BG103" s="26">
        <v>2</v>
      </c>
      <c r="BH103" s="7">
        <v>-1</v>
      </c>
    </row>
    <row r="104" spans="2:60" x14ac:dyDescent="0.25">
      <c r="B104" s="3">
        <v>101</v>
      </c>
      <c r="C104" s="3" t="s">
        <v>206</v>
      </c>
      <c r="D104" s="3" t="s">
        <v>207</v>
      </c>
      <c r="E104" s="3" t="s">
        <v>704</v>
      </c>
      <c r="F104" s="3">
        <v>6306</v>
      </c>
      <c r="G104" s="3">
        <v>6</v>
      </c>
      <c r="H104" s="3">
        <v>0.44400000000000001</v>
      </c>
      <c r="I104" s="4">
        <v>13060</v>
      </c>
      <c r="J104" s="4">
        <v>13597</v>
      </c>
      <c r="K104" s="4">
        <v>13534</v>
      </c>
      <c r="L104" s="4">
        <v>-537</v>
      </c>
      <c r="M104" s="4">
        <v>474</v>
      </c>
      <c r="N104" s="18">
        <v>0</v>
      </c>
      <c r="O104" s="18">
        <v>421</v>
      </c>
      <c r="P104" s="18">
        <v>0</v>
      </c>
      <c r="Q104" s="18">
        <v>0</v>
      </c>
      <c r="R104" s="18">
        <v>53</v>
      </c>
      <c r="S104" s="18">
        <v>0</v>
      </c>
      <c r="T104" s="18">
        <v>474</v>
      </c>
      <c r="U104" s="18" t="b">
        <v>1</v>
      </c>
      <c r="V104" s="4">
        <v>446</v>
      </c>
      <c r="W104" s="4">
        <v>446</v>
      </c>
      <c r="X104" s="3" t="b">
        <v>1</v>
      </c>
      <c r="Y104" s="18">
        <v>0</v>
      </c>
      <c r="Z104" s="18">
        <v>407</v>
      </c>
      <c r="AA104" s="18">
        <v>0</v>
      </c>
      <c r="AB104" s="18">
        <v>0</v>
      </c>
      <c r="AC104" s="18">
        <v>39</v>
      </c>
      <c r="AD104" s="18">
        <v>0</v>
      </c>
      <c r="AE104" s="18">
        <v>446</v>
      </c>
      <c r="AF104" s="4">
        <v>28</v>
      </c>
      <c r="AG104" s="5">
        <v>5.9071729957805907E-2</v>
      </c>
      <c r="AH104" s="18">
        <f t="shared" si="1"/>
        <v>14</v>
      </c>
      <c r="AI104" s="6">
        <v>3.6294027565084229E-2</v>
      </c>
      <c r="AJ104" s="3">
        <v>3.5999999999999997E-2</v>
      </c>
      <c r="AK104" s="6">
        <v>0.36947654697892279</v>
      </c>
      <c r="AL104" s="25">
        <v>0.36899999999999999</v>
      </c>
      <c r="AM104" s="6">
        <v>3.486063102154887E-2</v>
      </c>
      <c r="AN104" s="3">
        <v>3.5000000000000003E-2</v>
      </c>
      <c r="AO104" s="6">
        <v>0.36675705539751058</v>
      </c>
      <c r="AP104" s="6">
        <v>3.2954041672824001E-2</v>
      </c>
      <c r="AQ104" s="6">
        <v>3.3000000000000002E-2</v>
      </c>
      <c r="AR104" s="6">
        <v>0.37466234316181002</v>
      </c>
      <c r="AS104" s="6">
        <v>0.375</v>
      </c>
      <c r="AT104" s="6">
        <v>3.3399858922602277E-3</v>
      </c>
      <c r="AU104" s="6">
        <v>-5.1857961828872257E-3</v>
      </c>
      <c r="AV104" s="6">
        <v>1.9065893487248686E-3</v>
      </c>
      <c r="AW104" s="6">
        <v>-7.9052877642994401E-3</v>
      </c>
      <c r="AX104" s="26">
        <v>318</v>
      </c>
      <c r="AY104" s="26">
        <v>319</v>
      </c>
      <c r="AZ104" s="7">
        <v>314</v>
      </c>
      <c r="BA104" s="26">
        <v>-4</v>
      </c>
      <c r="BB104" s="26">
        <v>-5</v>
      </c>
      <c r="BC104" s="6">
        <v>3.415007656967841E-2</v>
      </c>
      <c r="BD104" s="6">
        <v>3.4000000000000002E-2</v>
      </c>
      <c r="BE104" s="11">
        <v>0.37573594944210431</v>
      </c>
      <c r="BF104" s="26">
        <v>313</v>
      </c>
      <c r="BG104" s="26">
        <v>1</v>
      </c>
      <c r="BH104" s="7">
        <v>-5</v>
      </c>
    </row>
    <row r="105" spans="2:60" x14ac:dyDescent="0.25">
      <c r="B105" s="3">
        <v>102</v>
      </c>
      <c r="C105" s="3" t="s">
        <v>208</v>
      </c>
      <c r="D105" s="3" t="s">
        <v>209</v>
      </c>
      <c r="E105" s="3" t="s">
        <v>704</v>
      </c>
      <c r="F105" s="3">
        <v>6206</v>
      </c>
      <c r="G105" s="3">
        <v>6</v>
      </c>
      <c r="H105" s="3">
        <v>0.498</v>
      </c>
      <c r="I105" s="4">
        <v>7228</v>
      </c>
      <c r="J105" s="4">
        <v>6259</v>
      </c>
      <c r="K105" s="4">
        <v>6284</v>
      </c>
      <c r="L105" s="4">
        <v>969</v>
      </c>
      <c r="M105" s="4">
        <v>149</v>
      </c>
      <c r="N105" s="18">
        <v>0</v>
      </c>
      <c r="O105" s="18">
        <v>13</v>
      </c>
      <c r="P105" s="18">
        <v>0</v>
      </c>
      <c r="Q105" s="18">
        <v>0</v>
      </c>
      <c r="R105" s="18">
        <v>136</v>
      </c>
      <c r="S105" s="18">
        <v>0</v>
      </c>
      <c r="T105" s="18">
        <v>149</v>
      </c>
      <c r="U105" s="18" t="b">
        <v>1</v>
      </c>
      <c r="V105" s="4">
        <v>114</v>
      </c>
      <c r="W105" s="4">
        <v>114</v>
      </c>
      <c r="X105" s="3" t="b">
        <v>1</v>
      </c>
      <c r="Y105" s="18">
        <v>0</v>
      </c>
      <c r="Z105" s="18">
        <v>17</v>
      </c>
      <c r="AA105" s="18">
        <v>0</v>
      </c>
      <c r="AB105" s="18">
        <v>0</v>
      </c>
      <c r="AC105" s="18">
        <v>97</v>
      </c>
      <c r="AD105" s="18">
        <v>0</v>
      </c>
      <c r="AE105" s="18">
        <v>114</v>
      </c>
      <c r="AF105" s="4">
        <v>35</v>
      </c>
      <c r="AG105" s="5">
        <v>0.2348993288590604</v>
      </c>
      <c r="AH105" s="18">
        <f t="shared" si="1"/>
        <v>-4</v>
      </c>
      <c r="AI105" s="6">
        <v>2.0614277808522413E-2</v>
      </c>
      <c r="AJ105" s="3">
        <v>2.1000000000000001E-2</v>
      </c>
      <c r="AK105" s="6">
        <v>0.35331552977538372</v>
      </c>
      <c r="AL105" s="25">
        <v>0.35299999999999998</v>
      </c>
      <c r="AM105" s="6">
        <v>2.3805719763540501E-2</v>
      </c>
      <c r="AN105" s="3">
        <v>2.4E-2</v>
      </c>
      <c r="AO105" s="6">
        <v>0.35419867613074779</v>
      </c>
      <c r="AP105" s="6">
        <v>1.8141311266709103E-2</v>
      </c>
      <c r="AQ105" s="6">
        <v>1.7999999999999999E-2</v>
      </c>
      <c r="AR105" s="6">
        <v>0.3572608547719377</v>
      </c>
      <c r="AS105" s="6">
        <v>0.35799999999999998</v>
      </c>
      <c r="AT105" s="6">
        <v>2.4729665418133095E-3</v>
      </c>
      <c r="AU105" s="6">
        <v>-3.9453249965539783E-3</v>
      </c>
      <c r="AV105" s="6">
        <v>5.6644084968313982E-3</v>
      </c>
      <c r="AW105" s="6">
        <v>-3.0621786411899055E-3</v>
      </c>
      <c r="AX105" s="7">
        <v>338</v>
      </c>
      <c r="AY105" s="7">
        <v>333</v>
      </c>
      <c r="AZ105" s="7">
        <v>332</v>
      </c>
      <c r="BA105" s="26">
        <v>-6</v>
      </c>
      <c r="BB105" s="26">
        <v>-1</v>
      </c>
      <c r="BC105" s="6">
        <v>1.5771997786386275E-2</v>
      </c>
      <c r="BD105" s="6">
        <v>1.6E-2</v>
      </c>
      <c r="BE105" s="11">
        <v>0.35599285300289474</v>
      </c>
      <c r="BF105" s="7">
        <v>339</v>
      </c>
      <c r="BG105" s="26">
        <v>-7</v>
      </c>
      <c r="BH105" s="7">
        <v>1</v>
      </c>
    </row>
    <row r="106" spans="2:60" x14ac:dyDescent="0.25">
      <c r="B106" s="3">
        <v>103</v>
      </c>
      <c r="C106" s="3" t="s">
        <v>210</v>
      </c>
      <c r="D106" s="3" t="s">
        <v>211</v>
      </c>
      <c r="E106" s="3" t="s">
        <v>704</v>
      </c>
      <c r="F106" s="3">
        <v>6307</v>
      </c>
      <c r="G106" s="3">
        <v>6</v>
      </c>
      <c r="H106" s="3">
        <v>0.45300000000000001</v>
      </c>
      <c r="I106" s="4">
        <v>12493</v>
      </c>
      <c r="J106" s="4">
        <v>12174</v>
      </c>
      <c r="K106" s="4">
        <v>12100</v>
      </c>
      <c r="L106" s="4">
        <v>319</v>
      </c>
      <c r="M106" s="4">
        <v>714</v>
      </c>
      <c r="N106" s="18">
        <v>0</v>
      </c>
      <c r="O106" s="18">
        <v>656</v>
      </c>
      <c r="P106" s="18">
        <v>0</v>
      </c>
      <c r="Q106" s="18">
        <v>0</v>
      </c>
      <c r="R106" s="18">
        <v>58</v>
      </c>
      <c r="S106" s="18">
        <v>0</v>
      </c>
      <c r="T106" s="18">
        <v>714</v>
      </c>
      <c r="U106" s="18" t="b">
        <v>1</v>
      </c>
      <c r="V106" s="4">
        <v>605</v>
      </c>
      <c r="W106" s="4">
        <v>605</v>
      </c>
      <c r="X106" s="3" t="b">
        <v>1</v>
      </c>
      <c r="Y106" s="18">
        <v>0</v>
      </c>
      <c r="Z106" s="18">
        <v>564</v>
      </c>
      <c r="AA106" s="18">
        <v>0</v>
      </c>
      <c r="AB106" s="18">
        <v>0</v>
      </c>
      <c r="AC106" s="18">
        <v>41</v>
      </c>
      <c r="AD106" s="18">
        <v>0</v>
      </c>
      <c r="AE106" s="18">
        <v>605</v>
      </c>
      <c r="AF106" s="4">
        <v>109</v>
      </c>
      <c r="AG106" s="5">
        <v>0.15266106442577032</v>
      </c>
      <c r="AH106" s="18">
        <f t="shared" si="1"/>
        <v>92</v>
      </c>
      <c r="AI106" s="6">
        <v>5.7152005122868804E-2</v>
      </c>
      <c r="AJ106" s="3">
        <v>5.7000000000000002E-2</v>
      </c>
      <c r="AK106" s="6">
        <v>0.39097473026474472</v>
      </c>
      <c r="AL106" s="25">
        <v>0.39100000000000001</v>
      </c>
      <c r="AM106" s="6">
        <v>5.8649581074420899E-2</v>
      </c>
      <c r="AN106" s="3">
        <v>5.8999999999999997E-2</v>
      </c>
      <c r="AO106" s="6">
        <v>0.39378130282470036</v>
      </c>
      <c r="AP106" s="6">
        <v>0.05</v>
      </c>
      <c r="AQ106" s="6">
        <v>0.05</v>
      </c>
      <c r="AR106" s="6">
        <v>0.39438403000366529</v>
      </c>
      <c r="AS106" s="6">
        <v>0.39500000000000002</v>
      </c>
      <c r="AT106" s="6">
        <v>7.1520051228688014E-3</v>
      </c>
      <c r="AU106" s="6">
        <v>-3.4092997389205681E-3</v>
      </c>
      <c r="AV106" s="6">
        <v>8.6495810744208965E-3</v>
      </c>
      <c r="AW106" s="6">
        <v>-6.0272717896492356E-4</v>
      </c>
      <c r="AX106" s="26">
        <v>295</v>
      </c>
      <c r="AY106" s="26">
        <v>291</v>
      </c>
      <c r="AZ106" s="7">
        <v>289</v>
      </c>
      <c r="BA106" s="26">
        <v>-6</v>
      </c>
      <c r="BB106" s="26">
        <v>-2</v>
      </c>
      <c r="BC106" s="6">
        <v>4.8427119186744576E-2</v>
      </c>
      <c r="BD106" s="6">
        <v>4.8000000000000001E-2</v>
      </c>
      <c r="BE106" s="11">
        <v>0.39107340841043237</v>
      </c>
      <c r="BF106" s="26">
        <v>293</v>
      </c>
      <c r="BG106" s="26">
        <v>-4</v>
      </c>
      <c r="BH106" s="7">
        <v>-2</v>
      </c>
    </row>
    <row r="107" spans="2:60" x14ac:dyDescent="0.25">
      <c r="B107" s="3">
        <v>104</v>
      </c>
      <c r="C107" s="3" t="s">
        <v>212</v>
      </c>
      <c r="D107" s="3" t="s">
        <v>213</v>
      </c>
      <c r="E107" s="3" t="s">
        <v>704</v>
      </c>
      <c r="F107" s="3">
        <v>6112</v>
      </c>
      <c r="G107" s="3">
        <v>6</v>
      </c>
      <c r="H107" s="3">
        <v>0.44800000000000001</v>
      </c>
      <c r="I107" s="4">
        <v>14243</v>
      </c>
      <c r="J107" s="4">
        <v>15028</v>
      </c>
      <c r="K107" s="4">
        <v>15018</v>
      </c>
      <c r="L107" s="4">
        <v>-785</v>
      </c>
      <c r="M107" s="4">
        <v>1346</v>
      </c>
      <c r="N107" s="18">
        <v>12</v>
      </c>
      <c r="O107" s="18">
        <v>1299</v>
      </c>
      <c r="P107" s="18">
        <v>0</v>
      </c>
      <c r="Q107" s="18">
        <v>0</v>
      </c>
      <c r="R107" s="18">
        <v>35</v>
      </c>
      <c r="S107" s="18">
        <v>0</v>
      </c>
      <c r="T107" s="18">
        <v>1346</v>
      </c>
      <c r="U107" s="18" t="b">
        <v>1</v>
      </c>
      <c r="V107" s="4">
        <v>1417</v>
      </c>
      <c r="W107" s="4">
        <v>1417</v>
      </c>
      <c r="X107" s="3" t="b">
        <v>1</v>
      </c>
      <c r="Y107" s="18">
        <v>33</v>
      </c>
      <c r="Z107" s="18">
        <v>1352</v>
      </c>
      <c r="AA107" s="18">
        <v>0</v>
      </c>
      <c r="AB107" s="18">
        <v>0</v>
      </c>
      <c r="AC107" s="18">
        <v>32</v>
      </c>
      <c r="AD107" s="18">
        <v>0</v>
      </c>
      <c r="AE107" s="18">
        <v>1417</v>
      </c>
      <c r="AF107" s="4">
        <v>-71</v>
      </c>
      <c r="AG107" s="5">
        <v>-5.274888558692422E-2</v>
      </c>
      <c r="AH107" s="18">
        <f t="shared" si="1"/>
        <v>-53</v>
      </c>
      <c r="AI107" s="6">
        <v>9.4502562662360456E-2</v>
      </c>
      <c r="AJ107" s="3">
        <v>9.5000000000000001E-2</v>
      </c>
      <c r="AK107" s="6">
        <v>0.42947170963808518</v>
      </c>
      <c r="AL107" s="25">
        <v>0.42899999999999999</v>
      </c>
      <c r="AM107" s="6">
        <v>8.9566143199361195E-2</v>
      </c>
      <c r="AN107" s="3">
        <v>0.09</v>
      </c>
      <c r="AO107" s="6">
        <v>0.42890251761583409</v>
      </c>
      <c r="AP107" s="6">
        <v>9.4353442535623916E-2</v>
      </c>
      <c r="AQ107" s="6">
        <v>9.4E-2</v>
      </c>
      <c r="AR107" s="6">
        <v>0.44542839594729061</v>
      </c>
      <c r="AS107" s="6">
        <v>0.44600000000000001</v>
      </c>
      <c r="AT107" s="6">
        <v>1.4912012673654051E-4</v>
      </c>
      <c r="AU107" s="6">
        <v>-1.5956686309205437E-2</v>
      </c>
      <c r="AV107" s="6">
        <v>-4.7872993362627209E-3</v>
      </c>
      <c r="AW107" s="6">
        <v>-1.6525878331456523E-2</v>
      </c>
      <c r="AX107" s="7">
        <v>241</v>
      </c>
      <c r="AY107" s="7">
        <v>247</v>
      </c>
      <c r="AZ107" s="7">
        <v>225</v>
      </c>
      <c r="BA107" s="26">
        <v>-16</v>
      </c>
      <c r="BB107" s="26">
        <v>-22</v>
      </c>
      <c r="BC107" s="6">
        <v>9.9487467527908449E-2</v>
      </c>
      <c r="BD107" s="6">
        <v>9.9000000000000005E-2</v>
      </c>
      <c r="BE107" s="11">
        <v>0.44592622482319616</v>
      </c>
      <c r="BF107" s="7">
        <v>224</v>
      </c>
      <c r="BG107" s="26">
        <v>1</v>
      </c>
      <c r="BH107" s="7">
        <v>-17</v>
      </c>
    </row>
    <row r="108" spans="2:60" x14ac:dyDescent="0.25">
      <c r="B108" s="3">
        <v>105</v>
      </c>
      <c r="C108" s="3" t="s">
        <v>214</v>
      </c>
      <c r="D108" s="3" t="s">
        <v>215</v>
      </c>
      <c r="E108" s="3" t="s">
        <v>704</v>
      </c>
      <c r="F108" s="3">
        <v>6113</v>
      </c>
      <c r="G108" s="3">
        <v>6</v>
      </c>
      <c r="H108" s="3">
        <v>0.44</v>
      </c>
      <c r="I108" s="4">
        <v>20363</v>
      </c>
      <c r="J108" s="4">
        <v>21074</v>
      </c>
      <c r="K108" s="4">
        <v>21009</v>
      </c>
      <c r="L108" s="4">
        <v>-711</v>
      </c>
      <c r="M108" s="4">
        <v>1647</v>
      </c>
      <c r="N108" s="18">
        <v>2</v>
      </c>
      <c r="O108" s="18">
        <v>1582</v>
      </c>
      <c r="P108" s="18">
        <v>0</v>
      </c>
      <c r="Q108" s="18">
        <v>0</v>
      </c>
      <c r="R108" s="18">
        <v>63</v>
      </c>
      <c r="S108" s="18">
        <v>0</v>
      </c>
      <c r="T108" s="18">
        <v>1647</v>
      </c>
      <c r="U108" s="18" t="b">
        <v>1</v>
      </c>
      <c r="V108" s="4">
        <v>1491</v>
      </c>
      <c r="W108" s="4">
        <v>1491</v>
      </c>
      <c r="X108" s="3" t="b">
        <v>1</v>
      </c>
      <c r="Y108" s="18">
        <v>19</v>
      </c>
      <c r="Z108" s="18">
        <v>1428</v>
      </c>
      <c r="AA108" s="18">
        <v>0</v>
      </c>
      <c r="AB108" s="18">
        <v>0</v>
      </c>
      <c r="AC108" s="18">
        <v>44</v>
      </c>
      <c r="AD108" s="18">
        <v>0</v>
      </c>
      <c r="AE108" s="18">
        <v>1491</v>
      </c>
      <c r="AF108" s="4">
        <v>156</v>
      </c>
      <c r="AG108" s="28">
        <v>9.4717668488160295E-2</v>
      </c>
      <c r="AH108" s="18">
        <f t="shared" si="1"/>
        <v>154</v>
      </c>
      <c r="AI108" s="6">
        <v>8.0881991847959536E-2</v>
      </c>
      <c r="AJ108" s="3">
        <v>8.1000000000000003E-2</v>
      </c>
      <c r="AK108" s="6">
        <v>0.41543307492317616</v>
      </c>
      <c r="AL108" s="25">
        <v>0.41499999999999998</v>
      </c>
      <c r="AM108" s="6">
        <v>7.8153174527854224E-2</v>
      </c>
      <c r="AN108" s="3">
        <v>7.8E-2</v>
      </c>
      <c r="AO108" s="6">
        <v>0.41593738512482137</v>
      </c>
      <c r="AP108" s="6">
        <v>7.0969584463801222E-2</v>
      </c>
      <c r="AQ108" s="6">
        <v>7.0999999999999994E-2</v>
      </c>
      <c r="AR108" s="6">
        <v>0.41874611374948645</v>
      </c>
      <c r="AS108" s="6">
        <v>0.41899999999999998</v>
      </c>
      <c r="AT108" s="6">
        <v>9.9124073841583143E-3</v>
      </c>
      <c r="AU108" s="6">
        <v>-3.3130388263102883E-3</v>
      </c>
      <c r="AV108" s="6">
        <v>7.1835900640530026E-3</v>
      </c>
      <c r="AW108" s="6">
        <v>-2.80872862466508E-3</v>
      </c>
      <c r="AX108" s="7">
        <v>263</v>
      </c>
      <c r="AY108" s="26">
        <v>258</v>
      </c>
      <c r="AZ108" s="7">
        <v>252</v>
      </c>
      <c r="BA108" s="26">
        <v>-11</v>
      </c>
      <c r="BB108" s="26">
        <v>-6</v>
      </c>
      <c r="BC108" s="6">
        <v>7.3221038157442422E-2</v>
      </c>
      <c r="BD108" s="6">
        <v>7.2999999999999995E-2</v>
      </c>
      <c r="BE108" s="11">
        <v>0.41770887662865858</v>
      </c>
      <c r="BF108" s="26">
        <v>251</v>
      </c>
      <c r="BG108" s="26">
        <v>1</v>
      </c>
      <c r="BH108" s="7">
        <v>-12</v>
      </c>
    </row>
    <row r="109" spans="2:60" x14ac:dyDescent="0.25">
      <c r="B109" s="3">
        <v>106</v>
      </c>
      <c r="C109" s="3" t="s">
        <v>216</v>
      </c>
      <c r="D109" s="3" t="s">
        <v>217</v>
      </c>
      <c r="E109" s="3" t="s">
        <v>704</v>
      </c>
      <c r="F109" s="3">
        <v>6201</v>
      </c>
      <c r="G109" s="3">
        <v>6</v>
      </c>
      <c r="H109" s="3">
        <v>0.56899999999999995</v>
      </c>
      <c r="I109" s="4">
        <v>19847</v>
      </c>
      <c r="J109" s="4">
        <v>18804</v>
      </c>
      <c r="K109" s="4">
        <v>18587</v>
      </c>
      <c r="L109" s="4">
        <v>1043</v>
      </c>
      <c r="M109" s="4">
        <v>5041</v>
      </c>
      <c r="N109" s="18">
        <v>1</v>
      </c>
      <c r="O109" s="18">
        <v>4375</v>
      </c>
      <c r="P109" s="18">
        <v>0</v>
      </c>
      <c r="Q109" s="18">
        <v>0</v>
      </c>
      <c r="R109" s="18">
        <v>665</v>
      </c>
      <c r="S109" s="18">
        <v>0</v>
      </c>
      <c r="T109" s="18">
        <v>5041</v>
      </c>
      <c r="U109" s="18" t="b">
        <v>1</v>
      </c>
      <c r="V109" s="4">
        <v>4568</v>
      </c>
      <c r="W109" s="4">
        <v>4568</v>
      </c>
      <c r="X109" s="3" t="b">
        <v>1</v>
      </c>
      <c r="Y109" s="18">
        <v>1</v>
      </c>
      <c r="Z109" s="18">
        <v>4157</v>
      </c>
      <c r="AA109" s="18">
        <v>0</v>
      </c>
      <c r="AB109" s="18">
        <v>1</v>
      </c>
      <c r="AC109" s="18">
        <v>409</v>
      </c>
      <c r="AD109" s="18">
        <v>0</v>
      </c>
      <c r="AE109" s="18">
        <v>4568</v>
      </c>
      <c r="AF109" s="4">
        <v>473</v>
      </c>
      <c r="AG109" s="5">
        <v>9.3830589168815717E-2</v>
      </c>
      <c r="AH109" s="18">
        <f t="shared" si="1"/>
        <v>218</v>
      </c>
      <c r="AI109" s="6">
        <v>0.25399304680808182</v>
      </c>
      <c r="AJ109" s="3">
        <v>0.254</v>
      </c>
      <c r="AK109" s="6">
        <v>0.59385752561713834</v>
      </c>
      <c r="AL109" s="25">
        <v>0.59399999999999997</v>
      </c>
      <c r="AM109" s="6">
        <v>0.26808125930653054</v>
      </c>
      <c r="AN109" s="3">
        <v>0.26800000000000002</v>
      </c>
      <c r="AO109" s="6">
        <v>0.63169569076772059</v>
      </c>
      <c r="AP109" s="6">
        <v>0.24576316780545543</v>
      </c>
      <c r="AQ109" s="6">
        <v>0.246</v>
      </c>
      <c r="AR109" s="6">
        <v>0.62176347829799639</v>
      </c>
      <c r="AS109" s="6">
        <v>0.621</v>
      </c>
      <c r="AT109" s="6">
        <v>8.2298790026263946E-3</v>
      </c>
      <c r="AU109" s="6">
        <v>-2.7905952680858048E-2</v>
      </c>
      <c r="AV109" s="6">
        <v>2.231809150107511E-2</v>
      </c>
      <c r="AW109" s="6">
        <v>9.9322124697241998E-3</v>
      </c>
      <c r="AX109" s="7">
        <v>61</v>
      </c>
      <c r="AY109" s="7">
        <v>35</v>
      </c>
      <c r="AZ109" s="7">
        <v>44</v>
      </c>
      <c r="BA109" s="26">
        <v>-17</v>
      </c>
      <c r="BB109" s="26">
        <v>9</v>
      </c>
      <c r="BC109" s="6">
        <v>0.23016072958129691</v>
      </c>
      <c r="BD109" s="6">
        <v>0.23</v>
      </c>
      <c r="BE109" s="11">
        <v>0.58630514283564839</v>
      </c>
      <c r="BF109" s="7">
        <v>78</v>
      </c>
      <c r="BG109" s="26">
        <v>-34</v>
      </c>
      <c r="BH109" s="7">
        <v>17</v>
      </c>
    </row>
    <row r="110" spans="2:60" x14ac:dyDescent="0.25">
      <c r="B110" s="3">
        <v>107</v>
      </c>
      <c r="C110" s="3" t="s">
        <v>218</v>
      </c>
      <c r="D110" s="3" t="s">
        <v>219</v>
      </c>
      <c r="E110" s="3" t="s">
        <v>704</v>
      </c>
      <c r="F110" s="3">
        <v>6308</v>
      </c>
      <c r="G110" s="3">
        <v>6</v>
      </c>
      <c r="H110" s="3"/>
      <c r="I110" s="4">
        <v>9438</v>
      </c>
      <c r="J110" s="4">
        <v>9281</v>
      </c>
      <c r="K110" s="4">
        <v>9259</v>
      </c>
      <c r="L110" s="4">
        <v>157</v>
      </c>
      <c r="M110" s="4">
        <v>382</v>
      </c>
      <c r="N110" s="18">
        <v>0</v>
      </c>
      <c r="O110" s="18">
        <v>358</v>
      </c>
      <c r="P110" s="18">
        <v>0</v>
      </c>
      <c r="Q110" s="18">
        <v>0</v>
      </c>
      <c r="R110" s="18">
        <v>24</v>
      </c>
      <c r="S110" s="18">
        <v>0</v>
      </c>
      <c r="T110" s="18">
        <v>382</v>
      </c>
      <c r="U110" s="18" t="b">
        <v>1</v>
      </c>
      <c r="V110" s="4">
        <v>422</v>
      </c>
      <c r="W110" s="4">
        <v>422</v>
      </c>
      <c r="X110" s="3" t="b">
        <v>1</v>
      </c>
      <c r="Y110" s="18">
        <v>0</v>
      </c>
      <c r="Z110" s="18">
        <v>403</v>
      </c>
      <c r="AA110" s="18">
        <v>1</v>
      </c>
      <c r="AB110" s="18">
        <v>0</v>
      </c>
      <c r="AC110" s="18">
        <v>18</v>
      </c>
      <c r="AD110" s="18">
        <v>0</v>
      </c>
      <c r="AE110" s="18">
        <v>422</v>
      </c>
      <c r="AF110" s="4">
        <v>-40</v>
      </c>
      <c r="AG110" s="5">
        <v>-0.10471204188481675</v>
      </c>
      <c r="AH110" s="18">
        <f t="shared" si="1"/>
        <v>-45</v>
      </c>
      <c r="AI110" s="6">
        <v>4.0474676838313205E-2</v>
      </c>
      <c r="AJ110" s="3">
        <v>0.04</v>
      </c>
      <c r="AK110" s="6">
        <v>0.37378551528999815</v>
      </c>
      <c r="AL110" s="25">
        <v>0.374</v>
      </c>
      <c r="AM110" s="6">
        <v>4.1159357827820278E-2</v>
      </c>
      <c r="AN110" s="3">
        <v>4.1000000000000002E-2</v>
      </c>
      <c r="AO110" s="6">
        <v>0.37391240909368606</v>
      </c>
      <c r="AP110" s="6">
        <v>4.5577276163732583E-2</v>
      </c>
      <c r="AQ110" s="6">
        <v>4.5999999999999999E-2</v>
      </c>
      <c r="AR110" s="6">
        <v>0.38974363309969928</v>
      </c>
      <c r="AS110" s="6">
        <v>0.38900000000000001</v>
      </c>
      <c r="AT110" s="6">
        <v>-5.1025993254193783E-3</v>
      </c>
      <c r="AU110" s="6">
        <v>-1.5958117809701133E-2</v>
      </c>
      <c r="AV110" s="6">
        <v>-4.4179183359123048E-3</v>
      </c>
      <c r="AW110" s="6">
        <v>-1.5831224006013223E-2</v>
      </c>
      <c r="AX110" s="7">
        <v>312</v>
      </c>
      <c r="AY110" s="26">
        <v>311</v>
      </c>
      <c r="AZ110" s="7">
        <v>294</v>
      </c>
      <c r="BA110" s="26">
        <v>-18</v>
      </c>
      <c r="BB110" s="26">
        <v>-17</v>
      </c>
      <c r="BC110" s="6">
        <v>4.4712862894681078E-2</v>
      </c>
      <c r="BD110" s="6">
        <v>4.4999999999999998E-2</v>
      </c>
      <c r="BE110" s="11">
        <v>0.38708327859115998</v>
      </c>
      <c r="BF110" s="26">
        <v>300</v>
      </c>
      <c r="BG110" s="26">
        <v>-6</v>
      </c>
      <c r="BH110" s="7">
        <v>-12</v>
      </c>
    </row>
    <row r="111" spans="2:60" x14ac:dyDescent="0.25">
      <c r="B111" s="3">
        <v>108</v>
      </c>
      <c r="C111" s="3" t="s">
        <v>220</v>
      </c>
      <c r="D111" s="3" t="s">
        <v>221</v>
      </c>
      <c r="E111" s="3" t="s">
        <v>704</v>
      </c>
      <c r="F111" s="3">
        <v>6309</v>
      </c>
      <c r="G111" s="3">
        <v>6</v>
      </c>
      <c r="H111" s="3"/>
      <c r="I111" s="4">
        <v>4559</v>
      </c>
      <c r="J111" s="4">
        <v>3516</v>
      </c>
      <c r="K111" s="4">
        <v>3520</v>
      </c>
      <c r="L111" s="4">
        <v>1043</v>
      </c>
      <c r="M111" s="4">
        <v>175</v>
      </c>
      <c r="N111" s="18">
        <v>0</v>
      </c>
      <c r="O111" s="18">
        <v>0</v>
      </c>
      <c r="P111" s="18">
        <v>0</v>
      </c>
      <c r="Q111" s="18">
        <v>0</v>
      </c>
      <c r="R111" s="18">
        <v>175</v>
      </c>
      <c r="S111" s="18">
        <v>0</v>
      </c>
      <c r="T111" s="18">
        <v>175</v>
      </c>
      <c r="U111" s="18" t="b">
        <v>1</v>
      </c>
      <c r="V111" s="4">
        <v>181</v>
      </c>
      <c r="W111" s="4">
        <v>181</v>
      </c>
      <c r="X111" s="3" t="b">
        <v>1</v>
      </c>
      <c r="Y111" s="18">
        <v>0</v>
      </c>
      <c r="Z111" s="18">
        <v>1</v>
      </c>
      <c r="AA111" s="18">
        <v>0</v>
      </c>
      <c r="AB111" s="18">
        <v>0</v>
      </c>
      <c r="AC111" s="18">
        <v>180</v>
      </c>
      <c r="AD111" s="18">
        <v>0</v>
      </c>
      <c r="AE111" s="18">
        <v>181</v>
      </c>
      <c r="AF111" s="4">
        <v>-6</v>
      </c>
      <c r="AG111" s="5">
        <v>-3.4285714285714287E-2</v>
      </c>
      <c r="AH111" s="18">
        <f t="shared" si="1"/>
        <v>-1</v>
      </c>
      <c r="AI111" s="6">
        <v>3.8385610879578855E-2</v>
      </c>
      <c r="AJ111" s="3">
        <v>3.7999999999999999E-2</v>
      </c>
      <c r="AK111" s="6">
        <v>0.37163232844565425</v>
      </c>
      <c r="AL111" s="25">
        <v>0.372</v>
      </c>
      <c r="AM111" s="6">
        <v>4.9772468714448237E-2</v>
      </c>
      <c r="AN111" s="3">
        <v>0.05</v>
      </c>
      <c r="AO111" s="6">
        <v>0.38369690312140603</v>
      </c>
      <c r="AP111" s="6">
        <v>5.1420454545454547E-2</v>
      </c>
      <c r="AQ111" s="6">
        <v>5.0999999999999997E-2</v>
      </c>
      <c r="AR111" s="6">
        <v>0.3955441292296567</v>
      </c>
      <c r="AS111" s="6">
        <v>0.39600000000000002</v>
      </c>
      <c r="AT111" s="6">
        <v>-1.3034843665875692E-2</v>
      </c>
      <c r="AU111" s="6">
        <v>-2.3911800784002457E-2</v>
      </c>
      <c r="AV111" s="6">
        <v>-1.64798583100631E-3</v>
      </c>
      <c r="AW111" s="6">
        <v>-1.1847226108250675E-2</v>
      </c>
      <c r="AX111" s="7">
        <v>313</v>
      </c>
      <c r="AY111" s="7">
        <v>306</v>
      </c>
      <c r="AZ111" s="7">
        <v>287</v>
      </c>
      <c r="BA111" s="26">
        <v>-26</v>
      </c>
      <c r="BB111" s="26">
        <v>-19</v>
      </c>
      <c r="BC111" s="6">
        <v>3.9701688966878701E-2</v>
      </c>
      <c r="BD111" s="6">
        <v>0.04</v>
      </c>
      <c r="BE111" s="11">
        <v>0.38169990357699912</v>
      </c>
      <c r="BF111" s="7">
        <v>309</v>
      </c>
      <c r="BG111" s="26">
        <v>-22</v>
      </c>
      <c r="BH111" s="7">
        <v>-4</v>
      </c>
    </row>
    <row r="112" spans="2:60" x14ac:dyDescent="0.25">
      <c r="B112" s="3">
        <v>109</v>
      </c>
      <c r="C112" s="3" t="s">
        <v>222</v>
      </c>
      <c r="D112" s="3" t="s">
        <v>223</v>
      </c>
      <c r="E112" s="3" t="s">
        <v>704</v>
      </c>
      <c r="F112" s="3">
        <v>6114</v>
      </c>
      <c r="G112" s="3">
        <v>6</v>
      </c>
      <c r="H112" s="3">
        <v>0.503</v>
      </c>
      <c r="I112" s="4">
        <v>13558</v>
      </c>
      <c r="J112" s="4">
        <v>14288</v>
      </c>
      <c r="K112" s="4">
        <v>14194</v>
      </c>
      <c r="L112" s="4">
        <v>-730</v>
      </c>
      <c r="M112" s="4">
        <v>1905</v>
      </c>
      <c r="N112" s="18">
        <v>0</v>
      </c>
      <c r="O112" s="18">
        <v>1878</v>
      </c>
      <c r="P112" s="18">
        <v>0</v>
      </c>
      <c r="Q112" s="18">
        <v>0</v>
      </c>
      <c r="R112" s="18">
        <v>27</v>
      </c>
      <c r="S112" s="18">
        <v>0</v>
      </c>
      <c r="T112" s="18">
        <v>1905</v>
      </c>
      <c r="U112" s="18" t="b">
        <v>1</v>
      </c>
      <c r="V112" s="4">
        <v>1604</v>
      </c>
      <c r="W112" s="4">
        <v>1604</v>
      </c>
      <c r="X112" s="3" t="b">
        <v>1</v>
      </c>
      <c r="Y112" s="18">
        <v>0</v>
      </c>
      <c r="Z112" s="18">
        <v>1578</v>
      </c>
      <c r="AA112" s="18">
        <v>0</v>
      </c>
      <c r="AB112" s="18">
        <v>0</v>
      </c>
      <c r="AC112" s="18">
        <v>26</v>
      </c>
      <c r="AD112" s="18">
        <v>0</v>
      </c>
      <c r="AE112" s="18">
        <v>1604</v>
      </c>
      <c r="AF112" s="4">
        <v>301</v>
      </c>
      <c r="AG112" s="5">
        <v>0.15800524934383203</v>
      </c>
      <c r="AH112" s="18">
        <f t="shared" si="1"/>
        <v>300</v>
      </c>
      <c r="AI112" s="6">
        <v>0.14050744947632393</v>
      </c>
      <c r="AJ112" s="3">
        <v>0.14099999999999999</v>
      </c>
      <c r="AK112" s="6">
        <v>0.47688865051982271</v>
      </c>
      <c r="AL112" s="25">
        <v>0.47699999999999998</v>
      </c>
      <c r="AM112" s="6">
        <v>0.13332866741321389</v>
      </c>
      <c r="AN112" s="3">
        <v>0.13300000000000001</v>
      </c>
      <c r="AO112" s="6">
        <v>0.47861674543022048</v>
      </c>
      <c r="AP112" s="6">
        <v>0.11300549527969564</v>
      </c>
      <c r="AQ112" s="6">
        <v>0.113</v>
      </c>
      <c r="AR112" s="6">
        <v>0.46747028124112883</v>
      </c>
      <c r="AS112" s="6">
        <v>0.46800000000000003</v>
      </c>
      <c r="AT112" s="6">
        <v>2.7501954196628292E-2</v>
      </c>
      <c r="AU112" s="6">
        <v>9.4183692786938833E-3</v>
      </c>
      <c r="AV112" s="6">
        <v>2.0323172133518252E-2</v>
      </c>
      <c r="AW112" s="6">
        <v>1.1146464189091654E-2</v>
      </c>
      <c r="AX112" s="7">
        <v>191</v>
      </c>
      <c r="AY112" s="26">
        <v>190</v>
      </c>
      <c r="AZ112" s="7">
        <v>194</v>
      </c>
      <c r="BA112" s="26">
        <v>3</v>
      </c>
      <c r="BB112" s="26">
        <v>4</v>
      </c>
      <c r="BC112" s="6">
        <v>0.1183065348871515</v>
      </c>
      <c r="BD112" s="6">
        <v>0.11799999999999999</v>
      </c>
      <c r="BE112" s="11">
        <v>0.466143063925404</v>
      </c>
      <c r="BF112" s="26">
        <v>197</v>
      </c>
      <c r="BG112" s="26">
        <v>-3</v>
      </c>
      <c r="BH112" s="7">
        <v>6</v>
      </c>
    </row>
    <row r="113" spans="2:60" x14ac:dyDescent="0.25">
      <c r="B113" s="3">
        <v>110</v>
      </c>
      <c r="C113" s="3" t="s">
        <v>224</v>
      </c>
      <c r="D113" s="3" t="s">
        <v>225</v>
      </c>
      <c r="E113" s="3" t="s">
        <v>704</v>
      </c>
      <c r="F113" s="3">
        <v>6101</v>
      </c>
      <c r="G113" s="3">
        <v>6</v>
      </c>
      <c r="H113" s="3">
        <v>0.59199999999999997</v>
      </c>
      <c r="I113" s="4">
        <v>257744</v>
      </c>
      <c r="J113" s="4">
        <v>274407</v>
      </c>
      <c r="K113" s="4">
        <v>272290</v>
      </c>
      <c r="L113" s="4">
        <v>-16663</v>
      </c>
      <c r="M113" s="4">
        <v>73250</v>
      </c>
      <c r="N113" s="18">
        <v>10</v>
      </c>
      <c r="O113" s="18">
        <v>48816</v>
      </c>
      <c r="P113" s="18">
        <v>23477</v>
      </c>
      <c r="Q113" s="18">
        <v>0</v>
      </c>
      <c r="R113" s="18">
        <v>947</v>
      </c>
      <c r="S113" s="18">
        <v>0</v>
      </c>
      <c r="T113" s="18">
        <v>73250</v>
      </c>
      <c r="U113" s="18" t="b">
        <v>1</v>
      </c>
      <c r="V113" s="4">
        <v>71712</v>
      </c>
      <c r="W113" s="4">
        <v>71712</v>
      </c>
      <c r="X113" s="3" t="b">
        <v>1</v>
      </c>
      <c r="Y113" s="18">
        <v>105</v>
      </c>
      <c r="Z113" s="18">
        <v>45659</v>
      </c>
      <c r="AA113" s="18">
        <v>24666</v>
      </c>
      <c r="AB113" s="18">
        <v>0</v>
      </c>
      <c r="AC113" s="18">
        <v>1282</v>
      </c>
      <c r="AD113" s="18">
        <v>0</v>
      </c>
      <c r="AE113" s="18">
        <v>71712</v>
      </c>
      <c r="AF113" s="4">
        <v>1538</v>
      </c>
      <c r="AG113" s="5">
        <v>2.0996587030716725E-2</v>
      </c>
      <c r="AH113" s="18">
        <f t="shared" si="1"/>
        <v>3157</v>
      </c>
      <c r="AI113" s="6">
        <v>0.28419672232913279</v>
      </c>
      <c r="AJ113" s="3">
        <v>0.28399999999999997</v>
      </c>
      <c r="AK113" s="6">
        <v>0.62498825967120331</v>
      </c>
      <c r="AL113" s="25">
        <v>0.625</v>
      </c>
      <c r="AM113" s="6">
        <v>0.26693925446508288</v>
      </c>
      <c r="AN113" s="3">
        <v>0.26700000000000002</v>
      </c>
      <c r="AO113" s="6">
        <v>0.63039837325981296</v>
      </c>
      <c r="AP113" s="6">
        <v>0.26336626390980206</v>
      </c>
      <c r="AQ113" s="6">
        <v>0.26300000000000001</v>
      </c>
      <c r="AR113" s="6">
        <v>0.64148516513985165</v>
      </c>
      <c r="AS113" s="6">
        <v>0.64200000000000002</v>
      </c>
      <c r="AT113" s="6">
        <v>2.0830458419330733E-2</v>
      </c>
      <c r="AU113" s="6">
        <v>-1.6496905468648349E-2</v>
      </c>
      <c r="AV113" s="6">
        <v>3.5729905552808194E-3</v>
      </c>
      <c r="AW113" s="6">
        <v>-1.1086791880038693E-2</v>
      </c>
      <c r="AX113" s="7">
        <v>40</v>
      </c>
      <c r="AY113" s="7">
        <v>36</v>
      </c>
      <c r="AZ113" s="7">
        <v>30</v>
      </c>
      <c r="BA113" s="26">
        <v>-10</v>
      </c>
      <c r="BB113" s="26">
        <v>-6</v>
      </c>
      <c r="BC113" s="6">
        <v>0.27822956111490471</v>
      </c>
      <c r="BD113" s="6">
        <v>0.27800000000000002</v>
      </c>
      <c r="BE113" s="11">
        <v>0.63794424983256248</v>
      </c>
      <c r="BF113" s="7">
        <v>35</v>
      </c>
      <c r="BG113" s="26">
        <v>-5</v>
      </c>
      <c r="BH113" s="7">
        <v>-5</v>
      </c>
    </row>
    <row r="114" spans="2:60" x14ac:dyDescent="0.25">
      <c r="B114" s="3">
        <v>111</v>
      </c>
      <c r="C114" s="3" t="s">
        <v>226</v>
      </c>
      <c r="D114" s="3" t="s">
        <v>227</v>
      </c>
      <c r="E114" s="3" t="s">
        <v>704</v>
      </c>
      <c r="F114" s="3">
        <v>6115</v>
      </c>
      <c r="G114" s="3">
        <v>6</v>
      </c>
      <c r="H114" s="3">
        <v>0.57199999999999995</v>
      </c>
      <c r="I114" s="4">
        <v>63620</v>
      </c>
      <c r="J114" s="4">
        <v>65786</v>
      </c>
      <c r="K114" s="4">
        <v>65318</v>
      </c>
      <c r="L114" s="4">
        <v>-2166</v>
      </c>
      <c r="M114" s="4">
        <v>14471</v>
      </c>
      <c r="N114" s="18">
        <v>0</v>
      </c>
      <c r="O114" s="18">
        <v>12289</v>
      </c>
      <c r="P114" s="18">
        <v>1867</v>
      </c>
      <c r="Q114" s="18">
        <v>0</v>
      </c>
      <c r="R114" s="18">
        <v>315</v>
      </c>
      <c r="S114" s="18">
        <v>0</v>
      </c>
      <c r="T114" s="18">
        <v>14471</v>
      </c>
      <c r="U114" s="18" t="b">
        <v>1</v>
      </c>
      <c r="V114" s="4">
        <v>13503</v>
      </c>
      <c r="W114" s="4">
        <v>13503</v>
      </c>
      <c r="X114" s="3" t="b">
        <v>1</v>
      </c>
      <c r="Y114" s="18">
        <v>10</v>
      </c>
      <c r="Z114" s="18">
        <v>10932</v>
      </c>
      <c r="AA114" s="18">
        <v>2176</v>
      </c>
      <c r="AB114" s="18">
        <v>0</v>
      </c>
      <c r="AC114" s="18">
        <v>385</v>
      </c>
      <c r="AD114" s="18">
        <v>0</v>
      </c>
      <c r="AE114" s="18">
        <v>13503</v>
      </c>
      <c r="AF114" s="4">
        <v>968</v>
      </c>
      <c r="AG114" s="5">
        <v>6.689240550065649E-2</v>
      </c>
      <c r="AH114" s="18">
        <f t="shared" si="1"/>
        <v>1357</v>
      </c>
      <c r="AI114" s="6">
        <v>0.22745991826469664</v>
      </c>
      <c r="AJ114" s="3">
        <v>0.22700000000000001</v>
      </c>
      <c r="AK114" s="6">
        <v>0.56651000071968827</v>
      </c>
      <c r="AL114" s="25">
        <v>0.56699999999999995</v>
      </c>
      <c r="AM114" s="6">
        <v>0.21997081445900343</v>
      </c>
      <c r="AN114" s="3">
        <v>0.22</v>
      </c>
      <c r="AO114" s="6">
        <v>0.57704222508293412</v>
      </c>
      <c r="AP114" s="6">
        <v>0.20672708901068618</v>
      </c>
      <c r="AQ114" s="6">
        <v>0.20699999999999999</v>
      </c>
      <c r="AR114" s="6">
        <v>0.57651960848432837</v>
      </c>
      <c r="AS114" s="6">
        <v>0.57599999999999996</v>
      </c>
      <c r="AT114" s="6">
        <v>2.073282925401046E-2</v>
      </c>
      <c r="AU114" s="6">
        <v>-1.0009607764640105E-2</v>
      </c>
      <c r="AV114" s="6">
        <v>1.3243725448317256E-2</v>
      </c>
      <c r="AW114" s="6">
        <v>5.2261659860575183E-4</v>
      </c>
      <c r="AX114" s="7">
        <v>96</v>
      </c>
      <c r="AY114" s="26">
        <v>77</v>
      </c>
      <c r="AZ114" s="7">
        <v>87</v>
      </c>
      <c r="BA114" s="26">
        <v>-9</v>
      </c>
      <c r="BB114" s="26">
        <v>10</v>
      </c>
      <c r="BC114" s="6">
        <v>0.21224457717698836</v>
      </c>
      <c r="BD114" s="6">
        <v>0.21199999999999999</v>
      </c>
      <c r="BE114" s="11">
        <v>0.56705828200167407</v>
      </c>
      <c r="BF114" s="26">
        <v>94</v>
      </c>
      <c r="BG114" s="26">
        <v>-7</v>
      </c>
      <c r="BH114" s="7">
        <v>-2</v>
      </c>
    </row>
    <row r="115" spans="2:60" x14ac:dyDescent="0.25">
      <c r="B115" s="3">
        <v>112</v>
      </c>
      <c r="C115" s="3" t="s">
        <v>228</v>
      </c>
      <c r="D115" s="3" t="s">
        <v>229</v>
      </c>
      <c r="E115" s="3" t="s">
        <v>704</v>
      </c>
      <c r="F115" s="3">
        <v>6116</v>
      </c>
      <c r="G115" s="3">
        <v>6</v>
      </c>
      <c r="H115" s="3">
        <v>0.53600000000000003</v>
      </c>
      <c r="I115" s="4">
        <v>29508</v>
      </c>
      <c r="J115" s="4">
        <v>31724</v>
      </c>
      <c r="K115" s="4">
        <v>31410</v>
      </c>
      <c r="L115" s="4">
        <v>-2216</v>
      </c>
      <c r="M115" s="4">
        <v>3485</v>
      </c>
      <c r="N115" s="18">
        <v>0</v>
      </c>
      <c r="O115" s="18">
        <v>3257</v>
      </c>
      <c r="P115" s="18">
        <v>0</v>
      </c>
      <c r="Q115" s="18">
        <v>0</v>
      </c>
      <c r="R115" s="18">
        <v>228</v>
      </c>
      <c r="S115" s="18">
        <v>0</v>
      </c>
      <c r="T115" s="18">
        <v>3485</v>
      </c>
      <c r="U115" s="18" t="b">
        <v>1</v>
      </c>
      <c r="V115" s="4">
        <v>3109</v>
      </c>
      <c r="W115" s="4">
        <v>3109</v>
      </c>
      <c r="X115" s="3" t="b">
        <v>1</v>
      </c>
      <c r="Y115" s="18">
        <v>3</v>
      </c>
      <c r="Z115" s="18">
        <v>2986</v>
      </c>
      <c r="AA115" s="18">
        <v>0</v>
      </c>
      <c r="AB115" s="18">
        <v>0</v>
      </c>
      <c r="AC115" s="18">
        <v>120</v>
      </c>
      <c r="AD115" s="18">
        <v>0</v>
      </c>
      <c r="AE115" s="18">
        <v>3109</v>
      </c>
      <c r="AF115" s="4">
        <v>376</v>
      </c>
      <c r="AG115" s="5">
        <v>0.10789096126255381</v>
      </c>
      <c r="AH115" s="18">
        <f t="shared" si="1"/>
        <v>271</v>
      </c>
      <c r="AI115" s="6">
        <v>0.11810356513487867</v>
      </c>
      <c r="AJ115" s="3">
        <v>0.11799999999999999</v>
      </c>
      <c r="AK115" s="6">
        <v>0.45379711105716813</v>
      </c>
      <c r="AL115" s="25">
        <v>0.45400000000000001</v>
      </c>
      <c r="AM115" s="6">
        <v>0.1098537384945152</v>
      </c>
      <c r="AN115" s="3">
        <v>0.11</v>
      </c>
      <c r="AO115" s="6">
        <v>0.45194922601365772</v>
      </c>
      <c r="AP115" s="6">
        <v>9.8981216173193248E-2</v>
      </c>
      <c r="AQ115" s="6">
        <v>9.9000000000000005E-2</v>
      </c>
      <c r="AR115" s="6">
        <v>0.45122889207724803</v>
      </c>
      <c r="AS115" s="6">
        <v>0.45100000000000001</v>
      </c>
      <c r="AT115" s="6">
        <v>1.9122348961685423E-2</v>
      </c>
      <c r="AU115" s="6">
        <v>2.5682189799201005E-3</v>
      </c>
      <c r="AV115" s="6">
        <v>1.0872522321321951E-2</v>
      </c>
      <c r="AW115" s="6">
        <v>7.2033393640968946E-4</v>
      </c>
      <c r="AX115" s="7">
        <v>216</v>
      </c>
      <c r="AY115" s="7">
        <v>217</v>
      </c>
      <c r="AZ115" s="7">
        <v>220</v>
      </c>
      <c r="BA115" s="26">
        <v>4</v>
      </c>
      <c r="BB115" s="26">
        <v>3</v>
      </c>
      <c r="BC115" s="6">
        <v>0.10536125796394198</v>
      </c>
      <c r="BD115" s="6">
        <v>0.105</v>
      </c>
      <c r="BE115" s="11">
        <v>0.45223628652277625</v>
      </c>
      <c r="BF115" s="7">
        <v>214</v>
      </c>
      <c r="BG115" s="26">
        <v>6</v>
      </c>
      <c r="BH115" s="7">
        <v>-2</v>
      </c>
    </row>
    <row r="116" spans="2:60" x14ac:dyDescent="0.25">
      <c r="B116" s="3">
        <v>113</v>
      </c>
      <c r="C116" s="3" t="s">
        <v>230</v>
      </c>
      <c r="D116" s="3" t="s">
        <v>231</v>
      </c>
      <c r="E116" s="3" t="s">
        <v>704</v>
      </c>
      <c r="F116" s="3">
        <v>6301</v>
      </c>
      <c r="G116" s="3">
        <v>6</v>
      </c>
      <c r="H116" s="3">
        <v>0.58099999999999996</v>
      </c>
      <c r="I116" s="4">
        <v>75585</v>
      </c>
      <c r="J116" s="4">
        <v>81117</v>
      </c>
      <c r="K116" s="4">
        <v>80547</v>
      </c>
      <c r="L116" s="4">
        <v>-5532</v>
      </c>
      <c r="M116" s="4">
        <v>17147</v>
      </c>
      <c r="N116" s="18">
        <v>5</v>
      </c>
      <c r="O116" s="18">
        <v>13584</v>
      </c>
      <c r="P116" s="18">
        <v>3036</v>
      </c>
      <c r="Q116" s="18">
        <v>0</v>
      </c>
      <c r="R116" s="18">
        <v>522</v>
      </c>
      <c r="S116" s="18">
        <v>0</v>
      </c>
      <c r="T116" s="18">
        <v>17147</v>
      </c>
      <c r="U116" s="18" t="b">
        <v>1</v>
      </c>
      <c r="V116" s="4">
        <v>16926</v>
      </c>
      <c r="W116" s="4">
        <v>16926</v>
      </c>
      <c r="X116" s="3" t="b">
        <v>1</v>
      </c>
      <c r="Y116" s="18">
        <v>45</v>
      </c>
      <c r="Z116" s="18">
        <v>12247</v>
      </c>
      <c r="AA116" s="18">
        <v>3971</v>
      </c>
      <c r="AB116" s="18">
        <v>0</v>
      </c>
      <c r="AC116" s="18">
        <v>663</v>
      </c>
      <c r="AD116" s="18">
        <v>0</v>
      </c>
      <c r="AE116" s="18">
        <v>16926</v>
      </c>
      <c r="AF116" s="4">
        <v>221</v>
      </c>
      <c r="AG116" s="5">
        <v>1.2888551933282789E-2</v>
      </c>
      <c r="AH116" s="18">
        <f t="shared" si="1"/>
        <v>1337</v>
      </c>
      <c r="AI116" s="6">
        <v>0.22685718065753788</v>
      </c>
      <c r="AJ116" s="3">
        <v>0.22700000000000001</v>
      </c>
      <c r="AK116" s="6">
        <v>0.56588876294550527</v>
      </c>
      <c r="AL116" s="25">
        <v>0.56599999999999995</v>
      </c>
      <c r="AM116" s="6">
        <v>0.21138602265862888</v>
      </c>
      <c r="AN116" s="3">
        <v>0.21099999999999999</v>
      </c>
      <c r="AO116" s="6">
        <v>0.56728990153739689</v>
      </c>
      <c r="AP116" s="6">
        <v>0.21013818019293085</v>
      </c>
      <c r="AQ116" s="6">
        <v>0.21</v>
      </c>
      <c r="AR116" s="6">
        <v>0.5799999061623029</v>
      </c>
      <c r="AS116" s="6">
        <v>0.57999999999999996</v>
      </c>
      <c r="AT116" s="6">
        <v>1.6719000464607031E-2</v>
      </c>
      <c r="AU116" s="6">
        <v>-1.4111143216797628E-2</v>
      </c>
      <c r="AV116" s="6">
        <v>1.2478424656980347E-3</v>
      </c>
      <c r="AW116" s="6">
        <v>-1.2710004624906013E-2</v>
      </c>
      <c r="AX116" s="7">
        <v>97</v>
      </c>
      <c r="AY116" s="26">
        <v>97</v>
      </c>
      <c r="AZ116" s="7">
        <v>79</v>
      </c>
      <c r="BA116" s="26">
        <v>-18</v>
      </c>
      <c r="BB116" s="26">
        <v>-18</v>
      </c>
      <c r="BC116" s="6">
        <v>0.22393332010319508</v>
      </c>
      <c r="BD116" s="6">
        <v>0.224</v>
      </c>
      <c r="BE116" s="11">
        <v>0.57961519731183297</v>
      </c>
      <c r="BF116" s="26">
        <v>86</v>
      </c>
      <c r="BG116" s="26">
        <v>-7</v>
      </c>
      <c r="BH116" s="7">
        <v>-11</v>
      </c>
    </row>
    <row r="117" spans="2:60" x14ac:dyDescent="0.25">
      <c r="B117" s="3">
        <v>114</v>
      </c>
      <c r="C117" s="3" t="s">
        <v>232</v>
      </c>
      <c r="D117" s="3" t="s">
        <v>233</v>
      </c>
      <c r="E117" s="3" t="s">
        <v>704</v>
      </c>
      <c r="F117" s="3">
        <v>6117</v>
      </c>
      <c r="G117" s="3">
        <v>6</v>
      </c>
      <c r="H117" s="3">
        <v>0.505</v>
      </c>
      <c r="I117" s="4">
        <v>49559</v>
      </c>
      <c r="J117" s="4">
        <v>52289</v>
      </c>
      <c r="K117" s="4">
        <v>51910</v>
      </c>
      <c r="L117" s="4">
        <v>-2730</v>
      </c>
      <c r="M117" s="4">
        <v>6525</v>
      </c>
      <c r="N117" s="18">
        <v>0</v>
      </c>
      <c r="O117" s="18">
        <v>6127</v>
      </c>
      <c r="P117" s="18">
        <v>0</v>
      </c>
      <c r="Q117" s="18">
        <v>0</v>
      </c>
      <c r="R117" s="18">
        <v>398</v>
      </c>
      <c r="S117" s="18">
        <v>0</v>
      </c>
      <c r="T117" s="18">
        <v>6525</v>
      </c>
      <c r="U117" s="18" t="b">
        <v>1</v>
      </c>
      <c r="V117" s="4">
        <v>6323</v>
      </c>
      <c r="W117" s="4">
        <v>6323</v>
      </c>
      <c r="X117" s="3" t="b">
        <v>1</v>
      </c>
      <c r="Y117" s="18">
        <v>17</v>
      </c>
      <c r="Z117" s="18">
        <v>5871</v>
      </c>
      <c r="AA117" s="18">
        <v>1</v>
      </c>
      <c r="AB117" s="18">
        <v>0</v>
      </c>
      <c r="AC117" s="18">
        <v>434</v>
      </c>
      <c r="AD117" s="18">
        <v>0</v>
      </c>
      <c r="AE117" s="18">
        <v>6323</v>
      </c>
      <c r="AF117" s="4">
        <v>202</v>
      </c>
      <c r="AG117" s="5">
        <v>3.0957854406130268E-2</v>
      </c>
      <c r="AH117" s="18">
        <f t="shared" si="1"/>
        <v>256</v>
      </c>
      <c r="AI117" s="6">
        <v>0.13166125224479913</v>
      </c>
      <c r="AJ117" s="3">
        <v>0.13200000000000001</v>
      </c>
      <c r="AK117" s="6">
        <v>0.46777093194241093</v>
      </c>
      <c r="AL117" s="25">
        <v>0.46800000000000003</v>
      </c>
      <c r="AM117" s="6">
        <v>0.12478724014611103</v>
      </c>
      <c r="AN117" s="3">
        <v>0.125</v>
      </c>
      <c r="AO117" s="6">
        <v>0.46891368399478461</v>
      </c>
      <c r="AP117" s="6">
        <v>0.12180697360816799</v>
      </c>
      <c r="AQ117" s="6">
        <v>0.122</v>
      </c>
      <c r="AR117" s="6">
        <v>0.4779111742750522</v>
      </c>
      <c r="AS117" s="6">
        <v>0.47799999999999998</v>
      </c>
      <c r="AT117" s="6">
        <v>9.8542786366311447E-3</v>
      </c>
      <c r="AU117" s="6">
        <v>-1.0140242332641269E-2</v>
      </c>
      <c r="AV117" s="6">
        <v>2.9802665379430465E-3</v>
      </c>
      <c r="AW117" s="6">
        <v>-8.9974902802675838E-3</v>
      </c>
      <c r="AX117" s="7">
        <v>199</v>
      </c>
      <c r="AY117" s="7">
        <v>197</v>
      </c>
      <c r="AZ117" s="7">
        <v>189</v>
      </c>
      <c r="BA117" s="26">
        <v>-10</v>
      </c>
      <c r="BB117" s="26">
        <v>-8</v>
      </c>
      <c r="BC117" s="6">
        <v>0.12758530236687585</v>
      </c>
      <c r="BD117" s="6">
        <v>0.128</v>
      </c>
      <c r="BE117" s="11">
        <v>0.47611100471776491</v>
      </c>
      <c r="BF117" s="7">
        <v>193</v>
      </c>
      <c r="BG117" s="26">
        <v>-4</v>
      </c>
      <c r="BH117" s="7">
        <v>-6</v>
      </c>
    </row>
    <row r="118" spans="2:60" x14ac:dyDescent="0.25">
      <c r="B118" s="3">
        <v>115</v>
      </c>
      <c r="C118" s="3" t="s">
        <v>234</v>
      </c>
      <c r="D118" s="3" t="s">
        <v>235</v>
      </c>
      <c r="E118" s="3" t="s">
        <v>704</v>
      </c>
      <c r="F118" s="3">
        <v>6310</v>
      </c>
      <c r="G118" s="3">
        <v>6</v>
      </c>
      <c r="H118" s="3">
        <v>0.502</v>
      </c>
      <c r="I118" s="4">
        <v>41209</v>
      </c>
      <c r="J118" s="4">
        <v>42582</v>
      </c>
      <c r="K118" s="4">
        <v>42235</v>
      </c>
      <c r="L118" s="4">
        <v>-1373</v>
      </c>
      <c r="M118" s="4">
        <v>6628</v>
      </c>
      <c r="N118" s="18">
        <v>0</v>
      </c>
      <c r="O118" s="18">
        <v>6184</v>
      </c>
      <c r="P118" s="18">
        <v>25</v>
      </c>
      <c r="Q118" s="18">
        <v>0</v>
      </c>
      <c r="R118" s="18">
        <v>419</v>
      </c>
      <c r="S118" s="18">
        <v>0</v>
      </c>
      <c r="T118" s="18">
        <v>6628</v>
      </c>
      <c r="U118" s="18" t="b">
        <v>1</v>
      </c>
      <c r="V118" s="4">
        <v>6517</v>
      </c>
      <c r="W118" s="4">
        <v>6517</v>
      </c>
      <c r="X118" s="3" t="b">
        <v>1</v>
      </c>
      <c r="Y118" s="18">
        <v>2</v>
      </c>
      <c r="Z118" s="18">
        <v>5922</v>
      </c>
      <c r="AA118" s="18">
        <v>0</v>
      </c>
      <c r="AB118" s="18">
        <v>0</v>
      </c>
      <c r="AC118" s="18">
        <v>593</v>
      </c>
      <c r="AD118" s="18">
        <v>0</v>
      </c>
      <c r="AE118" s="18">
        <v>6517</v>
      </c>
      <c r="AF118" s="4">
        <v>111</v>
      </c>
      <c r="AG118" s="5">
        <v>1.6747133373566685E-2</v>
      </c>
      <c r="AH118" s="18">
        <f t="shared" si="1"/>
        <v>262</v>
      </c>
      <c r="AI118" s="6">
        <v>0.16083865175083112</v>
      </c>
      <c r="AJ118" s="3">
        <v>0.161</v>
      </c>
      <c r="AK118" s="6">
        <v>0.49784388991000739</v>
      </c>
      <c r="AL118" s="25">
        <v>0.498</v>
      </c>
      <c r="AM118" s="6">
        <v>0.15565262317411113</v>
      </c>
      <c r="AN118" s="3">
        <v>0.156</v>
      </c>
      <c r="AO118" s="6">
        <v>0.50397675933143471</v>
      </c>
      <c r="AP118" s="6">
        <v>0.15430330294779213</v>
      </c>
      <c r="AQ118" s="6">
        <v>0.154</v>
      </c>
      <c r="AR118" s="6">
        <v>0.51503434950677973</v>
      </c>
      <c r="AS118" s="6">
        <v>0.51500000000000001</v>
      </c>
      <c r="AT118" s="6">
        <v>6.5353488030389928E-3</v>
      </c>
      <c r="AU118" s="6">
        <v>-1.7190459596772345E-2</v>
      </c>
      <c r="AV118" s="6">
        <v>1.3493202263190063E-3</v>
      </c>
      <c r="AW118" s="6">
        <v>-1.1057590175345022E-2</v>
      </c>
      <c r="AX118" s="7">
        <v>164</v>
      </c>
      <c r="AY118" s="26">
        <v>157</v>
      </c>
      <c r="AZ118" s="7">
        <v>143</v>
      </c>
      <c r="BA118" s="26">
        <v>-21</v>
      </c>
      <c r="BB118" s="26">
        <v>-14</v>
      </c>
      <c r="BC118" s="6">
        <v>0.15814506539833531</v>
      </c>
      <c r="BD118" s="6">
        <v>0.158</v>
      </c>
      <c r="BE118" s="11">
        <v>0.50894057062636289</v>
      </c>
      <c r="BF118" s="26">
        <v>148</v>
      </c>
      <c r="BG118" s="26">
        <v>-5</v>
      </c>
      <c r="BH118" s="7">
        <v>-16</v>
      </c>
    </row>
    <row r="119" spans="2:60" x14ac:dyDescent="0.25">
      <c r="B119" s="3">
        <v>116</v>
      </c>
      <c r="C119" s="3" t="s">
        <v>236</v>
      </c>
      <c r="D119" s="3" t="s">
        <v>237</v>
      </c>
      <c r="E119" s="3" t="s">
        <v>238</v>
      </c>
      <c r="F119" s="3">
        <v>7201</v>
      </c>
      <c r="G119" s="3">
        <v>7</v>
      </c>
      <c r="H119" s="3">
        <v>0.53700000000000003</v>
      </c>
      <c r="I119" s="4">
        <v>42798</v>
      </c>
      <c r="J119" s="4">
        <v>44446</v>
      </c>
      <c r="K119" s="4">
        <v>44389</v>
      </c>
      <c r="L119" s="4">
        <v>-1648</v>
      </c>
      <c r="M119" s="4">
        <v>8746</v>
      </c>
      <c r="N119" s="18">
        <v>2</v>
      </c>
      <c r="O119" s="18">
        <v>8267</v>
      </c>
      <c r="P119" s="18">
        <v>90</v>
      </c>
      <c r="Q119" s="18">
        <v>0</v>
      </c>
      <c r="R119" s="18">
        <v>387</v>
      </c>
      <c r="S119" s="18">
        <v>0</v>
      </c>
      <c r="T119" s="18">
        <v>8746</v>
      </c>
      <c r="U119" s="18" t="b">
        <v>1</v>
      </c>
      <c r="V119" s="4">
        <v>8262</v>
      </c>
      <c r="W119" s="4">
        <v>8262</v>
      </c>
      <c r="X119" s="3" t="b">
        <v>1</v>
      </c>
      <c r="Y119" s="18">
        <v>14</v>
      </c>
      <c r="Z119" s="18">
        <v>7906</v>
      </c>
      <c r="AA119" s="18">
        <v>8</v>
      </c>
      <c r="AB119" s="18">
        <v>0</v>
      </c>
      <c r="AC119" s="18">
        <v>334</v>
      </c>
      <c r="AD119" s="18">
        <v>0</v>
      </c>
      <c r="AE119" s="18">
        <v>8262</v>
      </c>
      <c r="AF119" s="4">
        <v>484</v>
      </c>
      <c r="AG119" s="5">
        <v>5.5339583809741598E-2</v>
      </c>
      <c r="AH119" s="18">
        <f t="shared" si="1"/>
        <v>361</v>
      </c>
      <c r="AI119" s="6">
        <v>0.20435534370764988</v>
      </c>
      <c r="AJ119" s="3">
        <v>0.20399999999999999</v>
      </c>
      <c r="AK119" s="6">
        <v>0.54269626435947482</v>
      </c>
      <c r="AL119" s="25">
        <v>0.54300000000000004</v>
      </c>
      <c r="AM119" s="6">
        <v>0.1967781127660532</v>
      </c>
      <c r="AN119" s="3">
        <v>0.19700000000000001</v>
      </c>
      <c r="AO119" s="6">
        <v>0.55069531579680442</v>
      </c>
      <c r="AP119" s="6">
        <v>0.18612719367410846</v>
      </c>
      <c r="AQ119" s="6">
        <v>0.186</v>
      </c>
      <c r="AR119" s="6">
        <v>0.55215752473850721</v>
      </c>
      <c r="AS119" s="6">
        <v>0.55200000000000005</v>
      </c>
      <c r="AT119" s="6">
        <v>1.8228150033541418E-2</v>
      </c>
      <c r="AU119" s="6">
        <v>-9.4612603790323879E-3</v>
      </c>
      <c r="AV119" s="6">
        <v>1.0650919091944738E-2</v>
      </c>
      <c r="AW119" s="6">
        <v>-1.4622089417027917E-3</v>
      </c>
      <c r="AX119" s="7">
        <v>115</v>
      </c>
      <c r="AY119" s="7">
        <v>109</v>
      </c>
      <c r="AZ119" s="7">
        <v>108</v>
      </c>
      <c r="BA119" s="26">
        <v>-7</v>
      </c>
      <c r="BB119" s="26">
        <v>-1</v>
      </c>
      <c r="BC119" s="6">
        <v>0.19304640403757184</v>
      </c>
      <c r="BD119" s="6">
        <v>0.193</v>
      </c>
      <c r="BE119" s="11">
        <v>0.5464341793292703</v>
      </c>
      <c r="BF119" s="7">
        <v>113</v>
      </c>
      <c r="BG119" s="26">
        <v>-5</v>
      </c>
      <c r="BH119" s="7">
        <v>-2</v>
      </c>
    </row>
    <row r="120" spans="2:60" x14ac:dyDescent="0.25">
      <c r="B120" s="3">
        <v>117</v>
      </c>
      <c r="C120" s="3" t="s">
        <v>239</v>
      </c>
      <c r="D120" s="3" t="s">
        <v>240</v>
      </c>
      <c r="E120" s="3" t="s">
        <v>238</v>
      </c>
      <c r="F120" s="3">
        <v>7202</v>
      </c>
      <c r="G120" s="3">
        <v>7</v>
      </c>
      <c r="H120" s="3">
        <v>0.45300000000000001</v>
      </c>
      <c r="I120" s="4">
        <v>9446</v>
      </c>
      <c r="J120" s="4">
        <v>9256</v>
      </c>
      <c r="K120" s="4">
        <v>9278</v>
      </c>
      <c r="L120" s="4">
        <v>190</v>
      </c>
      <c r="M120" s="4">
        <v>332</v>
      </c>
      <c r="N120" s="18">
        <v>2</v>
      </c>
      <c r="O120" s="18">
        <v>255</v>
      </c>
      <c r="P120" s="18">
        <v>0</v>
      </c>
      <c r="Q120" s="18">
        <v>0</v>
      </c>
      <c r="R120" s="18">
        <v>75</v>
      </c>
      <c r="S120" s="18">
        <v>0</v>
      </c>
      <c r="T120" s="18">
        <v>332</v>
      </c>
      <c r="U120" s="18" t="b">
        <v>1</v>
      </c>
      <c r="V120" s="4">
        <v>309</v>
      </c>
      <c r="W120" s="4">
        <v>309</v>
      </c>
      <c r="X120" s="3" t="b">
        <v>1</v>
      </c>
      <c r="Y120" s="18">
        <v>5</v>
      </c>
      <c r="Z120" s="18">
        <v>240</v>
      </c>
      <c r="AA120" s="18">
        <v>0</v>
      </c>
      <c r="AB120" s="18">
        <v>0</v>
      </c>
      <c r="AC120" s="18">
        <v>64</v>
      </c>
      <c r="AD120" s="18">
        <v>0</v>
      </c>
      <c r="AE120" s="18">
        <v>309</v>
      </c>
      <c r="AF120" s="4">
        <v>23</v>
      </c>
      <c r="AG120" s="5">
        <v>6.9277108433734941E-2</v>
      </c>
      <c r="AH120" s="18">
        <f t="shared" si="1"/>
        <v>15</v>
      </c>
      <c r="AI120" s="6">
        <v>3.5147152233749736E-2</v>
      </c>
      <c r="AJ120" s="3">
        <v>3.5000000000000003E-2</v>
      </c>
      <c r="AK120" s="6">
        <v>0.36829446995296422</v>
      </c>
      <c r="AL120" s="25">
        <v>0.36799999999999999</v>
      </c>
      <c r="AM120" s="6">
        <v>3.5868625756266204E-2</v>
      </c>
      <c r="AN120" s="3">
        <v>3.5999999999999997E-2</v>
      </c>
      <c r="AO120" s="6">
        <v>0.36790213742323102</v>
      </c>
      <c r="AP120" s="6">
        <v>3.3304591506790257E-2</v>
      </c>
      <c r="AQ120" s="6">
        <v>3.3000000000000002E-2</v>
      </c>
      <c r="AR120" s="6">
        <v>0.37466234316181002</v>
      </c>
      <c r="AS120" s="6">
        <v>0.375</v>
      </c>
      <c r="AT120" s="6">
        <v>1.8425607269594788E-3</v>
      </c>
      <c r="AU120" s="6">
        <v>-6.3678732088457979E-3</v>
      </c>
      <c r="AV120" s="6">
        <v>2.5640342494759466E-3</v>
      </c>
      <c r="AW120" s="6">
        <v>-6.7602057385789949E-3</v>
      </c>
      <c r="AX120" s="7">
        <v>320</v>
      </c>
      <c r="AY120" s="26">
        <v>318</v>
      </c>
      <c r="AZ120" s="7">
        <v>316</v>
      </c>
      <c r="BA120" s="26">
        <v>-4</v>
      </c>
      <c r="BB120" s="26">
        <v>-2</v>
      </c>
      <c r="BC120" s="6">
        <v>3.2712259157315265E-2</v>
      </c>
      <c r="BD120" s="6">
        <v>3.3000000000000002E-2</v>
      </c>
      <c r="BE120" s="11">
        <v>0.37419133924813414</v>
      </c>
      <c r="BF120" s="26">
        <v>318</v>
      </c>
      <c r="BG120" s="26">
        <v>-2</v>
      </c>
      <c r="BH120" s="7">
        <v>-2</v>
      </c>
    </row>
    <row r="121" spans="2:60" x14ac:dyDescent="0.25">
      <c r="B121" s="3">
        <v>118</v>
      </c>
      <c r="C121" s="3" t="s">
        <v>241</v>
      </c>
      <c r="D121" s="3" t="s">
        <v>242</v>
      </c>
      <c r="E121" s="3" t="s">
        <v>238</v>
      </c>
      <c r="F121" s="3">
        <v>7402</v>
      </c>
      <c r="G121" s="3">
        <v>7</v>
      </c>
      <c r="H121" s="3">
        <v>0.42499999999999999</v>
      </c>
      <c r="I121" s="4">
        <v>22637</v>
      </c>
      <c r="J121" s="4">
        <v>23479</v>
      </c>
      <c r="K121" s="4">
        <v>23262</v>
      </c>
      <c r="L121" s="4">
        <v>-842</v>
      </c>
      <c r="M121" s="4">
        <v>1617</v>
      </c>
      <c r="N121" s="18">
        <v>16</v>
      </c>
      <c r="O121" s="18">
        <v>1401</v>
      </c>
      <c r="P121" s="18">
        <v>0</v>
      </c>
      <c r="Q121" s="18">
        <v>0</v>
      </c>
      <c r="R121" s="18">
        <v>200</v>
      </c>
      <c r="S121" s="18">
        <v>0</v>
      </c>
      <c r="T121" s="18">
        <v>1617</v>
      </c>
      <c r="U121" s="18" t="b">
        <v>1</v>
      </c>
      <c r="V121" s="4">
        <v>1580</v>
      </c>
      <c r="W121" s="4">
        <v>1580</v>
      </c>
      <c r="X121" s="3" t="b">
        <v>1</v>
      </c>
      <c r="Y121" s="18">
        <v>16</v>
      </c>
      <c r="Z121" s="18">
        <v>1414</v>
      </c>
      <c r="AA121" s="18">
        <v>0</v>
      </c>
      <c r="AB121" s="18">
        <v>0</v>
      </c>
      <c r="AC121" s="18">
        <v>150</v>
      </c>
      <c r="AD121" s="18">
        <v>0</v>
      </c>
      <c r="AE121" s="18">
        <v>1580</v>
      </c>
      <c r="AF121" s="4">
        <v>37</v>
      </c>
      <c r="AG121" s="5">
        <v>2.2881880024737167E-2</v>
      </c>
      <c r="AH121" s="18">
        <f t="shared" si="1"/>
        <v>-13</v>
      </c>
      <c r="AI121" s="6">
        <v>7.1431726818924762E-2</v>
      </c>
      <c r="AJ121" s="3">
        <v>7.0999999999999994E-2</v>
      </c>
      <c r="AK121" s="6">
        <v>0.40569274755294371</v>
      </c>
      <c r="AL121" s="25">
        <v>0.40600000000000003</v>
      </c>
      <c r="AM121" s="6">
        <v>6.8870054090889726E-2</v>
      </c>
      <c r="AN121" s="3">
        <v>6.9000000000000006E-2</v>
      </c>
      <c r="AO121" s="6">
        <v>0.405391760243212</v>
      </c>
      <c r="AP121" s="6">
        <v>6.7921932765884277E-2</v>
      </c>
      <c r="AQ121" s="6">
        <v>6.8000000000000005E-2</v>
      </c>
      <c r="AR121" s="6">
        <v>0.41526581607151197</v>
      </c>
      <c r="AS121" s="6">
        <v>0.41499999999999998</v>
      </c>
      <c r="AT121" s="6">
        <v>3.5097940530404853E-3</v>
      </c>
      <c r="AU121" s="6">
        <v>-9.5730685185682618E-3</v>
      </c>
      <c r="AV121" s="6">
        <v>9.4812132500544932E-4</v>
      </c>
      <c r="AW121" s="6">
        <v>-9.8740558282999769E-3</v>
      </c>
      <c r="AX121" s="7">
        <v>274</v>
      </c>
      <c r="AY121" s="7">
        <v>275</v>
      </c>
      <c r="AZ121" s="7">
        <v>258</v>
      </c>
      <c r="BA121" s="26">
        <v>-16</v>
      </c>
      <c r="BB121" s="26">
        <v>-17</v>
      </c>
      <c r="BC121" s="6">
        <v>6.9797234615894335E-2</v>
      </c>
      <c r="BD121" s="6">
        <v>7.0000000000000007E-2</v>
      </c>
      <c r="BE121" s="11">
        <v>0.41403077271438304</v>
      </c>
      <c r="BF121" s="7">
        <v>252</v>
      </c>
      <c r="BG121" s="26">
        <v>6</v>
      </c>
      <c r="BH121" s="7">
        <v>-22</v>
      </c>
    </row>
    <row r="122" spans="2:60" x14ac:dyDescent="0.25">
      <c r="B122" s="3">
        <v>119</v>
      </c>
      <c r="C122" s="3" t="s">
        <v>243</v>
      </c>
      <c r="D122" s="3" t="s">
        <v>244</v>
      </c>
      <c r="E122" s="3" t="s">
        <v>238</v>
      </c>
      <c r="F122" s="3">
        <v>7102</v>
      </c>
      <c r="G122" s="3">
        <v>7</v>
      </c>
      <c r="H122" s="3">
        <v>0.51700000000000002</v>
      </c>
      <c r="I122" s="4">
        <v>47004</v>
      </c>
      <c r="J122" s="4">
        <v>50646</v>
      </c>
      <c r="K122" s="4">
        <v>50601</v>
      </c>
      <c r="L122" s="4">
        <v>-3642</v>
      </c>
      <c r="M122" s="4">
        <v>7399</v>
      </c>
      <c r="N122" s="18">
        <v>2</v>
      </c>
      <c r="O122" s="18">
        <v>5402</v>
      </c>
      <c r="P122" s="18">
        <v>1586</v>
      </c>
      <c r="Q122" s="18">
        <v>0</v>
      </c>
      <c r="R122" s="18">
        <v>409</v>
      </c>
      <c r="S122" s="18">
        <v>0</v>
      </c>
      <c r="T122" s="18">
        <v>7399</v>
      </c>
      <c r="U122" s="18" t="b">
        <v>1</v>
      </c>
      <c r="V122" s="4">
        <v>6993</v>
      </c>
      <c r="W122" s="4">
        <v>6993</v>
      </c>
      <c r="X122" s="3" t="b">
        <v>1</v>
      </c>
      <c r="Y122" s="18">
        <v>4</v>
      </c>
      <c r="Z122" s="18">
        <v>4852</v>
      </c>
      <c r="AA122" s="18">
        <v>1704</v>
      </c>
      <c r="AB122" s="18">
        <v>0</v>
      </c>
      <c r="AC122" s="18">
        <v>433</v>
      </c>
      <c r="AD122" s="18">
        <v>0</v>
      </c>
      <c r="AE122" s="18">
        <v>6993</v>
      </c>
      <c r="AF122" s="4">
        <v>406</v>
      </c>
      <c r="AG122" s="5">
        <v>5.4872280037842953E-2</v>
      </c>
      <c r="AH122" s="18">
        <f t="shared" si="1"/>
        <v>550</v>
      </c>
      <c r="AI122" s="6">
        <v>0.1574121351374351</v>
      </c>
      <c r="AJ122" s="3">
        <v>0.157</v>
      </c>
      <c r="AK122" s="6">
        <v>0.49431220127995568</v>
      </c>
      <c r="AL122" s="25">
        <v>0.49399999999999999</v>
      </c>
      <c r="AM122" s="6">
        <v>0.14609248509260356</v>
      </c>
      <c r="AN122" s="3">
        <v>0.14599999999999999</v>
      </c>
      <c r="AO122" s="6">
        <v>0.49311644240367819</v>
      </c>
      <c r="AP122" s="6">
        <v>0.13819884982510228</v>
      </c>
      <c r="AQ122" s="6">
        <v>0.13800000000000001</v>
      </c>
      <c r="AR122" s="6">
        <v>0.49647276189091594</v>
      </c>
      <c r="AS122" s="6">
        <v>0.497</v>
      </c>
      <c r="AT122" s="6">
        <v>1.9213285312332823E-2</v>
      </c>
      <c r="AU122" s="6">
        <v>-2.1605606109602604E-3</v>
      </c>
      <c r="AV122" s="6">
        <v>7.8936352675012811E-3</v>
      </c>
      <c r="AW122" s="6">
        <v>-3.3563194872377466E-3</v>
      </c>
      <c r="AX122" s="7">
        <v>169</v>
      </c>
      <c r="AY122" s="26">
        <v>173</v>
      </c>
      <c r="AZ122" s="7">
        <v>166</v>
      </c>
      <c r="BA122" s="26">
        <v>-3</v>
      </c>
      <c r="BB122" s="26">
        <v>-7</v>
      </c>
      <c r="BC122" s="6">
        <v>0.14877457237681899</v>
      </c>
      <c r="BD122" s="6">
        <v>0.14899999999999999</v>
      </c>
      <c r="BE122" s="11">
        <v>0.49887409144819511</v>
      </c>
      <c r="BF122" s="26">
        <v>161</v>
      </c>
      <c r="BG122" s="26">
        <v>5</v>
      </c>
      <c r="BH122" s="7">
        <v>-8</v>
      </c>
    </row>
    <row r="123" spans="2:60" x14ac:dyDescent="0.25">
      <c r="B123" s="3">
        <v>120</v>
      </c>
      <c r="C123" s="3" t="s">
        <v>245</v>
      </c>
      <c r="D123" s="3" t="s">
        <v>246</v>
      </c>
      <c r="E123" s="3" t="s">
        <v>238</v>
      </c>
      <c r="F123" s="3">
        <v>7103</v>
      </c>
      <c r="G123" s="3">
        <v>7</v>
      </c>
      <c r="H123" s="3">
        <v>0.52600000000000002</v>
      </c>
      <c r="I123" s="4">
        <v>9519</v>
      </c>
      <c r="J123" s="4">
        <v>9136</v>
      </c>
      <c r="K123" s="4">
        <v>9209</v>
      </c>
      <c r="L123" s="4">
        <v>383</v>
      </c>
      <c r="M123" s="4">
        <v>342</v>
      </c>
      <c r="N123" s="18">
        <v>17</v>
      </c>
      <c r="O123" s="18">
        <v>254</v>
      </c>
      <c r="P123" s="18">
        <v>0</v>
      </c>
      <c r="Q123" s="18">
        <v>0</v>
      </c>
      <c r="R123" s="18">
        <v>71</v>
      </c>
      <c r="S123" s="18">
        <v>0</v>
      </c>
      <c r="T123" s="18">
        <v>342</v>
      </c>
      <c r="U123" s="18" t="b">
        <v>1</v>
      </c>
      <c r="V123" s="4">
        <v>309</v>
      </c>
      <c r="W123" s="4">
        <v>309</v>
      </c>
      <c r="X123" s="3" t="b">
        <v>1</v>
      </c>
      <c r="Y123" s="18">
        <v>20</v>
      </c>
      <c r="Z123" s="18">
        <v>241</v>
      </c>
      <c r="AA123" s="18">
        <v>0</v>
      </c>
      <c r="AB123" s="18">
        <v>0</v>
      </c>
      <c r="AC123" s="18">
        <v>48</v>
      </c>
      <c r="AD123" s="18">
        <v>0</v>
      </c>
      <c r="AE123" s="18">
        <v>309</v>
      </c>
      <c r="AF123" s="4">
        <v>33</v>
      </c>
      <c r="AG123" s="5">
        <v>9.6491228070175433E-2</v>
      </c>
      <c r="AH123" s="18">
        <f t="shared" si="1"/>
        <v>13</v>
      </c>
      <c r="AI123" s="6">
        <v>3.5928143712574849E-2</v>
      </c>
      <c r="AJ123" s="3">
        <v>3.5999999999999997E-2</v>
      </c>
      <c r="AK123" s="6">
        <v>0.36909943284593566</v>
      </c>
      <c r="AL123" s="25">
        <v>0.36899999999999999</v>
      </c>
      <c r="AM123" s="6">
        <v>3.7434325744308231E-2</v>
      </c>
      <c r="AN123" s="3">
        <v>3.6999999999999998E-2</v>
      </c>
      <c r="AO123" s="6">
        <v>0.36968077262064647</v>
      </c>
      <c r="AP123" s="6">
        <v>3.3554131827559994E-2</v>
      </c>
      <c r="AQ123" s="6">
        <v>3.4000000000000002E-2</v>
      </c>
      <c r="AR123" s="6">
        <v>0.37582244238780149</v>
      </c>
      <c r="AS123" s="6">
        <v>0.376</v>
      </c>
      <c r="AT123" s="6">
        <v>2.3740118850148553E-3</v>
      </c>
      <c r="AU123" s="6">
        <v>-6.723009541865832E-3</v>
      </c>
      <c r="AV123" s="6">
        <v>3.8801939167482369E-3</v>
      </c>
      <c r="AW123" s="6">
        <v>-6.1416697671550224E-3</v>
      </c>
      <c r="AX123" s="7">
        <v>319</v>
      </c>
      <c r="AY123" s="7">
        <v>315</v>
      </c>
      <c r="AZ123" s="7">
        <v>310</v>
      </c>
      <c r="BA123" s="26">
        <v>-9</v>
      </c>
      <c r="BB123" s="26">
        <v>-5</v>
      </c>
      <c r="BC123" s="6">
        <v>3.2461393003466753E-2</v>
      </c>
      <c r="BD123" s="6">
        <v>3.2000000000000001E-2</v>
      </c>
      <c r="BE123" s="11">
        <v>0.37392184020380165</v>
      </c>
      <c r="BF123" s="7">
        <v>319</v>
      </c>
      <c r="BG123" s="26">
        <v>-9</v>
      </c>
      <c r="BH123" s="7">
        <v>0</v>
      </c>
    </row>
    <row r="124" spans="2:60" x14ac:dyDescent="0.25">
      <c r="B124" s="3">
        <v>121</v>
      </c>
      <c r="C124" s="3" t="s">
        <v>247</v>
      </c>
      <c r="D124" s="3" t="s">
        <v>248</v>
      </c>
      <c r="E124" s="3" t="s">
        <v>238</v>
      </c>
      <c r="F124" s="3">
        <v>7301</v>
      </c>
      <c r="G124" s="3">
        <v>7</v>
      </c>
      <c r="H124" s="3">
        <v>0.60199999999999998</v>
      </c>
      <c r="I124" s="4">
        <v>159968</v>
      </c>
      <c r="J124" s="4">
        <v>171589</v>
      </c>
      <c r="K124" s="4">
        <v>169681</v>
      </c>
      <c r="L124" s="4">
        <v>-11621</v>
      </c>
      <c r="M124" s="4">
        <v>42927</v>
      </c>
      <c r="N124" s="18">
        <v>11</v>
      </c>
      <c r="O124" s="18">
        <v>27444</v>
      </c>
      <c r="P124" s="18">
        <v>14954</v>
      </c>
      <c r="Q124" s="18">
        <v>0</v>
      </c>
      <c r="R124" s="18">
        <v>506</v>
      </c>
      <c r="S124" s="18">
        <v>12</v>
      </c>
      <c r="T124" s="18">
        <v>42927</v>
      </c>
      <c r="U124" s="18" t="b">
        <v>1</v>
      </c>
      <c r="V124" s="4">
        <v>40684</v>
      </c>
      <c r="W124" s="4">
        <v>40684</v>
      </c>
      <c r="X124" s="3" t="b">
        <v>1</v>
      </c>
      <c r="Y124" s="18">
        <v>68</v>
      </c>
      <c r="Z124" s="18">
        <v>23769</v>
      </c>
      <c r="AA124" s="18">
        <v>16223</v>
      </c>
      <c r="AB124" s="18">
        <v>0</v>
      </c>
      <c r="AC124" s="18">
        <v>611</v>
      </c>
      <c r="AD124" s="18">
        <v>13</v>
      </c>
      <c r="AE124" s="18">
        <v>40684</v>
      </c>
      <c r="AF124" s="4">
        <v>2243</v>
      </c>
      <c r="AG124" s="5">
        <v>5.2251496727001655E-2</v>
      </c>
      <c r="AH124" s="18">
        <f t="shared" si="1"/>
        <v>3675</v>
      </c>
      <c r="AI124" s="6">
        <v>0.26834741948389679</v>
      </c>
      <c r="AJ124" s="3">
        <v>0.26800000000000002</v>
      </c>
      <c r="AK124" s="6">
        <v>0.6086524851899322</v>
      </c>
      <c r="AL124" s="25">
        <v>0.60899999999999999</v>
      </c>
      <c r="AM124" s="6">
        <v>0.25017337941243317</v>
      </c>
      <c r="AN124" s="3">
        <v>0.25</v>
      </c>
      <c r="AO124" s="6">
        <v>0.61135233908221576</v>
      </c>
      <c r="AP124" s="6">
        <v>0.23976756384038284</v>
      </c>
      <c r="AQ124" s="6">
        <v>0.24</v>
      </c>
      <c r="AR124" s="6">
        <v>0.61480288294204744</v>
      </c>
      <c r="AS124" s="6">
        <v>0.61399999999999999</v>
      </c>
      <c r="AT124" s="6">
        <v>2.8579855643513952E-2</v>
      </c>
      <c r="AU124" s="6">
        <v>-6.1503977521152331E-3</v>
      </c>
      <c r="AV124" s="6">
        <v>1.0405815572050336E-2</v>
      </c>
      <c r="AW124" s="6">
        <v>-3.4505438598316784E-3</v>
      </c>
      <c r="AX124" s="7">
        <v>49</v>
      </c>
      <c r="AY124" s="26">
        <v>50</v>
      </c>
      <c r="AZ124" s="7">
        <v>49</v>
      </c>
      <c r="BA124" s="26">
        <v>0</v>
      </c>
      <c r="BB124" s="26">
        <v>-1</v>
      </c>
      <c r="BC124" s="6">
        <v>0.25432586517303463</v>
      </c>
      <c r="BD124" s="6">
        <v>0.254</v>
      </c>
      <c r="BE124" s="11">
        <v>0.61226512527342047</v>
      </c>
      <c r="BF124" s="26">
        <v>51</v>
      </c>
      <c r="BG124" s="26">
        <v>-2</v>
      </c>
      <c r="BH124" s="7">
        <v>2</v>
      </c>
    </row>
    <row r="125" spans="2:60" x14ac:dyDescent="0.25">
      <c r="B125" s="3">
        <v>122</v>
      </c>
      <c r="C125" s="3" t="s">
        <v>249</v>
      </c>
      <c r="D125" s="3" t="s">
        <v>250</v>
      </c>
      <c r="E125" s="3" t="s">
        <v>238</v>
      </c>
      <c r="F125" s="3">
        <v>7104</v>
      </c>
      <c r="G125" s="3">
        <v>7</v>
      </c>
      <c r="H125" s="3">
        <v>0.39400000000000002</v>
      </c>
      <c r="I125" s="4">
        <v>3990</v>
      </c>
      <c r="J125" s="4">
        <v>4176</v>
      </c>
      <c r="K125" s="4">
        <v>4185</v>
      </c>
      <c r="L125" s="4">
        <v>-186</v>
      </c>
      <c r="M125" s="4">
        <v>225</v>
      </c>
      <c r="N125" s="18">
        <v>0</v>
      </c>
      <c r="O125" s="18">
        <v>205</v>
      </c>
      <c r="P125" s="18">
        <v>0</v>
      </c>
      <c r="Q125" s="18">
        <v>0</v>
      </c>
      <c r="R125" s="18">
        <v>20</v>
      </c>
      <c r="S125" s="18">
        <v>0</v>
      </c>
      <c r="T125" s="18">
        <v>225</v>
      </c>
      <c r="U125" s="18" t="b">
        <v>1</v>
      </c>
      <c r="V125" s="4">
        <v>14</v>
      </c>
      <c r="W125" s="4">
        <v>14</v>
      </c>
      <c r="X125" s="3" t="b">
        <v>1</v>
      </c>
      <c r="Y125" s="18">
        <v>0</v>
      </c>
      <c r="Z125" s="18">
        <v>0</v>
      </c>
      <c r="AA125" s="18">
        <v>0</v>
      </c>
      <c r="AB125" s="18">
        <v>0</v>
      </c>
      <c r="AC125" s="18">
        <v>14</v>
      </c>
      <c r="AD125" s="18">
        <v>0</v>
      </c>
      <c r="AE125" s="18">
        <v>14</v>
      </c>
      <c r="AF125" s="4">
        <v>211</v>
      </c>
      <c r="AG125" s="5">
        <v>0.93777777777777782</v>
      </c>
      <c r="AH125" s="18">
        <f t="shared" si="1"/>
        <v>205</v>
      </c>
      <c r="AI125" s="6">
        <v>5.6390977443609019E-2</v>
      </c>
      <c r="AJ125" s="3">
        <v>5.6000000000000001E-2</v>
      </c>
      <c r="AK125" s="6">
        <v>0.39019034393155472</v>
      </c>
      <c r="AL125" s="25">
        <v>0.39</v>
      </c>
      <c r="AM125" s="6">
        <v>5.3879310344827583E-2</v>
      </c>
      <c r="AN125" s="3">
        <v>5.3999999999999999E-2</v>
      </c>
      <c r="AO125" s="6">
        <v>0.38836227524236921</v>
      </c>
      <c r="AP125" s="6">
        <v>3.3452807646356035E-3</v>
      </c>
      <c r="AQ125" s="6">
        <v>3.0000000000000001E-3</v>
      </c>
      <c r="AR125" s="6">
        <v>0.33985936638206543</v>
      </c>
      <c r="AS125" s="6">
        <v>0.34100000000000003</v>
      </c>
      <c r="AT125" s="6">
        <v>5.3045696678973416E-2</v>
      </c>
      <c r="AU125" s="6">
        <v>5.0330977549489286E-2</v>
      </c>
      <c r="AV125" s="6">
        <v>5.0534029580191979E-2</v>
      </c>
      <c r="AW125" s="6">
        <v>4.8502908860303784E-2</v>
      </c>
      <c r="AX125" s="7">
        <v>297</v>
      </c>
      <c r="AY125" s="7">
        <v>298</v>
      </c>
      <c r="AZ125" s="7">
        <v>345</v>
      </c>
      <c r="BA125" s="26">
        <v>48</v>
      </c>
      <c r="BB125" s="26">
        <v>47</v>
      </c>
      <c r="BC125" s="6">
        <v>3.5087719298245615E-3</v>
      </c>
      <c r="BD125" s="6">
        <v>4.0000000000000001E-3</v>
      </c>
      <c r="BE125" s="11">
        <v>0.34281878548491151</v>
      </c>
      <c r="BF125" s="7">
        <v>345</v>
      </c>
      <c r="BG125" s="26">
        <v>0</v>
      </c>
      <c r="BH125" s="7">
        <v>48</v>
      </c>
    </row>
    <row r="126" spans="2:60" x14ac:dyDescent="0.25">
      <c r="B126" s="3">
        <v>123</v>
      </c>
      <c r="C126" s="3" t="s">
        <v>251</v>
      </c>
      <c r="D126" s="3" t="s">
        <v>252</v>
      </c>
      <c r="E126" s="3" t="s">
        <v>238</v>
      </c>
      <c r="F126" s="3">
        <v>7302</v>
      </c>
      <c r="G126" s="3">
        <v>7</v>
      </c>
      <c r="H126" s="3">
        <v>0.53300000000000003</v>
      </c>
      <c r="I126" s="4">
        <v>10775</v>
      </c>
      <c r="J126" s="4">
        <v>10225</v>
      </c>
      <c r="K126" s="4">
        <v>10230</v>
      </c>
      <c r="L126" s="4">
        <v>550</v>
      </c>
      <c r="M126" s="4">
        <v>749</v>
      </c>
      <c r="N126" s="18">
        <v>3</v>
      </c>
      <c r="O126" s="18">
        <v>686</v>
      </c>
      <c r="P126" s="18">
        <v>0</v>
      </c>
      <c r="Q126" s="18">
        <v>0</v>
      </c>
      <c r="R126" s="18">
        <v>60</v>
      </c>
      <c r="S126" s="18">
        <v>0</v>
      </c>
      <c r="T126" s="18">
        <v>749</v>
      </c>
      <c r="U126" s="18" t="b">
        <v>1</v>
      </c>
      <c r="V126" s="4">
        <v>586</v>
      </c>
      <c r="W126" s="4">
        <v>586</v>
      </c>
      <c r="X126" s="3" t="b">
        <v>1</v>
      </c>
      <c r="Y126" s="18">
        <v>7</v>
      </c>
      <c r="Z126" s="18">
        <v>547</v>
      </c>
      <c r="AA126" s="18">
        <v>0</v>
      </c>
      <c r="AB126" s="18">
        <v>1</v>
      </c>
      <c r="AC126" s="18">
        <v>31</v>
      </c>
      <c r="AD126" s="18">
        <v>0</v>
      </c>
      <c r="AE126" s="18">
        <v>586</v>
      </c>
      <c r="AF126" s="4">
        <v>163</v>
      </c>
      <c r="AG126" s="5">
        <v>0.21762349799732977</v>
      </c>
      <c r="AH126" s="18">
        <f t="shared" si="1"/>
        <v>139</v>
      </c>
      <c r="AI126" s="6">
        <v>6.9512761020881664E-2</v>
      </c>
      <c r="AJ126" s="3">
        <v>7.0000000000000007E-2</v>
      </c>
      <c r="AK126" s="6">
        <v>0.40371488184994042</v>
      </c>
      <c r="AL126" s="25">
        <v>0.40400000000000003</v>
      </c>
      <c r="AM126" s="6">
        <v>7.3251833740831301E-2</v>
      </c>
      <c r="AN126" s="3">
        <v>7.2999999999999995E-2</v>
      </c>
      <c r="AO126" s="6">
        <v>0.4103694619563294</v>
      </c>
      <c r="AP126" s="6">
        <v>5.7282502443792765E-2</v>
      </c>
      <c r="AQ126" s="6">
        <v>5.7000000000000002E-2</v>
      </c>
      <c r="AR126" s="6">
        <v>0.40250472458560566</v>
      </c>
      <c r="AS126" s="6">
        <v>0.40300000000000002</v>
      </c>
      <c r="AT126" s="6">
        <v>1.2230258577088898E-2</v>
      </c>
      <c r="AU126" s="6">
        <v>1.2101572643347658E-3</v>
      </c>
      <c r="AV126" s="6">
        <v>1.5969331297038536E-2</v>
      </c>
      <c r="AW126" s="6">
        <v>7.86473737072374E-3</v>
      </c>
      <c r="AX126" s="7">
        <v>279</v>
      </c>
      <c r="AY126" s="26">
        <v>269</v>
      </c>
      <c r="AZ126" s="7">
        <v>275</v>
      </c>
      <c r="BA126" s="26">
        <v>-4</v>
      </c>
      <c r="BB126" s="26">
        <v>6</v>
      </c>
      <c r="BC126" s="6">
        <v>5.4385150812064964E-2</v>
      </c>
      <c r="BD126" s="6">
        <v>5.3999999999999999E-2</v>
      </c>
      <c r="BE126" s="11">
        <v>0.39747396824879266</v>
      </c>
      <c r="BF126" s="26">
        <v>280</v>
      </c>
      <c r="BG126" s="26">
        <v>-5</v>
      </c>
      <c r="BH126" s="7">
        <v>1</v>
      </c>
    </row>
    <row r="127" spans="2:60" x14ac:dyDescent="0.25">
      <c r="B127" s="3">
        <v>124</v>
      </c>
      <c r="C127" s="3" t="s">
        <v>253</v>
      </c>
      <c r="D127" s="3" t="s">
        <v>254</v>
      </c>
      <c r="E127" s="3" t="s">
        <v>238</v>
      </c>
      <c r="F127" s="3">
        <v>7303</v>
      </c>
      <c r="G127" s="3">
        <v>7</v>
      </c>
      <c r="H127" s="3">
        <v>0.52600000000000002</v>
      </c>
      <c r="I127" s="4">
        <v>6892</v>
      </c>
      <c r="J127" s="4">
        <v>6986</v>
      </c>
      <c r="K127" s="4">
        <v>6989</v>
      </c>
      <c r="L127" s="4">
        <v>-94</v>
      </c>
      <c r="M127" s="4">
        <v>1196</v>
      </c>
      <c r="N127" s="18">
        <v>0</v>
      </c>
      <c r="O127" s="18">
        <v>1149</v>
      </c>
      <c r="P127" s="18">
        <v>16</v>
      </c>
      <c r="Q127" s="18">
        <v>0</v>
      </c>
      <c r="R127" s="18">
        <v>31</v>
      </c>
      <c r="S127" s="18">
        <v>0</v>
      </c>
      <c r="T127" s="18">
        <v>1196</v>
      </c>
      <c r="U127" s="18" t="b">
        <v>1</v>
      </c>
      <c r="V127" s="4">
        <v>1016</v>
      </c>
      <c r="W127" s="4">
        <v>1016</v>
      </c>
      <c r="X127" s="3" t="b">
        <v>1</v>
      </c>
      <c r="Y127" s="18">
        <v>0</v>
      </c>
      <c r="Z127" s="18">
        <v>970</v>
      </c>
      <c r="AA127" s="18">
        <v>18</v>
      </c>
      <c r="AB127" s="18">
        <v>0</v>
      </c>
      <c r="AC127" s="18">
        <v>28</v>
      </c>
      <c r="AD127" s="18">
        <v>0</v>
      </c>
      <c r="AE127" s="18">
        <v>1016</v>
      </c>
      <c r="AF127" s="4">
        <v>180</v>
      </c>
      <c r="AG127" s="5">
        <v>0.15050167224080269</v>
      </c>
      <c r="AH127" s="18">
        <f t="shared" si="1"/>
        <v>179</v>
      </c>
      <c r="AI127" s="6">
        <v>0.17353453279164249</v>
      </c>
      <c r="AJ127" s="3">
        <v>0.17399999999999999</v>
      </c>
      <c r="AK127" s="6">
        <v>0.51092945282396729</v>
      </c>
      <c r="AL127" s="25">
        <v>0.51100000000000001</v>
      </c>
      <c r="AM127" s="6">
        <v>0.17119954194102491</v>
      </c>
      <c r="AN127" s="3">
        <v>0.17100000000000001</v>
      </c>
      <c r="AO127" s="6">
        <v>0.52163805915987227</v>
      </c>
      <c r="AP127" s="6">
        <v>0.14537129775361282</v>
      </c>
      <c r="AQ127" s="6">
        <v>0.14499999999999999</v>
      </c>
      <c r="AR127" s="6">
        <v>0.50459345647285636</v>
      </c>
      <c r="AS127" s="6">
        <v>0.505</v>
      </c>
      <c r="AT127" s="6">
        <v>2.8163235038029671E-2</v>
      </c>
      <c r="AU127" s="6">
        <v>6.3359963511109285E-3</v>
      </c>
      <c r="AV127" s="6">
        <v>2.5828244187412086E-2</v>
      </c>
      <c r="AW127" s="6">
        <v>1.7044602687015908E-2</v>
      </c>
      <c r="AX127" s="7">
        <v>147</v>
      </c>
      <c r="AY127" s="7">
        <v>137</v>
      </c>
      <c r="AZ127" s="7">
        <v>153</v>
      </c>
      <c r="BA127" s="26">
        <v>6</v>
      </c>
      <c r="BB127" s="26">
        <v>16</v>
      </c>
      <c r="BC127" s="6">
        <v>0.14741729541497389</v>
      </c>
      <c r="BD127" s="6">
        <v>0.14699999999999999</v>
      </c>
      <c r="BE127" s="11">
        <v>0.49741600378471279</v>
      </c>
      <c r="BF127" s="7">
        <v>163</v>
      </c>
      <c r="BG127" s="26">
        <v>-10</v>
      </c>
      <c r="BH127" s="7">
        <v>16</v>
      </c>
    </row>
    <row r="128" spans="2:60" x14ac:dyDescent="0.25">
      <c r="B128" s="3">
        <v>125</v>
      </c>
      <c r="C128" s="3" t="s">
        <v>255</v>
      </c>
      <c r="D128" s="3" t="s">
        <v>256</v>
      </c>
      <c r="E128" s="3" t="s">
        <v>238</v>
      </c>
      <c r="F128" s="3">
        <v>7401</v>
      </c>
      <c r="G128" s="3">
        <v>7</v>
      </c>
      <c r="H128" s="3">
        <v>0.54700000000000004</v>
      </c>
      <c r="I128" s="4">
        <v>96744</v>
      </c>
      <c r="J128" s="4">
        <v>103958</v>
      </c>
      <c r="K128" s="4">
        <v>103303</v>
      </c>
      <c r="L128" s="4">
        <v>-7214</v>
      </c>
      <c r="M128" s="4">
        <v>18660</v>
      </c>
      <c r="N128" s="18">
        <v>16</v>
      </c>
      <c r="O128" s="18">
        <v>12634</v>
      </c>
      <c r="P128" s="18">
        <v>5250</v>
      </c>
      <c r="Q128" s="18">
        <v>0</v>
      </c>
      <c r="R128" s="18">
        <v>760</v>
      </c>
      <c r="S128" s="18">
        <v>0</v>
      </c>
      <c r="T128" s="18">
        <v>18660</v>
      </c>
      <c r="U128" s="18" t="b">
        <v>1</v>
      </c>
      <c r="V128" s="4">
        <v>17681</v>
      </c>
      <c r="W128" s="4">
        <v>17681</v>
      </c>
      <c r="X128" s="3" t="b">
        <v>1</v>
      </c>
      <c r="Y128" s="18">
        <v>46</v>
      </c>
      <c r="Z128" s="18">
        <v>11123</v>
      </c>
      <c r="AA128" s="18">
        <v>5790</v>
      </c>
      <c r="AB128" s="18">
        <v>0</v>
      </c>
      <c r="AC128" s="18">
        <v>722</v>
      </c>
      <c r="AD128" s="18">
        <v>0</v>
      </c>
      <c r="AE128" s="18">
        <v>17681</v>
      </c>
      <c r="AF128" s="4">
        <v>979</v>
      </c>
      <c r="AG128" s="5">
        <v>5.2465166130760986E-2</v>
      </c>
      <c r="AH128" s="18">
        <f t="shared" si="1"/>
        <v>1511</v>
      </c>
      <c r="AI128" s="6">
        <v>0.19288017861572812</v>
      </c>
      <c r="AJ128" s="3">
        <v>0.193</v>
      </c>
      <c r="AK128" s="6">
        <v>0.53086888552095812</v>
      </c>
      <c r="AL128" s="25">
        <v>0.53100000000000003</v>
      </c>
      <c r="AM128" s="6">
        <v>0.17949556551684334</v>
      </c>
      <c r="AN128" s="3">
        <v>0.17899999999999999</v>
      </c>
      <c r="AO128" s="6">
        <v>0.53106234200028501</v>
      </c>
      <c r="AP128" s="6">
        <v>0.17115669438448061</v>
      </c>
      <c r="AQ128" s="6">
        <v>0.17100000000000001</v>
      </c>
      <c r="AR128" s="6">
        <v>0.534756036348635</v>
      </c>
      <c r="AS128" s="6">
        <v>0.53500000000000003</v>
      </c>
      <c r="AT128" s="6">
        <v>2.1723484231247508E-2</v>
      </c>
      <c r="AU128" s="6">
        <v>-3.8871508276768774E-3</v>
      </c>
      <c r="AV128" s="6">
        <v>8.3388711323627296E-3</v>
      </c>
      <c r="AW128" s="6">
        <v>-3.6936943483499851E-3</v>
      </c>
      <c r="AX128" s="7">
        <v>125</v>
      </c>
      <c r="AY128" s="26">
        <v>129</v>
      </c>
      <c r="AZ128" s="7">
        <v>126</v>
      </c>
      <c r="BA128" s="26">
        <v>1</v>
      </c>
      <c r="BB128" s="26">
        <v>-3</v>
      </c>
      <c r="BC128" s="6">
        <v>0.18276068800132309</v>
      </c>
      <c r="BD128" s="6">
        <v>0.183</v>
      </c>
      <c r="BE128" s="11">
        <v>0.53538449965140311</v>
      </c>
      <c r="BF128" s="26">
        <v>121</v>
      </c>
      <c r="BG128" s="26">
        <v>5</v>
      </c>
      <c r="BH128" s="7">
        <v>-4</v>
      </c>
    </row>
    <row r="129" spans="2:60" x14ac:dyDescent="0.25">
      <c r="B129" s="3">
        <v>126</v>
      </c>
      <c r="C129" s="3" t="s">
        <v>257</v>
      </c>
      <c r="D129" s="3" t="s">
        <v>258</v>
      </c>
      <c r="E129" s="3" t="s">
        <v>238</v>
      </c>
      <c r="F129" s="3">
        <v>7403</v>
      </c>
      <c r="G129" s="3">
        <v>7</v>
      </c>
      <c r="H129" s="3">
        <v>0.42399999999999999</v>
      </c>
      <c r="I129" s="4">
        <v>33299</v>
      </c>
      <c r="J129" s="4">
        <v>33666</v>
      </c>
      <c r="K129" s="4">
        <v>33467</v>
      </c>
      <c r="L129" s="4">
        <v>-367</v>
      </c>
      <c r="M129" s="4">
        <v>3614</v>
      </c>
      <c r="N129" s="18">
        <v>2</v>
      </c>
      <c r="O129" s="18">
        <v>3180</v>
      </c>
      <c r="P129" s="18">
        <v>12</v>
      </c>
      <c r="Q129" s="18">
        <v>0</v>
      </c>
      <c r="R129" s="18">
        <v>420</v>
      </c>
      <c r="S129" s="18">
        <v>0</v>
      </c>
      <c r="T129" s="18">
        <v>3614</v>
      </c>
      <c r="U129" s="18" t="b">
        <v>1</v>
      </c>
      <c r="V129" s="4">
        <v>1617</v>
      </c>
      <c r="W129" s="4">
        <v>1617</v>
      </c>
      <c r="X129" s="3" t="b">
        <v>1</v>
      </c>
      <c r="Y129" s="18">
        <v>25</v>
      </c>
      <c r="Z129" s="18">
        <v>1136</v>
      </c>
      <c r="AA129" s="18">
        <v>31</v>
      </c>
      <c r="AB129" s="18">
        <v>0</v>
      </c>
      <c r="AC129" s="18">
        <v>425</v>
      </c>
      <c r="AD129" s="18">
        <v>0</v>
      </c>
      <c r="AE129" s="18">
        <v>1617</v>
      </c>
      <c r="AF129" s="4">
        <v>1997</v>
      </c>
      <c r="AG129" s="5">
        <v>0.55257332595462094</v>
      </c>
      <c r="AH129" s="18">
        <f t="shared" si="1"/>
        <v>2044</v>
      </c>
      <c r="AI129" s="6">
        <v>0.10853178774137362</v>
      </c>
      <c r="AJ129" s="3">
        <v>0.109</v>
      </c>
      <c r="AK129" s="6">
        <v>0.44393154167458626</v>
      </c>
      <c r="AL129" s="25">
        <v>0.44400000000000001</v>
      </c>
      <c r="AM129" s="6">
        <v>0.10734866036951227</v>
      </c>
      <c r="AN129" s="3">
        <v>0.107</v>
      </c>
      <c r="AO129" s="6">
        <v>0.44910345724605522</v>
      </c>
      <c r="AP129" s="6">
        <v>4.8316251830161056E-2</v>
      </c>
      <c r="AQ129" s="6">
        <v>4.8000000000000001E-2</v>
      </c>
      <c r="AR129" s="6">
        <v>0.39206383155168228</v>
      </c>
      <c r="AS129" s="6">
        <v>0.39300000000000002</v>
      </c>
      <c r="AT129" s="6">
        <v>6.0215535911212564E-2</v>
      </c>
      <c r="AU129" s="6">
        <v>5.1867710122903976E-2</v>
      </c>
      <c r="AV129" s="6">
        <v>5.9032408539351211E-2</v>
      </c>
      <c r="AW129" s="6">
        <v>5.7039625694372931E-2</v>
      </c>
      <c r="AX129" s="7">
        <v>226</v>
      </c>
      <c r="AY129" s="7">
        <v>221</v>
      </c>
      <c r="AZ129" s="7">
        <v>290</v>
      </c>
      <c r="BA129" s="26">
        <v>64</v>
      </c>
      <c r="BB129" s="26">
        <v>69</v>
      </c>
      <c r="BC129" s="6">
        <v>4.856001681732184E-2</v>
      </c>
      <c r="BD129" s="6">
        <v>4.9000000000000002E-2</v>
      </c>
      <c r="BE129" s="11">
        <v>0.3912161769102287</v>
      </c>
      <c r="BF129" s="7">
        <v>292</v>
      </c>
      <c r="BG129" s="26">
        <v>-2</v>
      </c>
      <c r="BH129" s="7">
        <v>66</v>
      </c>
    </row>
    <row r="130" spans="2:60" x14ac:dyDescent="0.25">
      <c r="B130" s="3">
        <v>127</v>
      </c>
      <c r="C130" s="3" t="s">
        <v>238</v>
      </c>
      <c r="D130" s="3" t="s">
        <v>259</v>
      </c>
      <c r="E130" s="3" t="s">
        <v>238</v>
      </c>
      <c r="F130" s="3">
        <v>7105</v>
      </c>
      <c r="G130" s="3">
        <v>7</v>
      </c>
      <c r="H130" s="3">
        <v>0.44500000000000001</v>
      </c>
      <c r="I130" s="4">
        <v>61081</v>
      </c>
      <c r="J130" s="4">
        <v>68975</v>
      </c>
      <c r="K130" s="4">
        <v>66867</v>
      </c>
      <c r="L130" s="4">
        <v>-7894</v>
      </c>
      <c r="M130" s="4">
        <v>5133</v>
      </c>
      <c r="N130" s="18">
        <v>41</v>
      </c>
      <c r="O130" s="18">
        <v>3896</v>
      </c>
      <c r="P130" s="18">
        <v>933</v>
      </c>
      <c r="Q130" s="18">
        <v>0</v>
      </c>
      <c r="R130" s="18">
        <v>251</v>
      </c>
      <c r="S130" s="18">
        <v>12</v>
      </c>
      <c r="T130" s="18">
        <v>5133</v>
      </c>
      <c r="U130" s="18" t="b">
        <v>1</v>
      </c>
      <c r="V130" s="4">
        <v>4843</v>
      </c>
      <c r="W130" s="4">
        <v>4843</v>
      </c>
      <c r="X130" s="3" t="b">
        <v>1</v>
      </c>
      <c r="Y130" s="18">
        <v>55</v>
      </c>
      <c r="Z130" s="18">
        <v>3340</v>
      </c>
      <c r="AA130" s="18">
        <v>1241</v>
      </c>
      <c r="AB130" s="18">
        <v>0</v>
      </c>
      <c r="AC130" s="18">
        <v>195</v>
      </c>
      <c r="AD130" s="18">
        <v>12</v>
      </c>
      <c r="AE130" s="18">
        <v>4843</v>
      </c>
      <c r="AF130" s="4">
        <v>290</v>
      </c>
      <c r="AG130" s="5">
        <v>5.6497175141242938E-2</v>
      </c>
      <c r="AH130" s="18">
        <f t="shared" si="1"/>
        <v>556</v>
      </c>
      <c r="AI130" s="6">
        <v>8.4035952260113622E-2</v>
      </c>
      <c r="AJ130" s="3">
        <v>8.4000000000000005E-2</v>
      </c>
      <c r="AK130" s="6">
        <v>0.4186838416300091</v>
      </c>
      <c r="AL130" s="25">
        <v>0.41899999999999998</v>
      </c>
      <c r="AM130" s="6">
        <v>7.4418267488220363E-2</v>
      </c>
      <c r="AN130" s="3">
        <v>7.3999999999999996E-2</v>
      </c>
      <c r="AO130" s="6">
        <v>0.41169453070155804</v>
      </c>
      <c r="AP130" s="6">
        <v>7.2427355795833523E-2</v>
      </c>
      <c r="AQ130" s="6">
        <v>7.1999999999999995E-2</v>
      </c>
      <c r="AR130" s="6">
        <v>0.41990621297547792</v>
      </c>
      <c r="AS130" s="6">
        <v>0.42099999999999999</v>
      </c>
      <c r="AT130" s="6">
        <v>1.1608596464280099E-2</v>
      </c>
      <c r="AU130" s="6">
        <v>-1.2223713454688201E-3</v>
      </c>
      <c r="AV130" s="6">
        <v>1.9909116923868403E-3</v>
      </c>
      <c r="AW130" s="6">
        <v>-8.2116822739198847E-3</v>
      </c>
      <c r="AX130" s="7">
        <v>254</v>
      </c>
      <c r="AY130" s="26">
        <v>265</v>
      </c>
      <c r="AZ130" s="7">
        <v>250</v>
      </c>
      <c r="BA130" s="26">
        <v>-4</v>
      </c>
      <c r="BB130" s="26">
        <v>-15</v>
      </c>
      <c r="BC130" s="6">
        <v>7.928815834711285E-2</v>
      </c>
      <c r="BD130" s="6">
        <v>7.9000000000000001E-2</v>
      </c>
      <c r="BE130" s="11">
        <v>0.42422662750051993</v>
      </c>
      <c r="BF130" s="26">
        <v>243</v>
      </c>
      <c r="BG130" s="26">
        <v>7</v>
      </c>
      <c r="BH130" s="7">
        <v>-11</v>
      </c>
    </row>
    <row r="131" spans="2:60" x14ac:dyDescent="0.25">
      <c r="B131" s="3">
        <v>128</v>
      </c>
      <c r="C131" s="3" t="s">
        <v>260</v>
      </c>
      <c r="D131" s="3" t="s">
        <v>261</v>
      </c>
      <c r="E131" s="3" t="s">
        <v>238</v>
      </c>
      <c r="F131" s="3">
        <v>7304</v>
      </c>
      <c r="G131" s="3">
        <v>7</v>
      </c>
      <c r="H131" s="3">
        <v>0.51100000000000001</v>
      </c>
      <c r="I131" s="4">
        <v>48949</v>
      </c>
      <c r="J131" s="4">
        <v>52088</v>
      </c>
      <c r="K131" s="4">
        <v>51539</v>
      </c>
      <c r="L131" s="4">
        <v>-3139</v>
      </c>
      <c r="M131" s="4">
        <v>5870</v>
      </c>
      <c r="N131" s="18">
        <v>0</v>
      </c>
      <c r="O131" s="18">
        <v>5628</v>
      </c>
      <c r="P131" s="18">
        <v>59</v>
      </c>
      <c r="Q131" s="18">
        <v>0</v>
      </c>
      <c r="R131" s="18">
        <v>183</v>
      </c>
      <c r="S131" s="18">
        <v>0</v>
      </c>
      <c r="T131" s="18">
        <v>5870</v>
      </c>
      <c r="U131" s="18" t="b">
        <v>1</v>
      </c>
      <c r="V131" s="4">
        <v>5703</v>
      </c>
      <c r="W131" s="4">
        <v>5703</v>
      </c>
      <c r="X131" s="3" t="b">
        <v>1</v>
      </c>
      <c r="Y131" s="18">
        <v>140</v>
      </c>
      <c r="Z131" s="18">
        <v>5324</v>
      </c>
      <c r="AA131" s="18">
        <v>48</v>
      </c>
      <c r="AB131" s="18">
        <v>0</v>
      </c>
      <c r="AC131" s="18">
        <v>191</v>
      </c>
      <c r="AD131" s="18">
        <v>0</v>
      </c>
      <c r="AE131" s="18">
        <v>5703</v>
      </c>
      <c r="AF131" s="4">
        <v>167</v>
      </c>
      <c r="AG131" s="5">
        <v>2.8449744463373082E-2</v>
      </c>
      <c r="AH131" s="18">
        <f t="shared" si="1"/>
        <v>304</v>
      </c>
      <c r="AI131" s="6">
        <v>0.11992073382500153</v>
      </c>
      <c r="AJ131" s="3">
        <v>0.12</v>
      </c>
      <c r="AK131" s="6">
        <v>0.45567005513591646</v>
      </c>
      <c r="AL131" s="25">
        <v>0.45600000000000002</v>
      </c>
      <c r="AM131" s="6">
        <v>0.11269390262632469</v>
      </c>
      <c r="AN131" s="3">
        <v>0.113</v>
      </c>
      <c r="AO131" s="6">
        <v>0.45517565248734665</v>
      </c>
      <c r="AP131" s="6">
        <v>0.11065406779332156</v>
      </c>
      <c r="AQ131" s="6">
        <v>0.111</v>
      </c>
      <c r="AR131" s="6">
        <v>0.46515008278914582</v>
      </c>
      <c r="AS131" s="6">
        <v>0.46500000000000002</v>
      </c>
      <c r="AT131" s="6">
        <v>9.2666660316799709E-3</v>
      </c>
      <c r="AU131" s="6">
        <v>-9.4800276532293615E-3</v>
      </c>
      <c r="AV131" s="6">
        <v>2.0398348330031291E-3</v>
      </c>
      <c r="AW131" s="6">
        <v>-9.9744303017991753E-3</v>
      </c>
      <c r="AX131" s="7">
        <v>211</v>
      </c>
      <c r="AY131" s="7">
        <v>213</v>
      </c>
      <c r="AZ131" s="7">
        <v>198</v>
      </c>
      <c r="BA131" s="26">
        <v>-13</v>
      </c>
      <c r="BB131" s="26">
        <v>-15</v>
      </c>
      <c r="BC131" s="6">
        <v>0.11650901959182006</v>
      </c>
      <c r="BD131" s="6">
        <v>0.11700000000000001</v>
      </c>
      <c r="BE131" s="11">
        <v>0.46421203956506957</v>
      </c>
      <c r="BF131" s="7">
        <v>200</v>
      </c>
      <c r="BG131" s="26">
        <v>-2</v>
      </c>
      <c r="BH131" s="7">
        <v>-11</v>
      </c>
    </row>
    <row r="132" spans="2:60" x14ac:dyDescent="0.25">
      <c r="B132" s="3">
        <v>129</v>
      </c>
      <c r="C132" s="3" t="s">
        <v>262</v>
      </c>
      <c r="D132" s="3" t="s">
        <v>263</v>
      </c>
      <c r="E132" s="3" t="s">
        <v>238</v>
      </c>
      <c r="F132" s="3">
        <v>7404</v>
      </c>
      <c r="G132" s="3">
        <v>7</v>
      </c>
      <c r="H132" s="3">
        <v>0.52</v>
      </c>
      <c r="I132" s="4">
        <v>45323</v>
      </c>
      <c r="J132" s="4">
        <v>45583</v>
      </c>
      <c r="K132" s="4">
        <v>45347</v>
      </c>
      <c r="L132" s="4">
        <v>-260</v>
      </c>
      <c r="M132" s="4">
        <v>9548</v>
      </c>
      <c r="N132" s="18">
        <v>0</v>
      </c>
      <c r="O132" s="18">
        <v>9070</v>
      </c>
      <c r="P132" s="18">
        <v>146</v>
      </c>
      <c r="Q132" s="18">
        <v>0</v>
      </c>
      <c r="R132" s="18">
        <v>332</v>
      </c>
      <c r="S132" s="18">
        <v>0</v>
      </c>
      <c r="T132" s="18">
        <v>9548</v>
      </c>
      <c r="U132" s="18" t="b">
        <v>1</v>
      </c>
      <c r="V132" s="4">
        <v>7931</v>
      </c>
      <c r="W132" s="4">
        <v>7931</v>
      </c>
      <c r="X132" s="3" t="b">
        <v>1</v>
      </c>
      <c r="Y132" s="18">
        <v>109</v>
      </c>
      <c r="Z132" s="18">
        <v>7496</v>
      </c>
      <c r="AA132" s="18">
        <v>47</v>
      </c>
      <c r="AB132" s="18">
        <v>0</v>
      </c>
      <c r="AC132" s="18">
        <v>279</v>
      </c>
      <c r="AD132" s="18">
        <v>0</v>
      </c>
      <c r="AE132" s="18">
        <v>7931</v>
      </c>
      <c r="AF132" s="4">
        <v>1617</v>
      </c>
      <c r="AG132" s="5">
        <v>0.16935483870967741</v>
      </c>
      <c r="AH132" s="18">
        <f t="shared" ref="AH132:AH195" si="2">O132-Z132</f>
        <v>1574</v>
      </c>
      <c r="AI132" s="6">
        <v>0.21066566643867352</v>
      </c>
      <c r="AJ132" s="3">
        <v>0.21099999999999999</v>
      </c>
      <c r="AK132" s="6">
        <v>0.54920027340294053</v>
      </c>
      <c r="AL132" s="25">
        <v>0.54900000000000004</v>
      </c>
      <c r="AM132" s="6">
        <v>0.20946405458175196</v>
      </c>
      <c r="AN132" s="3">
        <v>0.20899999999999999</v>
      </c>
      <c r="AO132" s="6">
        <v>0.56510654578856212</v>
      </c>
      <c r="AP132" s="6">
        <v>0.17489580347101241</v>
      </c>
      <c r="AQ132" s="6">
        <v>0.17499999999999999</v>
      </c>
      <c r="AR132" s="6">
        <v>0.53939643325260089</v>
      </c>
      <c r="AS132" s="6">
        <v>0.53900000000000003</v>
      </c>
      <c r="AT132" s="6">
        <v>3.5769862967661104E-2</v>
      </c>
      <c r="AU132" s="6">
        <v>9.8038401503396377E-3</v>
      </c>
      <c r="AV132" s="6">
        <v>3.4568251110739551E-2</v>
      </c>
      <c r="AW132" s="6">
        <v>2.5710112535961227E-2</v>
      </c>
      <c r="AX132" s="7">
        <v>111</v>
      </c>
      <c r="AY132" s="26">
        <v>99</v>
      </c>
      <c r="AZ132" s="7">
        <v>124</v>
      </c>
      <c r="BA132" s="26">
        <v>13</v>
      </c>
      <c r="BB132" s="26">
        <v>25</v>
      </c>
      <c r="BC132" s="6">
        <v>0.17498841647728527</v>
      </c>
      <c r="BD132" s="6">
        <v>0.17499999999999999</v>
      </c>
      <c r="BE132" s="11">
        <v>0.52703494864227896</v>
      </c>
      <c r="BF132" s="26">
        <v>130</v>
      </c>
      <c r="BG132" s="26">
        <v>-6</v>
      </c>
      <c r="BH132" s="7">
        <v>19</v>
      </c>
    </row>
    <row r="133" spans="2:60" x14ac:dyDescent="0.25">
      <c r="B133" s="3">
        <v>130</v>
      </c>
      <c r="C133" s="3" t="s">
        <v>264</v>
      </c>
      <c r="D133" s="3" t="s">
        <v>265</v>
      </c>
      <c r="E133" s="3" t="s">
        <v>238</v>
      </c>
      <c r="F133" s="3">
        <v>7106</v>
      </c>
      <c r="G133" s="3">
        <v>7</v>
      </c>
      <c r="H133" s="3">
        <v>0.54400000000000004</v>
      </c>
      <c r="I133" s="4">
        <v>9229</v>
      </c>
      <c r="J133" s="4">
        <v>9407</v>
      </c>
      <c r="K133" s="4">
        <v>9331</v>
      </c>
      <c r="L133" s="4">
        <v>-178</v>
      </c>
      <c r="M133" s="4">
        <v>349</v>
      </c>
      <c r="N133" s="18">
        <v>14</v>
      </c>
      <c r="O133" s="18">
        <v>246</v>
      </c>
      <c r="P133" s="18">
        <v>0</v>
      </c>
      <c r="Q133" s="18">
        <v>0</v>
      </c>
      <c r="R133" s="18">
        <v>83</v>
      </c>
      <c r="S133" s="18">
        <v>6</v>
      </c>
      <c r="T133" s="18">
        <v>349</v>
      </c>
      <c r="U133" s="18" t="b">
        <v>1</v>
      </c>
      <c r="V133" s="4">
        <v>305</v>
      </c>
      <c r="W133" s="4">
        <v>305</v>
      </c>
      <c r="X133" s="3" t="b">
        <v>1</v>
      </c>
      <c r="Y133" s="18">
        <v>16</v>
      </c>
      <c r="Z133" s="18">
        <v>230</v>
      </c>
      <c r="AA133" s="18">
        <v>0</v>
      </c>
      <c r="AB133" s="18">
        <v>0</v>
      </c>
      <c r="AC133" s="18">
        <v>53</v>
      </c>
      <c r="AD133" s="18">
        <v>6</v>
      </c>
      <c r="AE133" s="18">
        <v>305</v>
      </c>
      <c r="AF133" s="4">
        <v>44</v>
      </c>
      <c r="AG133" s="5">
        <v>0.12607449856733524</v>
      </c>
      <c r="AH133" s="18">
        <f t="shared" si="2"/>
        <v>16</v>
      </c>
      <c r="AI133" s="6">
        <v>3.7815581319752954E-2</v>
      </c>
      <c r="AJ133" s="3">
        <v>3.7999999999999999E-2</v>
      </c>
      <c r="AK133" s="6">
        <v>0.37104480264544071</v>
      </c>
      <c r="AL133" s="25">
        <v>0.371</v>
      </c>
      <c r="AM133" s="6">
        <v>3.7100031891144893E-2</v>
      </c>
      <c r="AN133" s="3">
        <v>3.6999999999999998E-2</v>
      </c>
      <c r="AO133" s="6">
        <v>0.36930101480110433</v>
      </c>
      <c r="AP133" s="6">
        <v>3.2686743114350013E-2</v>
      </c>
      <c r="AQ133" s="6">
        <v>3.3000000000000002E-2</v>
      </c>
      <c r="AR133" s="6">
        <v>0.37466234316181002</v>
      </c>
      <c r="AS133" s="6">
        <v>0.375</v>
      </c>
      <c r="AT133" s="6">
        <v>5.1288382054029413E-3</v>
      </c>
      <c r="AU133" s="6">
        <v>-3.6175405163693108E-3</v>
      </c>
      <c r="AV133" s="6">
        <v>4.4132887767948797E-3</v>
      </c>
      <c r="AW133" s="6">
        <v>-5.3613283607056861E-3</v>
      </c>
      <c r="AX133" s="7">
        <v>316</v>
      </c>
      <c r="AY133" s="7">
        <v>317</v>
      </c>
      <c r="AZ133" s="7">
        <v>315</v>
      </c>
      <c r="BA133" s="26">
        <v>-1</v>
      </c>
      <c r="BB133" s="26">
        <v>-2</v>
      </c>
      <c r="BC133" s="6">
        <v>3.3048000866832808E-2</v>
      </c>
      <c r="BD133" s="6">
        <v>3.3000000000000002E-2</v>
      </c>
      <c r="BE133" s="11">
        <v>0.37455201791470383</v>
      </c>
      <c r="BF133" s="7">
        <v>317</v>
      </c>
      <c r="BG133" s="26">
        <v>-2</v>
      </c>
      <c r="BH133" s="7">
        <v>1</v>
      </c>
    </row>
    <row r="134" spans="2:60" x14ac:dyDescent="0.25">
      <c r="B134" s="3">
        <v>131</v>
      </c>
      <c r="C134" s="3" t="s">
        <v>266</v>
      </c>
      <c r="D134" s="3" t="s">
        <v>267</v>
      </c>
      <c r="E134" s="3" t="s">
        <v>238</v>
      </c>
      <c r="F134" s="3">
        <v>7203</v>
      </c>
      <c r="G134" s="3">
        <v>7</v>
      </c>
      <c r="H134" s="3">
        <v>0.45400000000000001</v>
      </c>
      <c r="I134" s="4">
        <v>8578</v>
      </c>
      <c r="J134" s="4">
        <v>8444</v>
      </c>
      <c r="K134" s="4">
        <v>8361</v>
      </c>
      <c r="L134" s="4">
        <v>134</v>
      </c>
      <c r="M134" s="4">
        <v>1429</v>
      </c>
      <c r="N134" s="18">
        <v>0</v>
      </c>
      <c r="O134" s="18">
        <v>1272</v>
      </c>
      <c r="P134" s="18">
        <v>0</v>
      </c>
      <c r="Q134" s="18">
        <v>0</v>
      </c>
      <c r="R134" s="18">
        <v>157</v>
      </c>
      <c r="S134" s="18">
        <v>0</v>
      </c>
      <c r="T134" s="18">
        <v>1429</v>
      </c>
      <c r="U134" s="18" t="b">
        <v>1</v>
      </c>
      <c r="V134" s="4">
        <v>1206</v>
      </c>
      <c r="W134" s="4">
        <v>1206</v>
      </c>
      <c r="X134" s="3" t="b">
        <v>1</v>
      </c>
      <c r="Y134" s="18">
        <v>0</v>
      </c>
      <c r="Z134" s="18">
        <v>1097</v>
      </c>
      <c r="AA134" s="18">
        <v>0</v>
      </c>
      <c r="AB134" s="18">
        <v>0</v>
      </c>
      <c r="AC134" s="18">
        <v>109</v>
      </c>
      <c r="AD134" s="18">
        <v>0</v>
      </c>
      <c r="AE134" s="18">
        <v>1206</v>
      </c>
      <c r="AF134" s="4">
        <v>223</v>
      </c>
      <c r="AG134" s="5">
        <v>0.15605318404478657</v>
      </c>
      <c r="AH134" s="18">
        <f t="shared" si="2"/>
        <v>175</v>
      </c>
      <c r="AI134" s="6">
        <v>0.16658894847283748</v>
      </c>
      <c r="AJ134" s="3">
        <v>0.16700000000000001</v>
      </c>
      <c r="AK134" s="6">
        <v>0.50377068374872336</v>
      </c>
      <c r="AL134" s="25">
        <v>0.504</v>
      </c>
      <c r="AM134" s="6">
        <v>0.16923259118900993</v>
      </c>
      <c r="AN134" s="3">
        <v>0.16900000000000001</v>
      </c>
      <c r="AO134" s="6">
        <v>0.51940360309176459</v>
      </c>
      <c r="AP134" s="6">
        <v>0.14424111948331539</v>
      </c>
      <c r="AQ134" s="6">
        <v>0.14399999999999999</v>
      </c>
      <c r="AR134" s="6">
        <v>0.50343335724686489</v>
      </c>
      <c r="AS134" s="6">
        <v>0.504</v>
      </c>
      <c r="AT134" s="6">
        <v>2.2347828989522089E-2</v>
      </c>
      <c r="AU134" s="6">
        <v>3.3732650185847035E-4</v>
      </c>
      <c r="AV134" s="6">
        <v>2.4991471705694546E-2</v>
      </c>
      <c r="AW134" s="6">
        <v>1.59702458448997E-2</v>
      </c>
      <c r="AX134" s="7">
        <v>158</v>
      </c>
      <c r="AY134" s="26">
        <v>139</v>
      </c>
      <c r="AZ134" s="7">
        <v>155</v>
      </c>
      <c r="BA134" s="26">
        <v>-3</v>
      </c>
      <c r="BB134" s="26">
        <v>16</v>
      </c>
      <c r="BC134" s="6">
        <v>0.14059221263697833</v>
      </c>
      <c r="BD134" s="6">
        <v>0.14099999999999999</v>
      </c>
      <c r="BE134" s="11">
        <v>0.49008399323668655</v>
      </c>
      <c r="BF134" s="26">
        <v>171</v>
      </c>
      <c r="BG134" s="26">
        <v>-16</v>
      </c>
      <c r="BH134" s="7">
        <v>13</v>
      </c>
    </row>
    <row r="135" spans="2:60" x14ac:dyDescent="0.25">
      <c r="B135" s="3">
        <v>132</v>
      </c>
      <c r="C135" s="3" t="s">
        <v>268</v>
      </c>
      <c r="D135" s="3" t="s">
        <v>269</v>
      </c>
      <c r="E135" s="3" t="s">
        <v>238</v>
      </c>
      <c r="F135" s="3">
        <v>7107</v>
      </c>
      <c r="G135" s="3">
        <v>7</v>
      </c>
      <c r="H135" s="3"/>
      <c r="I135" s="4">
        <v>9181</v>
      </c>
      <c r="J135" s="4">
        <v>8626</v>
      </c>
      <c r="K135" s="4">
        <v>8625</v>
      </c>
      <c r="L135" s="4">
        <v>555</v>
      </c>
      <c r="M135" s="4">
        <v>445</v>
      </c>
      <c r="N135" s="18">
        <v>9</v>
      </c>
      <c r="O135" s="18">
        <v>372</v>
      </c>
      <c r="P135" s="18">
        <v>1</v>
      </c>
      <c r="Q135" s="18">
        <v>0</v>
      </c>
      <c r="R135" s="18">
        <v>62</v>
      </c>
      <c r="S135" s="18">
        <v>1</v>
      </c>
      <c r="T135" s="18">
        <v>445</v>
      </c>
      <c r="U135" s="18" t="b">
        <v>1</v>
      </c>
      <c r="V135" s="4">
        <v>415</v>
      </c>
      <c r="W135" s="4">
        <v>415</v>
      </c>
      <c r="X135" s="3" t="b">
        <v>1</v>
      </c>
      <c r="Y135" s="18">
        <v>17</v>
      </c>
      <c r="Z135" s="18">
        <v>351</v>
      </c>
      <c r="AA135" s="18">
        <v>0</v>
      </c>
      <c r="AB135" s="18">
        <v>0</v>
      </c>
      <c r="AC135" s="18">
        <v>46</v>
      </c>
      <c r="AD135" s="18">
        <v>1</v>
      </c>
      <c r="AE135" s="18">
        <v>415</v>
      </c>
      <c r="AF135" s="4">
        <v>30</v>
      </c>
      <c r="AG135" s="5">
        <v>6.741573033707865E-2</v>
      </c>
      <c r="AH135" s="18">
        <f t="shared" si="2"/>
        <v>21</v>
      </c>
      <c r="AI135" s="6">
        <v>4.8469665613767567E-2</v>
      </c>
      <c r="AJ135" s="3">
        <v>4.8000000000000001E-2</v>
      </c>
      <c r="AK135" s="6">
        <v>0.38202589878770976</v>
      </c>
      <c r="AL135" s="25">
        <v>0.38200000000000001</v>
      </c>
      <c r="AM135" s="6">
        <v>5.1588221655460238E-2</v>
      </c>
      <c r="AN135" s="3">
        <v>5.1999999999999998E-2</v>
      </c>
      <c r="AO135" s="6">
        <v>0.38575959847515207</v>
      </c>
      <c r="AP135" s="6">
        <v>4.811594202898551E-2</v>
      </c>
      <c r="AQ135" s="6">
        <v>4.8000000000000001E-2</v>
      </c>
      <c r="AR135" s="6">
        <v>0.39206383155168228</v>
      </c>
      <c r="AS135" s="6">
        <v>0.39200000000000002</v>
      </c>
      <c r="AT135" s="6">
        <v>3.5372358478205634E-4</v>
      </c>
      <c r="AU135" s="6">
        <v>-1.0037932763972524E-2</v>
      </c>
      <c r="AV135" s="6">
        <v>3.472279626474728E-3</v>
      </c>
      <c r="AW135" s="6">
        <v>-6.304233076530219E-3</v>
      </c>
      <c r="AX135" s="7">
        <v>307</v>
      </c>
      <c r="AY135" s="7">
        <v>301</v>
      </c>
      <c r="AZ135" s="7">
        <v>292</v>
      </c>
      <c r="BA135" s="26">
        <v>-15</v>
      </c>
      <c r="BB135" s="26">
        <v>-9</v>
      </c>
      <c r="BC135" s="6">
        <v>4.5202047707221436E-2</v>
      </c>
      <c r="BD135" s="6">
        <v>4.4999999999999998E-2</v>
      </c>
      <c r="BE135" s="11">
        <v>0.38760879722912345</v>
      </c>
      <c r="BF135" s="7">
        <v>299</v>
      </c>
      <c r="BG135" s="26">
        <v>-7</v>
      </c>
      <c r="BH135" s="7">
        <v>-8</v>
      </c>
    </row>
    <row r="136" spans="2:60" x14ac:dyDescent="0.25">
      <c r="B136" s="3">
        <v>133</v>
      </c>
      <c r="C136" s="3" t="s">
        <v>270</v>
      </c>
      <c r="D136" s="3" t="s">
        <v>271</v>
      </c>
      <c r="E136" s="3" t="s">
        <v>238</v>
      </c>
      <c r="F136" s="3">
        <v>7305</v>
      </c>
      <c r="G136" s="3">
        <v>7</v>
      </c>
      <c r="H136" s="3">
        <v>0.44700000000000001</v>
      </c>
      <c r="I136" s="4">
        <v>11266</v>
      </c>
      <c r="J136" s="4">
        <v>11753</v>
      </c>
      <c r="K136" s="4">
        <v>11632</v>
      </c>
      <c r="L136" s="4">
        <v>-487</v>
      </c>
      <c r="M136" s="4">
        <v>1452</v>
      </c>
      <c r="N136" s="18">
        <v>3</v>
      </c>
      <c r="O136" s="18">
        <v>1277</v>
      </c>
      <c r="P136" s="18">
        <v>50</v>
      </c>
      <c r="Q136" s="18">
        <v>0</v>
      </c>
      <c r="R136" s="18">
        <v>122</v>
      </c>
      <c r="S136" s="18">
        <v>0</v>
      </c>
      <c r="T136" s="18">
        <v>1452</v>
      </c>
      <c r="U136" s="18" t="b">
        <v>1</v>
      </c>
      <c r="V136" s="4">
        <v>1478</v>
      </c>
      <c r="W136" s="4">
        <v>1478</v>
      </c>
      <c r="X136" s="3" t="b">
        <v>1</v>
      </c>
      <c r="Y136" s="18">
        <v>5</v>
      </c>
      <c r="Z136" s="18">
        <v>1239</v>
      </c>
      <c r="AA136" s="18">
        <v>62</v>
      </c>
      <c r="AB136" s="18">
        <v>0</v>
      </c>
      <c r="AC136" s="18">
        <v>172</v>
      </c>
      <c r="AD136" s="18">
        <v>0</v>
      </c>
      <c r="AE136" s="18">
        <v>1478</v>
      </c>
      <c r="AF136" s="4">
        <v>-26</v>
      </c>
      <c r="AG136" s="5">
        <v>-1.790633608815427E-2</v>
      </c>
      <c r="AH136" s="18">
        <f t="shared" si="2"/>
        <v>38</v>
      </c>
      <c r="AI136" s="6">
        <v>0.12888336587963783</v>
      </c>
      <c r="AJ136" s="3">
        <v>0.129</v>
      </c>
      <c r="AK136" s="6">
        <v>0.46490778233646385</v>
      </c>
      <c r="AL136" s="25">
        <v>0.46500000000000002</v>
      </c>
      <c r="AM136" s="6">
        <v>0.12354292521058453</v>
      </c>
      <c r="AN136" s="3">
        <v>0.124</v>
      </c>
      <c r="AO136" s="6">
        <v>0.46750014221928465</v>
      </c>
      <c r="AP136" s="6">
        <v>0.12706327372764786</v>
      </c>
      <c r="AQ136" s="6">
        <v>0.127</v>
      </c>
      <c r="AR136" s="6">
        <v>0.48371167040500962</v>
      </c>
      <c r="AS136" s="6">
        <v>0.48399999999999999</v>
      </c>
      <c r="AT136" s="6">
        <v>1.8200921519899715E-3</v>
      </c>
      <c r="AU136" s="6">
        <v>-1.8803888068545771E-2</v>
      </c>
      <c r="AV136" s="6">
        <v>-3.5203485170633292E-3</v>
      </c>
      <c r="AW136" s="6">
        <v>-1.6211528185724966E-2</v>
      </c>
      <c r="AX136" s="7">
        <v>201</v>
      </c>
      <c r="AY136" s="26">
        <v>200</v>
      </c>
      <c r="AZ136" s="7">
        <v>184</v>
      </c>
      <c r="BA136" s="26">
        <v>-17</v>
      </c>
      <c r="BB136" s="26">
        <v>-16</v>
      </c>
      <c r="BC136" s="6">
        <v>0.13119119474525121</v>
      </c>
      <c r="BD136" s="6">
        <v>0.13100000000000001</v>
      </c>
      <c r="BE136" s="11">
        <v>0.47998472197706826</v>
      </c>
      <c r="BF136" s="26">
        <v>186</v>
      </c>
      <c r="BG136" s="26">
        <v>-2</v>
      </c>
      <c r="BH136" s="7">
        <v>-15</v>
      </c>
    </row>
    <row r="137" spans="2:60" x14ac:dyDescent="0.25">
      <c r="B137" s="3">
        <v>134</v>
      </c>
      <c r="C137" s="3" t="s">
        <v>272</v>
      </c>
      <c r="D137" s="3" t="s">
        <v>273</v>
      </c>
      <c r="E137" s="3" t="s">
        <v>238</v>
      </c>
      <c r="F137" s="3">
        <v>7405</v>
      </c>
      <c r="G137" s="3">
        <v>7</v>
      </c>
      <c r="H137" s="3">
        <v>0.41799999999999998</v>
      </c>
      <c r="I137" s="4">
        <v>22310</v>
      </c>
      <c r="J137" s="4">
        <v>21492</v>
      </c>
      <c r="K137" s="4">
        <v>21397</v>
      </c>
      <c r="L137" s="4">
        <v>818</v>
      </c>
      <c r="M137" s="4">
        <v>3002</v>
      </c>
      <c r="N137" s="18">
        <v>0</v>
      </c>
      <c r="O137" s="18">
        <v>2859</v>
      </c>
      <c r="P137" s="18">
        <v>3</v>
      </c>
      <c r="Q137" s="18">
        <v>0</v>
      </c>
      <c r="R137" s="18">
        <v>140</v>
      </c>
      <c r="S137" s="18">
        <v>0</v>
      </c>
      <c r="T137" s="18">
        <v>3002</v>
      </c>
      <c r="U137" s="18" t="b">
        <v>1</v>
      </c>
      <c r="V137" s="4">
        <v>692</v>
      </c>
      <c r="W137" s="4">
        <v>692</v>
      </c>
      <c r="X137" s="3" t="b">
        <v>1</v>
      </c>
      <c r="Y137" s="18">
        <v>2</v>
      </c>
      <c r="Z137" s="18">
        <v>611</v>
      </c>
      <c r="AA137" s="18">
        <v>6</v>
      </c>
      <c r="AB137" s="18">
        <v>0</v>
      </c>
      <c r="AC137" s="18">
        <v>73</v>
      </c>
      <c r="AD137" s="18">
        <v>0</v>
      </c>
      <c r="AE137" s="18">
        <v>692</v>
      </c>
      <c r="AF137" s="4">
        <v>2310</v>
      </c>
      <c r="AG137" s="5">
        <v>0.7694870086608927</v>
      </c>
      <c r="AH137" s="18">
        <f t="shared" si="2"/>
        <v>2248</v>
      </c>
      <c r="AI137" s="6">
        <v>0.13455849394890185</v>
      </c>
      <c r="AJ137" s="3">
        <v>0.13500000000000001</v>
      </c>
      <c r="AK137" s="6">
        <v>0.47075710032837126</v>
      </c>
      <c r="AL137" s="25">
        <v>0.47099999999999997</v>
      </c>
      <c r="AM137" s="6">
        <v>0.13967988088591105</v>
      </c>
      <c r="AN137" s="3">
        <v>0.14000000000000001</v>
      </c>
      <c r="AO137" s="6">
        <v>0.48583172397982433</v>
      </c>
      <c r="AP137" s="6">
        <v>3.2340982380707574E-2</v>
      </c>
      <c r="AQ137" s="6">
        <v>3.2000000000000001E-2</v>
      </c>
      <c r="AR137" s="6">
        <v>0.37350224393581855</v>
      </c>
      <c r="AS137" s="6">
        <v>0.374</v>
      </c>
      <c r="AT137" s="6">
        <v>0.10221751156819428</v>
      </c>
      <c r="AU137" s="6">
        <v>9.7254856392552713E-2</v>
      </c>
      <c r="AV137" s="6">
        <v>0.10733889850520348</v>
      </c>
      <c r="AW137" s="6">
        <v>0.11232948004400578</v>
      </c>
      <c r="AX137" s="7">
        <v>197</v>
      </c>
      <c r="AY137" s="7">
        <v>186</v>
      </c>
      <c r="AZ137" s="7">
        <v>318</v>
      </c>
      <c r="BA137" s="26">
        <v>121</v>
      </c>
      <c r="BB137" s="26">
        <v>132</v>
      </c>
      <c r="BC137" s="6">
        <v>3.1017480950246527E-2</v>
      </c>
      <c r="BD137" s="6">
        <v>3.1E-2</v>
      </c>
      <c r="BE137" s="11">
        <v>0.3723706826942158</v>
      </c>
      <c r="BF137" s="7">
        <v>321</v>
      </c>
      <c r="BG137" s="26">
        <v>-3</v>
      </c>
      <c r="BH137" s="7">
        <v>124</v>
      </c>
    </row>
    <row r="138" spans="2:60" x14ac:dyDescent="0.25">
      <c r="B138" s="3">
        <v>135</v>
      </c>
      <c r="C138" s="3" t="s">
        <v>274</v>
      </c>
      <c r="D138" s="3" t="s">
        <v>275</v>
      </c>
      <c r="E138" s="3" t="s">
        <v>238</v>
      </c>
      <c r="F138" s="3">
        <v>7108</v>
      </c>
      <c r="G138" s="3">
        <v>7</v>
      </c>
      <c r="H138" s="3">
        <v>0.45600000000000002</v>
      </c>
      <c r="I138" s="4">
        <v>14276</v>
      </c>
      <c r="J138" s="4">
        <v>15129</v>
      </c>
      <c r="K138" s="4">
        <v>15042</v>
      </c>
      <c r="L138" s="4">
        <v>-853</v>
      </c>
      <c r="M138" s="4">
        <v>762</v>
      </c>
      <c r="N138" s="18">
        <v>0</v>
      </c>
      <c r="O138" s="18">
        <v>637</v>
      </c>
      <c r="P138" s="18">
        <v>0</v>
      </c>
      <c r="Q138" s="18">
        <v>0</v>
      </c>
      <c r="R138" s="18">
        <v>125</v>
      </c>
      <c r="S138" s="18">
        <v>0</v>
      </c>
      <c r="T138" s="18">
        <v>762</v>
      </c>
      <c r="U138" s="18" t="b">
        <v>1</v>
      </c>
      <c r="V138" s="4">
        <v>665</v>
      </c>
      <c r="W138" s="4">
        <v>665</v>
      </c>
      <c r="X138" s="3" t="b">
        <v>1</v>
      </c>
      <c r="Y138" s="18">
        <v>1</v>
      </c>
      <c r="Z138" s="18">
        <v>570</v>
      </c>
      <c r="AA138" s="18">
        <v>0</v>
      </c>
      <c r="AB138" s="18">
        <v>0</v>
      </c>
      <c r="AC138" s="18">
        <v>94</v>
      </c>
      <c r="AD138" s="18">
        <v>0</v>
      </c>
      <c r="AE138" s="18">
        <v>665</v>
      </c>
      <c r="AF138" s="4">
        <v>97</v>
      </c>
      <c r="AG138" s="5">
        <v>0.12729658792650919</v>
      </c>
      <c r="AH138" s="18">
        <f t="shared" si="2"/>
        <v>67</v>
      </c>
      <c r="AI138" s="6">
        <v>5.3376295881199215E-2</v>
      </c>
      <c r="AJ138" s="3">
        <v>5.2999999999999999E-2</v>
      </c>
      <c r="AK138" s="6">
        <v>0.38708313103914821</v>
      </c>
      <c r="AL138" s="25">
        <v>0.38700000000000001</v>
      </c>
      <c r="AM138" s="6">
        <v>5.0366845131865956E-2</v>
      </c>
      <c r="AN138" s="3">
        <v>0.05</v>
      </c>
      <c r="AO138" s="6">
        <v>0.38437211473576832</v>
      </c>
      <c r="AP138" s="6">
        <v>4.4209546602845366E-2</v>
      </c>
      <c r="AQ138" s="6">
        <v>4.3999999999999997E-2</v>
      </c>
      <c r="AR138" s="6">
        <v>0.38742343464771634</v>
      </c>
      <c r="AS138" s="6">
        <v>0.38800000000000001</v>
      </c>
      <c r="AT138" s="6">
        <v>9.1667492783538487E-3</v>
      </c>
      <c r="AU138" s="6">
        <v>-3.4030360856812658E-4</v>
      </c>
      <c r="AV138" s="6">
        <v>6.1572985290205898E-3</v>
      </c>
      <c r="AW138" s="6">
        <v>-3.0513199119480139E-3</v>
      </c>
      <c r="AX138" s="7">
        <v>300</v>
      </c>
      <c r="AY138" s="26">
        <v>303</v>
      </c>
      <c r="AZ138" s="7">
        <v>297</v>
      </c>
      <c r="BA138" s="26">
        <v>-3</v>
      </c>
      <c r="BB138" s="26">
        <v>-6</v>
      </c>
      <c r="BC138" s="6">
        <v>4.6581675539366769E-2</v>
      </c>
      <c r="BD138" s="6">
        <v>4.7E-2</v>
      </c>
      <c r="BE138" s="11">
        <v>0.38909089585659395</v>
      </c>
      <c r="BF138" s="26">
        <v>297</v>
      </c>
      <c r="BG138" s="26">
        <v>0</v>
      </c>
      <c r="BH138" s="7">
        <v>-3</v>
      </c>
    </row>
    <row r="139" spans="2:60" x14ac:dyDescent="0.25">
      <c r="B139" s="3">
        <v>136</v>
      </c>
      <c r="C139" s="3" t="s">
        <v>276</v>
      </c>
      <c r="D139" s="3" t="s">
        <v>277</v>
      </c>
      <c r="E139" s="3" t="s">
        <v>238</v>
      </c>
      <c r="F139" s="3">
        <v>7306</v>
      </c>
      <c r="G139" s="3">
        <v>7</v>
      </c>
      <c r="H139" s="3">
        <v>0.45200000000000001</v>
      </c>
      <c r="I139" s="4">
        <v>17233</v>
      </c>
      <c r="J139" s="4">
        <v>16925</v>
      </c>
      <c r="K139" s="4">
        <v>16742</v>
      </c>
      <c r="L139" s="4">
        <v>308</v>
      </c>
      <c r="M139" s="4">
        <v>1812</v>
      </c>
      <c r="N139" s="18">
        <v>30</v>
      </c>
      <c r="O139" s="18">
        <v>1598</v>
      </c>
      <c r="P139" s="18">
        <v>8</v>
      </c>
      <c r="Q139" s="18">
        <v>0</v>
      </c>
      <c r="R139" s="18">
        <v>171</v>
      </c>
      <c r="S139" s="18">
        <v>5</v>
      </c>
      <c r="T139" s="18">
        <v>1812</v>
      </c>
      <c r="U139" s="18" t="b">
        <v>1</v>
      </c>
      <c r="V139" s="4">
        <v>1678</v>
      </c>
      <c r="W139" s="4">
        <v>1678</v>
      </c>
      <c r="X139" s="3" t="b">
        <v>1</v>
      </c>
      <c r="Y139" s="18">
        <v>106</v>
      </c>
      <c r="Z139" s="18">
        <v>1454</v>
      </c>
      <c r="AA139" s="18">
        <v>13</v>
      </c>
      <c r="AB139" s="18">
        <v>0</v>
      </c>
      <c r="AC139" s="18">
        <v>100</v>
      </c>
      <c r="AD139" s="18">
        <v>5</v>
      </c>
      <c r="AE139" s="18">
        <v>1678</v>
      </c>
      <c r="AF139" s="4">
        <v>134</v>
      </c>
      <c r="AG139" s="5">
        <v>7.3951434878587199E-2</v>
      </c>
      <c r="AH139" s="18">
        <f t="shared" si="2"/>
        <v>144</v>
      </c>
      <c r="AI139" s="6">
        <v>0.10514710149132478</v>
      </c>
      <c r="AJ139" s="3">
        <v>0.105</v>
      </c>
      <c r="AK139" s="6">
        <v>0.44044296733093452</v>
      </c>
      <c r="AL139" s="25">
        <v>0.44</v>
      </c>
      <c r="AM139" s="6">
        <v>0.10706056129985229</v>
      </c>
      <c r="AN139" s="3">
        <v>0.107</v>
      </c>
      <c r="AO139" s="6">
        <v>0.44877617670089742</v>
      </c>
      <c r="AP139" s="6">
        <v>0.10022697407717118</v>
      </c>
      <c r="AQ139" s="6">
        <v>0.1</v>
      </c>
      <c r="AR139" s="6">
        <v>0.45238899130323951</v>
      </c>
      <c r="AS139" s="6">
        <v>0.45300000000000001</v>
      </c>
      <c r="AT139" s="6">
        <v>4.9201274141535967E-3</v>
      </c>
      <c r="AU139" s="6">
        <v>-1.1946023972304987E-2</v>
      </c>
      <c r="AV139" s="6">
        <v>6.8335872226811117E-3</v>
      </c>
      <c r="AW139" s="6">
        <v>-3.6128146023420848E-3</v>
      </c>
      <c r="AX139" s="7">
        <v>232</v>
      </c>
      <c r="AY139" s="7">
        <v>223</v>
      </c>
      <c r="AZ139" s="7">
        <v>214</v>
      </c>
      <c r="BA139" s="26">
        <v>-18</v>
      </c>
      <c r="BB139" s="26">
        <v>-9</v>
      </c>
      <c r="BC139" s="6">
        <v>9.7371322462716875E-2</v>
      </c>
      <c r="BD139" s="6">
        <v>9.7000000000000003E-2</v>
      </c>
      <c r="BE139" s="11">
        <v>0.44365290471209634</v>
      </c>
      <c r="BF139" s="7">
        <v>226</v>
      </c>
      <c r="BG139" s="26">
        <v>-12</v>
      </c>
      <c r="BH139" s="7">
        <v>-6</v>
      </c>
    </row>
    <row r="140" spans="2:60" x14ac:dyDescent="0.25">
      <c r="B140" s="3">
        <v>137</v>
      </c>
      <c r="C140" s="3" t="s">
        <v>278</v>
      </c>
      <c r="D140" s="3" t="s">
        <v>279</v>
      </c>
      <c r="E140" s="3" t="s">
        <v>238</v>
      </c>
      <c r="F140" s="3">
        <v>7307</v>
      </c>
      <c r="G140" s="3">
        <v>7</v>
      </c>
      <c r="H140" s="3">
        <v>0.48499999999999999</v>
      </c>
      <c r="I140" s="4">
        <v>19427</v>
      </c>
      <c r="J140" s="4">
        <v>19754</v>
      </c>
      <c r="K140" s="4">
        <v>19692</v>
      </c>
      <c r="L140" s="4">
        <v>-327</v>
      </c>
      <c r="M140" s="4">
        <v>259</v>
      </c>
      <c r="N140" s="18">
        <v>0</v>
      </c>
      <c r="O140" s="18">
        <v>192</v>
      </c>
      <c r="P140" s="18">
        <v>8</v>
      </c>
      <c r="Q140" s="18">
        <v>0</v>
      </c>
      <c r="R140" s="18">
        <v>55</v>
      </c>
      <c r="S140" s="18">
        <v>4</v>
      </c>
      <c r="T140" s="18">
        <v>259</v>
      </c>
      <c r="U140" s="18" t="b">
        <v>1</v>
      </c>
      <c r="V140" s="4">
        <v>233</v>
      </c>
      <c r="W140" s="4">
        <v>233</v>
      </c>
      <c r="X140" s="3" t="b">
        <v>1</v>
      </c>
      <c r="Y140" s="18">
        <v>0</v>
      </c>
      <c r="Z140" s="18">
        <v>173</v>
      </c>
      <c r="AA140" s="18">
        <v>15</v>
      </c>
      <c r="AB140" s="18">
        <v>0</v>
      </c>
      <c r="AC140" s="18">
        <v>41</v>
      </c>
      <c r="AD140" s="18">
        <v>4</v>
      </c>
      <c r="AE140" s="18">
        <v>233</v>
      </c>
      <c r="AF140" s="4">
        <v>26</v>
      </c>
      <c r="AG140" s="5">
        <v>0.10038610038610038</v>
      </c>
      <c r="AH140" s="18">
        <f t="shared" si="2"/>
        <v>19</v>
      </c>
      <c r="AI140" s="6">
        <v>1.3331960673289751E-2</v>
      </c>
      <c r="AJ140" s="3">
        <v>1.2999999999999999E-2</v>
      </c>
      <c r="AK140" s="6">
        <v>0.34580969235250841</v>
      </c>
      <c r="AL140" s="25">
        <v>0.34599999999999997</v>
      </c>
      <c r="AM140" s="6">
        <v>1.3111268603827072E-2</v>
      </c>
      <c r="AN140" s="3">
        <v>1.2999999999999999E-2</v>
      </c>
      <c r="AO140" s="6">
        <v>0.34204977953818039</v>
      </c>
      <c r="AP140" s="6">
        <v>1.1832216128377007E-2</v>
      </c>
      <c r="AQ140" s="6">
        <v>1.2E-2</v>
      </c>
      <c r="AR140" s="6">
        <v>0.35030025941598886</v>
      </c>
      <c r="AS140" s="6">
        <v>0.35</v>
      </c>
      <c r="AT140" s="6">
        <v>1.4997445449127442E-3</v>
      </c>
      <c r="AU140" s="6">
        <v>-4.490567063480444E-3</v>
      </c>
      <c r="AV140" s="6">
        <v>1.2790524754500657E-3</v>
      </c>
      <c r="AW140" s="6">
        <v>-8.2504798778084698E-3</v>
      </c>
      <c r="AX140" s="7">
        <v>341</v>
      </c>
      <c r="AY140" s="26">
        <v>342</v>
      </c>
      <c r="AZ140" s="7">
        <v>341</v>
      </c>
      <c r="BA140" s="26">
        <v>0</v>
      </c>
      <c r="BB140" s="26">
        <v>-1</v>
      </c>
      <c r="BC140" s="6">
        <v>1.1993617130797343E-2</v>
      </c>
      <c r="BD140" s="6">
        <v>1.2E-2</v>
      </c>
      <c r="BE140" s="11">
        <v>0.35193383603235301</v>
      </c>
      <c r="BF140" s="26">
        <v>341</v>
      </c>
      <c r="BG140" s="26">
        <v>0</v>
      </c>
      <c r="BH140" s="7">
        <v>0</v>
      </c>
    </row>
    <row r="141" spans="2:60" x14ac:dyDescent="0.25">
      <c r="B141" s="3">
        <v>138</v>
      </c>
      <c r="C141" s="3" t="s">
        <v>280</v>
      </c>
      <c r="D141" s="3" t="s">
        <v>281</v>
      </c>
      <c r="E141" s="3" t="s">
        <v>238</v>
      </c>
      <c r="F141" s="3">
        <v>7109</v>
      </c>
      <c r="G141" s="3">
        <v>7</v>
      </c>
      <c r="H141" s="3">
        <v>0.57199999999999995</v>
      </c>
      <c r="I141" s="4">
        <v>47380</v>
      </c>
      <c r="J141" s="4">
        <v>47999</v>
      </c>
      <c r="K141" s="4">
        <v>47590</v>
      </c>
      <c r="L141" s="4">
        <v>-619</v>
      </c>
      <c r="M141" s="4">
        <v>5161</v>
      </c>
      <c r="N141" s="18">
        <v>7</v>
      </c>
      <c r="O141" s="18">
        <v>4617</v>
      </c>
      <c r="P141" s="18">
        <v>52</v>
      </c>
      <c r="Q141" s="18">
        <v>0</v>
      </c>
      <c r="R141" s="18">
        <v>480</v>
      </c>
      <c r="S141" s="18">
        <v>5</v>
      </c>
      <c r="T141" s="18">
        <v>5161</v>
      </c>
      <c r="U141" s="18" t="b">
        <v>1</v>
      </c>
      <c r="V141" s="4">
        <v>4996</v>
      </c>
      <c r="W141" s="4">
        <v>4996</v>
      </c>
      <c r="X141" s="3" t="b">
        <v>1</v>
      </c>
      <c r="Y141" s="18">
        <v>39</v>
      </c>
      <c r="Z141" s="18">
        <v>4575</v>
      </c>
      <c r="AA141" s="18">
        <v>7</v>
      </c>
      <c r="AB141" s="18">
        <v>0</v>
      </c>
      <c r="AC141" s="18">
        <v>370</v>
      </c>
      <c r="AD141" s="18">
        <v>5</v>
      </c>
      <c r="AE141" s="18">
        <v>4996</v>
      </c>
      <c r="AF141" s="4">
        <v>165</v>
      </c>
      <c r="AG141" s="5">
        <v>3.1970548343344313E-2</v>
      </c>
      <c r="AH141" s="18">
        <f t="shared" si="2"/>
        <v>42</v>
      </c>
      <c r="AI141" s="6">
        <v>0.10892781764457576</v>
      </c>
      <c r="AJ141" s="3">
        <v>0.109</v>
      </c>
      <c r="AK141" s="6">
        <v>0.44433972714808767</v>
      </c>
      <c r="AL141" s="25">
        <v>0.44400000000000001</v>
      </c>
      <c r="AM141" s="6">
        <v>0.10752307339736245</v>
      </c>
      <c r="AN141" s="3">
        <v>0.108</v>
      </c>
      <c r="AO141" s="6">
        <v>0.44930159044691831</v>
      </c>
      <c r="AP141" s="6">
        <v>0.10498003782307207</v>
      </c>
      <c r="AQ141" s="6">
        <v>0.105</v>
      </c>
      <c r="AR141" s="6">
        <v>0.45818948743319693</v>
      </c>
      <c r="AS141" s="6">
        <v>0.45800000000000002</v>
      </c>
      <c r="AT141" s="6">
        <v>3.9477798215036969E-3</v>
      </c>
      <c r="AU141" s="6">
        <v>-1.3849760285109258E-2</v>
      </c>
      <c r="AV141" s="6">
        <v>2.5430355742903782E-3</v>
      </c>
      <c r="AW141" s="6">
        <v>-8.8878969862786206E-3</v>
      </c>
      <c r="AX141" s="7">
        <v>225</v>
      </c>
      <c r="AY141" s="7">
        <v>220</v>
      </c>
      <c r="AZ141" s="7">
        <v>208</v>
      </c>
      <c r="BA141" s="26">
        <v>-17</v>
      </c>
      <c r="BB141" s="26">
        <v>-12</v>
      </c>
      <c r="BC141" s="6">
        <v>0.10544533558463487</v>
      </c>
      <c r="BD141" s="6">
        <v>0.105</v>
      </c>
      <c r="BE141" s="11">
        <v>0.45232660894403109</v>
      </c>
      <c r="BF141" s="7">
        <v>213</v>
      </c>
      <c r="BG141" s="26">
        <v>-5</v>
      </c>
      <c r="BH141" s="7">
        <v>-12</v>
      </c>
    </row>
    <row r="142" spans="2:60" x14ac:dyDescent="0.25">
      <c r="B142" s="3">
        <v>139</v>
      </c>
      <c r="C142" s="3" t="s">
        <v>282</v>
      </c>
      <c r="D142" s="3" t="s">
        <v>283</v>
      </c>
      <c r="E142" s="3" t="s">
        <v>238</v>
      </c>
      <c r="F142" s="3">
        <v>7406</v>
      </c>
      <c r="G142" s="3">
        <v>7</v>
      </c>
      <c r="H142" s="3">
        <v>0.51400000000000001</v>
      </c>
      <c r="I142" s="4">
        <v>49559</v>
      </c>
      <c r="J142" s="4">
        <v>51469</v>
      </c>
      <c r="K142" s="4">
        <v>50985</v>
      </c>
      <c r="L142" s="4">
        <v>-1910</v>
      </c>
      <c r="M142" s="4">
        <v>4619</v>
      </c>
      <c r="N142" s="18">
        <v>0</v>
      </c>
      <c r="O142" s="18">
        <v>4377</v>
      </c>
      <c r="P142" s="18">
        <v>53</v>
      </c>
      <c r="Q142" s="18">
        <v>0</v>
      </c>
      <c r="R142" s="18">
        <v>189</v>
      </c>
      <c r="S142" s="18">
        <v>0</v>
      </c>
      <c r="T142" s="18">
        <v>4619</v>
      </c>
      <c r="U142" s="18" t="b">
        <v>1</v>
      </c>
      <c r="V142" s="4">
        <v>4043</v>
      </c>
      <c r="W142" s="4">
        <v>4043</v>
      </c>
      <c r="X142" s="3" t="b">
        <v>1</v>
      </c>
      <c r="Y142" s="18">
        <v>60</v>
      </c>
      <c r="Z142" s="18">
        <v>3775</v>
      </c>
      <c r="AA142" s="18">
        <v>4</v>
      </c>
      <c r="AB142" s="18">
        <v>0</v>
      </c>
      <c r="AC142" s="18">
        <v>204</v>
      </c>
      <c r="AD142" s="18">
        <v>0</v>
      </c>
      <c r="AE142" s="18">
        <v>4043</v>
      </c>
      <c r="AF142" s="4">
        <v>576</v>
      </c>
      <c r="AG142" s="5">
        <v>0.124702316518727</v>
      </c>
      <c r="AH142" s="18">
        <f t="shared" si="2"/>
        <v>602</v>
      </c>
      <c r="AI142" s="6">
        <v>9.3202042010532907E-2</v>
      </c>
      <c r="AJ142" s="3">
        <v>9.2999999999999999E-2</v>
      </c>
      <c r="AK142" s="6">
        <v>0.42813127136872137</v>
      </c>
      <c r="AL142" s="25">
        <v>0.42799999999999999</v>
      </c>
      <c r="AM142" s="6">
        <v>8.9743340651654388E-2</v>
      </c>
      <c r="AN142" s="3">
        <v>0.09</v>
      </c>
      <c r="AO142" s="6">
        <v>0.42910381392288405</v>
      </c>
      <c r="AP142" s="6">
        <v>7.9297832695890955E-2</v>
      </c>
      <c r="AQ142" s="6">
        <v>7.9000000000000001E-2</v>
      </c>
      <c r="AR142" s="6">
        <v>0.42802690755741835</v>
      </c>
      <c r="AS142" s="6">
        <v>0.42899999999999999</v>
      </c>
      <c r="AT142" s="6">
        <v>1.3904209314641952E-2</v>
      </c>
      <c r="AU142" s="6">
        <v>1.0436381130302097E-4</v>
      </c>
      <c r="AV142" s="6">
        <v>1.0445507955763433E-2</v>
      </c>
      <c r="AW142" s="6">
        <v>1.0769063654657018E-3</v>
      </c>
      <c r="AX142" s="7">
        <v>244</v>
      </c>
      <c r="AY142" s="26">
        <v>246</v>
      </c>
      <c r="AZ142" s="7">
        <v>241</v>
      </c>
      <c r="BA142" s="26">
        <v>-3</v>
      </c>
      <c r="BB142" s="26">
        <v>-5</v>
      </c>
      <c r="BC142" s="6">
        <v>8.1579531467543737E-2</v>
      </c>
      <c r="BD142" s="6">
        <v>8.2000000000000003E-2</v>
      </c>
      <c r="BE142" s="11">
        <v>0.42668819059578789</v>
      </c>
      <c r="BF142" s="26">
        <v>241</v>
      </c>
      <c r="BG142" s="26">
        <v>0</v>
      </c>
      <c r="BH142" s="7">
        <v>-3</v>
      </c>
    </row>
    <row r="143" spans="2:60" x14ac:dyDescent="0.25">
      <c r="B143" s="3">
        <v>140</v>
      </c>
      <c r="C143" s="3" t="s">
        <v>284</v>
      </c>
      <c r="D143" s="3" t="s">
        <v>285</v>
      </c>
      <c r="E143" s="3" t="s">
        <v>238</v>
      </c>
      <c r="F143" s="3">
        <v>7110</v>
      </c>
      <c r="G143" s="3">
        <v>7</v>
      </c>
      <c r="H143" s="3"/>
      <c r="I143" s="4">
        <v>11230</v>
      </c>
      <c r="J143" s="4">
        <v>10399</v>
      </c>
      <c r="K143" s="4">
        <v>10294</v>
      </c>
      <c r="L143" s="4">
        <v>831</v>
      </c>
      <c r="M143" s="4">
        <v>669</v>
      </c>
      <c r="N143" s="18">
        <v>9</v>
      </c>
      <c r="O143" s="18">
        <v>573</v>
      </c>
      <c r="P143" s="18">
        <v>0</v>
      </c>
      <c r="Q143" s="18">
        <v>0</v>
      </c>
      <c r="R143" s="18">
        <v>87</v>
      </c>
      <c r="S143" s="18">
        <v>0</v>
      </c>
      <c r="T143" s="18">
        <v>669</v>
      </c>
      <c r="U143" s="18" t="b">
        <v>1</v>
      </c>
      <c r="V143" s="4">
        <v>631</v>
      </c>
      <c r="W143" s="4">
        <v>631</v>
      </c>
      <c r="X143" s="3" t="b">
        <v>1</v>
      </c>
      <c r="Y143" s="18">
        <v>18</v>
      </c>
      <c r="Z143" s="18">
        <v>550</v>
      </c>
      <c r="AA143" s="18">
        <v>0</v>
      </c>
      <c r="AB143" s="18">
        <v>0</v>
      </c>
      <c r="AC143" s="18">
        <v>63</v>
      </c>
      <c r="AD143" s="18">
        <v>0</v>
      </c>
      <c r="AE143" s="18">
        <v>631</v>
      </c>
      <c r="AF143" s="4">
        <v>38</v>
      </c>
      <c r="AG143" s="5">
        <v>5.6801195814648729E-2</v>
      </c>
      <c r="AH143" s="18">
        <f t="shared" si="2"/>
        <v>23</v>
      </c>
      <c r="AI143" s="6">
        <v>5.9572573463935886E-2</v>
      </c>
      <c r="AJ143" s="3">
        <v>0.06</v>
      </c>
      <c r="AK143" s="6">
        <v>0.39346959448194668</v>
      </c>
      <c r="AL143" s="25">
        <v>0.39300000000000002</v>
      </c>
      <c r="AM143" s="6">
        <v>6.4333108952783921E-2</v>
      </c>
      <c r="AN143" s="3">
        <v>6.4000000000000001E-2</v>
      </c>
      <c r="AO143" s="6">
        <v>0.40023779053444986</v>
      </c>
      <c r="AP143" s="6">
        <v>6.1297843403924614E-2</v>
      </c>
      <c r="AQ143" s="6">
        <v>6.0999999999999999E-2</v>
      </c>
      <c r="AR143" s="6">
        <v>0.4071451214895716</v>
      </c>
      <c r="AS143" s="6">
        <v>0.40799999999999997</v>
      </c>
      <c r="AT143" s="6">
        <v>-1.7252699399887272E-3</v>
      </c>
      <c r="AU143" s="6">
        <v>-1.3675527007624921E-2</v>
      </c>
      <c r="AV143" s="6">
        <v>3.0352655488593075E-3</v>
      </c>
      <c r="AW143" s="6">
        <v>-6.9073309551217488E-3</v>
      </c>
      <c r="AX143" s="7">
        <v>291</v>
      </c>
      <c r="AY143" s="7">
        <v>284</v>
      </c>
      <c r="AZ143" s="7">
        <v>271</v>
      </c>
      <c r="BA143" s="26">
        <v>-20</v>
      </c>
      <c r="BB143" s="26">
        <v>-13</v>
      </c>
      <c r="BC143" s="6">
        <v>5.6188780053428318E-2</v>
      </c>
      <c r="BD143" s="6">
        <v>5.6000000000000001E-2</v>
      </c>
      <c r="BE143" s="11">
        <v>0.39941156066379457</v>
      </c>
      <c r="BF143" s="7">
        <v>277</v>
      </c>
      <c r="BG143" s="26">
        <v>-6</v>
      </c>
      <c r="BH143" s="7">
        <v>-14</v>
      </c>
    </row>
    <row r="144" spans="2:60" x14ac:dyDescent="0.25">
      <c r="B144" s="3">
        <v>141</v>
      </c>
      <c r="C144" s="3" t="s">
        <v>286</v>
      </c>
      <c r="D144" s="3" t="s">
        <v>287</v>
      </c>
      <c r="E144" s="3" t="s">
        <v>238</v>
      </c>
      <c r="F144" s="3">
        <v>7101</v>
      </c>
      <c r="G144" s="3">
        <v>7</v>
      </c>
      <c r="H144" s="3">
        <v>0.56999999999999995</v>
      </c>
      <c r="I144" s="4">
        <v>232131</v>
      </c>
      <c r="J144" s="4">
        <v>242344</v>
      </c>
      <c r="K144" s="4">
        <v>241064</v>
      </c>
      <c r="L144" s="4">
        <v>-10213</v>
      </c>
      <c r="M144" s="4">
        <v>68312</v>
      </c>
      <c r="N144" s="18">
        <v>31</v>
      </c>
      <c r="O144" s="18">
        <v>50720</v>
      </c>
      <c r="P144" s="18">
        <v>16638</v>
      </c>
      <c r="Q144" s="18">
        <v>0</v>
      </c>
      <c r="R144" s="18">
        <v>877</v>
      </c>
      <c r="S144" s="18">
        <v>46</v>
      </c>
      <c r="T144" s="18">
        <v>68312</v>
      </c>
      <c r="U144" s="18" t="b">
        <v>1</v>
      </c>
      <c r="V144" s="4">
        <v>66161</v>
      </c>
      <c r="W144" s="4">
        <v>66161</v>
      </c>
      <c r="X144" s="3" t="b">
        <v>1</v>
      </c>
      <c r="Y144" s="18">
        <v>113</v>
      </c>
      <c r="Z144" s="18">
        <v>45923</v>
      </c>
      <c r="AA144" s="18">
        <v>18801</v>
      </c>
      <c r="AB144" s="18">
        <v>0</v>
      </c>
      <c r="AC144" s="18">
        <v>1278</v>
      </c>
      <c r="AD144" s="18">
        <v>46</v>
      </c>
      <c r="AE144" s="18">
        <v>66161</v>
      </c>
      <c r="AF144" s="4">
        <v>2151</v>
      </c>
      <c r="AG144" s="5">
        <v>3.1487879142756761E-2</v>
      </c>
      <c r="AH144" s="18">
        <f t="shared" si="2"/>
        <v>4797</v>
      </c>
      <c r="AI144" s="6">
        <v>0.29428210794766746</v>
      </c>
      <c r="AJ144" s="3">
        <v>0.29399999999999998</v>
      </c>
      <c r="AK144" s="6">
        <v>0.63538320174719243</v>
      </c>
      <c r="AL144" s="25">
        <v>0.63500000000000001</v>
      </c>
      <c r="AM144" s="6">
        <v>0.28188030238008782</v>
      </c>
      <c r="AN144" s="3">
        <v>0.28199999999999997</v>
      </c>
      <c r="AO144" s="6">
        <v>0.64737140379622549</v>
      </c>
      <c r="AP144" s="6">
        <v>0.27445408688149203</v>
      </c>
      <c r="AQ144" s="6">
        <v>0.27400000000000002</v>
      </c>
      <c r="AR144" s="6">
        <v>0.65424625662575797</v>
      </c>
      <c r="AS144" s="6">
        <v>0.65500000000000003</v>
      </c>
      <c r="AT144" s="6">
        <v>1.9828021066175427E-2</v>
      </c>
      <c r="AU144" s="6">
        <v>-1.8863054878565544E-2</v>
      </c>
      <c r="AV144" s="6">
        <v>7.4262154985957896E-3</v>
      </c>
      <c r="AW144" s="6">
        <v>-6.8748528295324851E-3</v>
      </c>
      <c r="AX144" s="7">
        <v>34</v>
      </c>
      <c r="AY144" s="26">
        <v>26</v>
      </c>
      <c r="AZ144" s="7">
        <v>26</v>
      </c>
      <c r="BA144" s="26">
        <v>-8</v>
      </c>
      <c r="BB144" s="26">
        <v>0</v>
      </c>
      <c r="BC144" s="6">
        <v>0.2850157884987356</v>
      </c>
      <c r="BD144" s="6">
        <v>0.28499999999999998</v>
      </c>
      <c r="BE144" s="11">
        <v>0.64523451903192963</v>
      </c>
      <c r="BF144" s="26">
        <v>30</v>
      </c>
      <c r="BG144" s="26">
        <v>-4</v>
      </c>
      <c r="BH144" s="7">
        <v>-4</v>
      </c>
    </row>
    <row r="145" spans="2:60" x14ac:dyDescent="0.25">
      <c r="B145" s="3">
        <v>142</v>
      </c>
      <c r="C145" s="3" t="s">
        <v>288</v>
      </c>
      <c r="D145" s="3" t="s">
        <v>289</v>
      </c>
      <c r="E145" s="3" t="s">
        <v>238</v>
      </c>
      <c r="F145" s="3">
        <v>7308</v>
      </c>
      <c r="G145" s="3">
        <v>7</v>
      </c>
      <c r="H145" s="3">
        <v>0.47</v>
      </c>
      <c r="I145" s="4">
        <v>30113</v>
      </c>
      <c r="J145" s="4">
        <v>31885</v>
      </c>
      <c r="K145" s="4">
        <v>31639</v>
      </c>
      <c r="L145" s="4">
        <v>-1772</v>
      </c>
      <c r="M145" s="4">
        <v>2156</v>
      </c>
      <c r="N145" s="18">
        <v>0</v>
      </c>
      <c r="O145" s="18">
        <v>1752</v>
      </c>
      <c r="P145" s="18">
        <v>9</v>
      </c>
      <c r="Q145" s="18">
        <v>0</v>
      </c>
      <c r="R145" s="18">
        <v>393</v>
      </c>
      <c r="S145" s="18">
        <v>2</v>
      </c>
      <c r="T145" s="18">
        <v>2156</v>
      </c>
      <c r="U145" s="18" t="b">
        <v>1</v>
      </c>
      <c r="V145" s="4">
        <v>2209</v>
      </c>
      <c r="W145" s="4">
        <v>2209</v>
      </c>
      <c r="X145" s="3" t="b">
        <v>1</v>
      </c>
      <c r="Y145" s="18">
        <v>66</v>
      </c>
      <c r="Z145" s="18">
        <v>1650</v>
      </c>
      <c r="AA145" s="18">
        <v>21</v>
      </c>
      <c r="AB145" s="18">
        <v>0</v>
      </c>
      <c r="AC145" s="18">
        <v>470</v>
      </c>
      <c r="AD145" s="18">
        <v>2</v>
      </c>
      <c r="AE145" s="18">
        <v>2209</v>
      </c>
      <c r="AF145" s="4">
        <v>-53</v>
      </c>
      <c r="AG145" s="5">
        <v>-2.4582560296846009E-2</v>
      </c>
      <c r="AH145" s="18">
        <f t="shared" si="2"/>
        <v>102</v>
      </c>
      <c r="AI145" s="6">
        <v>7.1596984690997248E-2</v>
      </c>
      <c r="AJ145" s="3">
        <v>7.1999999999999995E-2</v>
      </c>
      <c r="AK145" s="6">
        <v>0.40586307777855624</v>
      </c>
      <c r="AL145" s="25">
        <v>0.40600000000000003</v>
      </c>
      <c r="AM145" s="6">
        <v>6.7618002195389687E-2</v>
      </c>
      <c r="AN145" s="3">
        <v>6.8000000000000005E-2</v>
      </c>
      <c r="AO145" s="6">
        <v>0.40396942928112772</v>
      </c>
      <c r="AP145" s="6">
        <v>6.981889440247796E-2</v>
      </c>
      <c r="AQ145" s="6">
        <v>7.0000000000000007E-2</v>
      </c>
      <c r="AR145" s="6">
        <v>0.41758601452349497</v>
      </c>
      <c r="AS145" s="6">
        <v>0.41799999999999998</v>
      </c>
      <c r="AT145" s="6">
        <v>1.7780902885192879E-3</v>
      </c>
      <c r="AU145" s="6">
        <v>-1.1722936744938739E-2</v>
      </c>
      <c r="AV145" s="6">
        <v>-2.200892207088273E-3</v>
      </c>
      <c r="AW145" s="6">
        <v>-1.3616585242367252E-2</v>
      </c>
      <c r="AX145" s="7">
        <v>273</v>
      </c>
      <c r="AY145" s="7">
        <v>277</v>
      </c>
      <c r="AZ145" s="7">
        <v>254</v>
      </c>
      <c r="BA145" s="26">
        <v>-19</v>
      </c>
      <c r="BB145" s="26">
        <v>-23</v>
      </c>
      <c r="BC145" s="6">
        <v>7.335702188423604E-2</v>
      </c>
      <c r="BD145" s="6">
        <v>7.2999999999999995E-2</v>
      </c>
      <c r="BE145" s="11">
        <v>0.41785496044209236</v>
      </c>
      <c r="BF145" s="7">
        <v>250</v>
      </c>
      <c r="BG145" s="26">
        <v>4</v>
      </c>
      <c r="BH145" s="7">
        <v>-23</v>
      </c>
    </row>
    <row r="146" spans="2:60" x14ac:dyDescent="0.25">
      <c r="B146" s="3">
        <v>143</v>
      </c>
      <c r="C146" s="3" t="s">
        <v>290</v>
      </c>
      <c r="D146" s="3" t="s">
        <v>291</v>
      </c>
      <c r="E146" s="3" t="s">
        <v>238</v>
      </c>
      <c r="F146" s="3">
        <v>7309</v>
      </c>
      <c r="G146" s="3">
        <v>7</v>
      </c>
      <c r="H146" s="3"/>
      <c r="I146" s="4">
        <v>4716</v>
      </c>
      <c r="J146" s="4">
        <v>4311</v>
      </c>
      <c r="K146" s="4">
        <v>4329</v>
      </c>
      <c r="L146" s="4">
        <v>405</v>
      </c>
      <c r="M146" s="4">
        <v>597</v>
      </c>
      <c r="N146" s="18">
        <v>0</v>
      </c>
      <c r="O146" s="18">
        <v>371</v>
      </c>
      <c r="P146" s="18">
        <v>0</v>
      </c>
      <c r="Q146" s="18">
        <v>0</v>
      </c>
      <c r="R146" s="18">
        <v>226</v>
      </c>
      <c r="S146" s="18">
        <v>0</v>
      </c>
      <c r="T146" s="18">
        <v>597</v>
      </c>
      <c r="U146" s="18" t="b">
        <v>1</v>
      </c>
      <c r="V146" s="4">
        <v>441</v>
      </c>
      <c r="W146" s="4">
        <v>441</v>
      </c>
      <c r="X146" s="3" t="b">
        <v>1</v>
      </c>
      <c r="Y146" s="18">
        <v>0</v>
      </c>
      <c r="Z146" s="18">
        <v>291</v>
      </c>
      <c r="AA146" s="18">
        <v>0</v>
      </c>
      <c r="AB146" s="18">
        <v>0</v>
      </c>
      <c r="AC146" s="18">
        <v>150</v>
      </c>
      <c r="AD146" s="18">
        <v>0</v>
      </c>
      <c r="AE146" s="18">
        <v>441</v>
      </c>
      <c r="AF146" s="4">
        <v>156</v>
      </c>
      <c r="AG146" s="5">
        <v>0.2613065326633166</v>
      </c>
      <c r="AH146" s="18">
        <f t="shared" si="2"/>
        <v>80</v>
      </c>
      <c r="AI146" s="6">
        <v>0.12659033078880408</v>
      </c>
      <c r="AJ146" s="3">
        <v>0.127</v>
      </c>
      <c r="AK146" s="6">
        <v>0.46254436581983388</v>
      </c>
      <c r="AL146" s="25">
        <v>0.46300000000000002</v>
      </c>
      <c r="AM146" s="6">
        <v>0.13848295059151008</v>
      </c>
      <c r="AN146" s="3">
        <v>0.13800000000000001</v>
      </c>
      <c r="AO146" s="6">
        <v>0.48447201115697591</v>
      </c>
      <c r="AP146" s="6">
        <v>0.10187110187110188</v>
      </c>
      <c r="AQ146" s="6">
        <v>0.10199999999999999</v>
      </c>
      <c r="AR146" s="6">
        <v>0.45470918975522245</v>
      </c>
      <c r="AS146" s="6">
        <v>0.45500000000000002</v>
      </c>
      <c r="AT146" s="6">
        <v>2.4719228917702202E-2</v>
      </c>
      <c r="AU146" s="6">
        <v>7.8351760646114266E-3</v>
      </c>
      <c r="AV146" s="6">
        <v>3.6611848720408208E-2</v>
      </c>
      <c r="AW146" s="6">
        <v>2.9762821401753459E-2</v>
      </c>
      <c r="AX146" s="7">
        <v>202</v>
      </c>
      <c r="AY146" s="26">
        <v>187</v>
      </c>
      <c r="AZ146" s="7">
        <v>213</v>
      </c>
      <c r="BA146" s="26">
        <v>11</v>
      </c>
      <c r="BB146" s="26">
        <v>26</v>
      </c>
      <c r="BC146" s="6">
        <v>9.3511450381679392E-2</v>
      </c>
      <c r="BD146" s="6">
        <v>9.4E-2</v>
      </c>
      <c r="BE146" s="11">
        <v>0.43950634360320529</v>
      </c>
      <c r="BF146" s="26">
        <v>235</v>
      </c>
      <c r="BG146" s="26">
        <v>-22</v>
      </c>
      <c r="BH146" s="7">
        <v>33</v>
      </c>
    </row>
    <row r="147" spans="2:60" x14ac:dyDescent="0.25">
      <c r="B147" s="3">
        <v>144</v>
      </c>
      <c r="C147" s="3" t="s">
        <v>292</v>
      </c>
      <c r="D147" s="3" t="s">
        <v>293</v>
      </c>
      <c r="E147" s="3" t="s">
        <v>238</v>
      </c>
      <c r="F147" s="3">
        <v>7407</v>
      </c>
      <c r="G147" s="3">
        <v>7</v>
      </c>
      <c r="H147" s="3">
        <v>0.34799999999999998</v>
      </c>
      <c r="I147" s="4">
        <v>17919</v>
      </c>
      <c r="J147" s="4">
        <v>18036</v>
      </c>
      <c r="K147" s="4">
        <v>17913</v>
      </c>
      <c r="L147" s="4">
        <v>-117</v>
      </c>
      <c r="M147" s="4">
        <v>1263</v>
      </c>
      <c r="N147" s="18">
        <v>0</v>
      </c>
      <c r="O147" s="18">
        <v>1202</v>
      </c>
      <c r="P147" s="18">
        <v>3</v>
      </c>
      <c r="Q147" s="18">
        <v>0</v>
      </c>
      <c r="R147" s="18">
        <v>58</v>
      </c>
      <c r="S147" s="18">
        <v>0</v>
      </c>
      <c r="T147" s="18">
        <v>1263</v>
      </c>
      <c r="U147" s="18" t="b">
        <v>1</v>
      </c>
      <c r="V147" s="4">
        <v>1205</v>
      </c>
      <c r="W147" s="4">
        <v>1205</v>
      </c>
      <c r="X147" s="3" t="b">
        <v>1</v>
      </c>
      <c r="Y147" s="18">
        <v>21</v>
      </c>
      <c r="Z147" s="18">
        <v>1128</v>
      </c>
      <c r="AA147" s="18">
        <v>7</v>
      </c>
      <c r="AB147" s="18">
        <v>0</v>
      </c>
      <c r="AC147" s="18">
        <v>49</v>
      </c>
      <c r="AD147" s="18">
        <v>0</v>
      </c>
      <c r="AE147" s="18">
        <v>1205</v>
      </c>
      <c r="AF147" s="4">
        <v>58</v>
      </c>
      <c r="AG147" s="5">
        <v>4.5922406967537611E-2</v>
      </c>
      <c r="AH147" s="18">
        <f t="shared" si="2"/>
        <v>74</v>
      </c>
      <c r="AI147" s="6">
        <v>7.0483843964506951E-2</v>
      </c>
      <c r="AJ147" s="3">
        <v>7.0000000000000007E-2</v>
      </c>
      <c r="AK147" s="6">
        <v>0.40471577079279003</v>
      </c>
      <c r="AL147" s="25">
        <v>0.40500000000000003</v>
      </c>
      <c r="AM147" s="6">
        <v>7.0026613439787097E-2</v>
      </c>
      <c r="AN147" s="3">
        <v>7.0000000000000007E-2</v>
      </c>
      <c r="AO147" s="6">
        <v>0.40670561167168467</v>
      </c>
      <c r="AP147" s="6">
        <v>6.7269580751409597E-2</v>
      </c>
      <c r="AQ147" s="6">
        <v>6.7000000000000004E-2</v>
      </c>
      <c r="AR147" s="6">
        <v>0.4141057168455205</v>
      </c>
      <c r="AS147" s="6">
        <v>0.41499999999999998</v>
      </c>
      <c r="AT147" s="6">
        <v>3.2142632130973542E-3</v>
      </c>
      <c r="AU147" s="6">
        <v>-9.389946052730469E-3</v>
      </c>
      <c r="AV147" s="6">
        <v>2.7570326883775004E-3</v>
      </c>
      <c r="AW147" s="6">
        <v>-7.4001051738358248E-3</v>
      </c>
      <c r="AX147" s="7">
        <v>275</v>
      </c>
      <c r="AY147" s="7">
        <v>274</v>
      </c>
      <c r="AZ147" s="7">
        <v>259</v>
      </c>
      <c r="BA147" s="26">
        <v>-16</v>
      </c>
      <c r="BB147" s="26">
        <v>-15</v>
      </c>
      <c r="BC147" s="6">
        <v>6.7247056197332442E-2</v>
      </c>
      <c r="BD147" s="6">
        <v>6.7000000000000004E-2</v>
      </c>
      <c r="BE147" s="11">
        <v>0.41129118175666923</v>
      </c>
      <c r="BF147" s="7">
        <v>259</v>
      </c>
      <c r="BG147" s="26">
        <v>0</v>
      </c>
      <c r="BH147" s="7">
        <v>-16</v>
      </c>
    </row>
    <row r="148" spans="2:60" x14ac:dyDescent="0.25">
      <c r="B148" s="3">
        <v>145</v>
      </c>
      <c r="C148" s="3" t="s">
        <v>294</v>
      </c>
      <c r="D148" s="3" t="s">
        <v>295</v>
      </c>
      <c r="E148" s="3" t="s">
        <v>238</v>
      </c>
      <c r="F148" s="3">
        <v>7408</v>
      </c>
      <c r="G148" s="3">
        <v>7</v>
      </c>
      <c r="H148" s="3">
        <v>0.45200000000000001</v>
      </c>
      <c r="I148" s="4">
        <v>20035</v>
      </c>
      <c r="J148" s="4">
        <v>19800</v>
      </c>
      <c r="K148" s="4">
        <v>19658</v>
      </c>
      <c r="L148" s="4">
        <v>235</v>
      </c>
      <c r="M148" s="4">
        <v>991</v>
      </c>
      <c r="N148" s="18">
        <v>2</v>
      </c>
      <c r="O148" s="18">
        <v>749</v>
      </c>
      <c r="P148" s="18">
        <v>0</v>
      </c>
      <c r="Q148" s="18">
        <v>0</v>
      </c>
      <c r="R148" s="18">
        <v>239</v>
      </c>
      <c r="S148" s="18">
        <v>1</v>
      </c>
      <c r="T148" s="18">
        <v>991</v>
      </c>
      <c r="U148" s="18" t="b">
        <v>1</v>
      </c>
      <c r="V148" s="4">
        <v>828</v>
      </c>
      <c r="W148" s="4">
        <v>828</v>
      </c>
      <c r="X148" s="3" t="b">
        <v>1</v>
      </c>
      <c r="Y148" s="18">
        <v>3</v>
      </c>
      <c r="Z148" s="18">
        <v>680</v>
      </c>
      <c r="AA148" s="18">
        <v>0</v>
      </c>
      <c r="AB148" s="18">
        <v>0</v>
      </c>
      <c r="AC148" s="18">
        <v>144</v>
      </c>
      <c r="AD148" s="18">
        <v>1</v>
      </c>
      <c r="AE148" s="18">
        <v>828</v>
      </c>
      <c r="AF148" s="4">
        <v>163</v>
      </c>
      <c r="AG148" s="5">
        <v>0.16448032290615539</v>
      </c>
      <c r="AH148" s="18">
        <f t="shared" si="2"/>
        <v>69</v>
      </c>
      <c r="AI148" s="6">
        <v>4.9463438981781883E-2</v>
      </c>
      <c r="AJ148" s="3">
        <v>4.9000000000000002E-2</v>
      </c>
      <c r="AK148" s="6">
        <v>0.38305017460500568</v>
      </c>
      <c r="AL148" s="25">
        <v>0.38300000000000001</v>
      </c>
      <c r="AM148" s="6">
        <v>5.0050505050505054E-2</v>
      </c>
      <c r="AN148" s="3">
        <v>0.05</v>
      </c>
      <c r="AO148" s="6">
        <v>0.38401275240111993</v>
      </c>
      <c r="AP148" s="6">
        <v>4.2120256384169295E-2</v>
      </c>
      <c r="AQ148" s="6">
        <v>4.2000000000000003E-2</v>
      </c>
      <c r="AR148" s="6">
        <v>0.38510323619573339</v>
      </c>
      <c r="AS148" s="6">
        <v>0.38500000000000001</v>
      </c>
      <c r="AT148" s="6">
        <v>7.3431825976125881E-3</v>
      </c>
      <c r="AU148" s="6">
        <v>-2.0530615907277117E-3</v>
      </c>
      <c r="AV148" s="6">
        <v>7.9302486663357583E-3</v>
      </c>
      <c r="AW148" s="6">
        <v>-1.0904837946134616E-3</v>
      </c>
      <c r="AX148" s="7">
        <v>305</v>
      </c>
      <c r="AY148" s="26">
        <v>304</v>
      </c>
      <c r="AZ148" s="7">
        <v>300</v>
      </c>
      <c r="BA148" s="26">
        <v>-5</v>
      </c>
      <c r="BB148" s="26">
        <v>-4</v>
      </c>
      <c r="BC148" s="6">
        <v>4.1327676566009483E-2</v>
      </c>
      <c r="BD148" s="6">
        <v>4.1000000000000002E-2</v>
      </c>
      <c r="BE148" s="11">
        <v>0.38344666015352347</v>
      </c>
      <c r="BF148" s="26">
        <v>305</v>
      </c>
      <c r="BG148" s="26">
        <v>-5</v>
      </c>
      <c r="BH148" s="7">
        <v>0</v>
      </c>
    </row>
    <row r="149" spans="2:60" x14ac:dyDescent="0.25">
      <c r="B149" s="3">
        <v>146</v>
      </c>
      <c r="C149" s="3" t="s">
        <v>296</v>
      </c>
      <c r="D149" s="3" t="s">
        <v>297</v>
      </c>
      <c r="E149" s="3" t="s">
        <v>298</v>
      </c>
      <c r="F149" s="3">
        <v>16102</v>
      </c>
      <c r="G149" s="3">
        <v>16</v>
      </c>
      <c r="H149" s="3">
        <v>0.46800000000000003</v>
      </c>
      <c r="I149" s="4">
        <v>23863</v>
      </c>
      <c r="J149" s="4">
        <v>22754</v>
      </c>
      <c r="K149" s="4">
        <v>22732</v>
      </c>
      <c r="L149" s="4">
        <v>1109</v>
      </c>
      <c r="M149" s="4">
        <v>3293</v>
      </c>
      <c r="N149" s="18">
        <v>0</v>
      </c>
      <c r="O149" s="18">
        <v>3105</v>
      </c>
      <c r="P149" s="18">
        <v>0</v>
      </c>
      <c r="Q149" s="18">
        <v>0</v>
      </c>
      <c r="R149" s="18">
        <v>188</v>
      </c>
      <c r="S149" s="18">
        <v>0</v>
      </c>
      <c r="T149" s="18">
        <v>3293</v>
      </c>
      <c r="U149" s="18" t="b">
        <v>1</v>
      </c>
      <c r="V149" s="4">
        <v>3103</v>
      </c>
      <c r="W149" s="4">
        <v>3103</v>
      </c>
      <c r="X149" s="3" t="b">
        <v>1</v>
      </c>
      <c r="Y149" s="18">
        <v>94</v>
      </c>
      <c r="Z149" s="18">
        <v>2891</v>
      </c>
      <c r="AA149" s="18">
        <v>0</v>
      </c>
      <c r="AB149" s="18">
        <v>0</v>
      </c>
      <c r="AC149" s="18">
        <v>118</v>
      </c>
      <c r="AD149" s="18">
        <v>0</v>
      </c>
      <c r="AE149" s="18">
        <v>3103</v>
      </c>
      <c r="AF149" s="4">
        <v>190</v>
      </c>
      <c r="AG149" s="5">
        <v>5.7698147585788034E-2</v>
      </c>
      <c r="AH149" s="18">
        <f t="shared" si="2"/>
        <v>214</v>
      </c>
      <c r="AI149" s="6">
        <v>0.13799606084733687</v>
      </c>
      <c r="AJ149" s="3">
        <v>0.13800000000000001</v>
      </c>
      <c r="AK149" s="6">
        <v>0.47430017841612432</v>
      </c>
      <c r="AL149" s="25">
        <v>0.47399999999999998</v>
      </c>
      <c r="AM149" s="6">
        <v>0.14472180715478597</v>
      </c>
      <c r="AN149" s="3">
        <v>0.14499999999999999</v>
      </c>
      <c r="AO149" s="6">
        <v>0.49155935225668784</v>
      </c>
      <c r="AP149" s="6">
        <v>0.13650360724969207</v>
      </c>
      <c r="AQ149" s="6">
        <v>0.13700000000000001</v>
      </c>
      <c r="AR149" s="6">
        <v>0.49531266266492446</v>
      </c>
      <c r="AS149" s="6">
        <v>0.495</v>
      </c>
      <c r="AT149" s="6">
        <v>1.4924535976447995E-3</v>
      </c>
      <c r="AU149" s="6">
        <v>-2.1012484248800145E-2</v>
      </c>
      <c r="AV149" s="6">
        <v>8.2181999050938981E-3</v>
      </c>
      <c r="AW149" s="6">
        <v>-3.7533104082366209E-3</v>
      </c>
      <c r="AX149" s="7">
        <v>195</v>
      </c>
      <c r="AY149" s="7">
        <v>175</v>
      </c>
      <c r="AZ149" s="7">
        <v>169</v>
      </c>
      <c r="BA149" s="26">
        <v>-26</v>
      </c>
      <c r="BB149" s="26">
        <v>-6</v>
      </c>
      <c r="BC149" s="6">
        <v>0.13003394376230984</v>
      </c>
      <c r="BD149" s="6">
        <v>0.13</v>
      </c>
      <c r="BE149" s="11">
        <v>0.47874151706811158</v>
      </c>
      <c r="BF149" s="7">
        <v>187</v>
      </c>
      <c r="BG149" s="26">
        <v>-18</v>
      </c>
      <c r="BH149" s="7">
        <v>-8</v>
      </c>
    </row>
    <row r="150" spans="2:60" x14ac:dyDescent="0.25">
      <c r="B150" s="3">
        <v>147</v>
      </c>
      <c r="C150" s="3" t="s">
        <v>299</v>
      </c>
      <c r="D150" s="3" t="s">
        <v>300</v>
      </c>
      <c r="E150" s="3" t="s">
        <v>298</v>
      </c>
      <c r="F150" s="3">
        <v>16101</v>
      </c>
      <c r="G150" s="3">
        <v>16</v>
      </c>
      <c r="H150" s="3">
        <v>0.55400000000000005</v>
      </c>
      <c r="I150" s="4">
        <v>190382</v>
      </c>
      <c r="J150" s="4">
        <v>204091</v>
      </c>
      <c r="K150" s="4">
        <v>202826</v>
      </c>
      <c r="L150" s="4">
        <v>-13709</v>
      </c>
      <c r="M150" s="4">
        <v>57012</v>
      </c>
      <c r="N150" s="18">
        <v>15</v>
      </c>
      <c r="O150" s="18">
        <v>34916</v>
      </c>
      <c r="P150" s="18">
        <v>21380</v>
      </c>
      <c r="Q150" s="18">
        <v>0</v>
      </c>
      <c r="R150" s="18">
        <v>688</v>
      </c>
      <c r="S150" s="18">
        <v>13</v>
      </c>
      <c r="T150" s="18">
        <v>57012</v>
      </c>
      <c r="U150" s="18" t="b">
        <v>1</v>
      </c>
      <c r="V150" s="4">
        <v>52713</v>
      </c>
      <c r="W150" s="4">
        <v>52713</v>
      </c>
      <c r="X150" s="3" t="b">
        <v>1</v>
      </c>
      <c r="Y150" s="18">
        <v>136</v>
      </c>
      <c r="Z150" s="18">
        <v>30240</v>
      </c>
      <c r="AA150" s="18">
        <v>21769</v>
      </c>
      <c r="AB150" s="18">
        <v>2</v>
      </c>
      <c r="AC150" s="18">
        <v>553</v>
      </c>
      <c r="AD150" s="18">
        <v>13</v>
      </c>
      <c r="AE150" s="18">
        <v>52713</v>
      </c>
      <c r="AF150" s="4">
        <v>4299</v>
      </c>
      <c r="AG150" s="5">
        <v>7.5405177857293199E-2</v>
      </c>
      <c r="AH150" s="18">
        <f t="shared" si="2"/>
        <v>4676</v>
      </c>
      <c r="AI150" s="6">
        <v>0.29946108350579359</v>
      </c>
      <c r="AJ150" s="3">
        <v>0.29899999999999999</v>
      </c>
      <c r="AK150" s="6">
        <v>0.64072113853770518</v>
      </c>
      <c r="AL150" s="25">
        <v>0.64100000000000001</v>
      </c>
      <c r="AM150" s="6">
        <v>0.27934597801960892</v>
      </c>
      <c r="AN150" s="3">
        <v>0.27900000000000003</v>
      </c>
      <c r="AO150" s="6">
        <v>0.64449241130491686</v>
      </c>
      <c r="AP150" s="6">
        <v>0.25989271592399399</v>
      </c>
      <c r="AQ150" s="6">
        <v>0.26</v>
      </c>
      <c r="AR150" s="6">
        <v>0.63800486746187712</v>
      </c>
      <c r="AS150" s="6">
        <v>0.63800000000000001</v>
      </c>
      <c r="AT150" s="6">
        <v>3.9568367581799602E-2</v>
      </c>
      <c r="AU150" s="6">
        <v>2.7162710758280584E-3</v>
      </c>
      <c r="AV150" s="6">
        <v>1.9453262095614932E-2</v>
      </c>
      <c r="AW150" s="6">
        <v>6.4875438430397336E-3</v>
      </c>
      <c r="AX150" s="7">
        <v>31</v>
      </c>
      <c r="AY150" s="26">
        <v>27</v>
      </c>
      <c r="AZ150" s="7">
        <v>33</v>
      </c>
      <c r="BA150" s="26">
        <v>2</v>
      </c>
      <c r="BB150" s="26">
        <v>6</v>
      </c>
      <c r="BC150" s="6">
        <v>0.27688016724270154</v>
      </c>
      <c r="BD150" s="6">
        <v>0.27700000000000002</v>
      </c>
      <c r="BE150" s="11">
        <v>0.63649463076913748</v>
      </c>
      <c r="BF150" s="26">
        <v>36</v>
      </c>
      <c r="BG150" s="26">
        <v>-3</v>
      </c>
      <c r="BH150" s="7">
        <v>5</v>
      </c>
    </row>
    <row r="151" spans="2:60" x14ac:dyDescent="0.25">
      <c r="B151" s="3">
        <v>148</v>
      </c>
      <c r="C151" s="3" t="s">
        <v>301</v>
      </c>
      <c r="D151" s="3" t="s">
        <v>302</v>
      </c>
      <c r="E151" s="3" t="s">
        <v>298</v>
      </c>
      <c r="F151" s="3">
        <v>16103</v>
      </c>
      <c r="G151" s="3">
        <v>16</v>
      </c>
      <c r="H151" s="3">
        <v>0.48499999999999999</v>
      </c>
      <c r="I151" s="4">
        <v>32688</v>
      </c>
      <c r="J151" s="4">
        <v>35580</v>
      </c>
      <c r="K151" s="4">
        <v>35176</v>
      </c>
      <c r="L151" s="4">
        <v>-2892</v>
      </c>
      <c r="M151" s="4">
        <v>3799</v>
      </c>
      <c r="N151" s="18">
        <v>0</v>
      </c>
      <c r="O151" s="18">
        <v>3386</v>
      </c>
      <c r="P151" s="18">
        <v>285</v>
      </c>
      <c r="Q151" s="18">
        <v>0</v>
      </c>
      <c r="R151" s="18">
        <v>128</v>
      </c>
      <c r="S151" s="18">
        <v>0</v>
      </c>
      <c r="T151" s="18">
        <v>3799</v>
      </c>
      <c r="U151" s="18" t="b">
        <v>1</v>
      </c>
      <c r="V151" s="4">
        <v>4903</v>
      </c>
      <c r="W151" s="4">
        <v>4903</v>
      </c>
      <c r="X151" s="3" t="b">
        <v>1</v>
      </c>
      <c r="Y151" s="18">
        <v>0</v>
      </c>
      <c r="Z151" s="18">
        <v>2949</v>
      </c>
      <c r="AA151" s="18">
        <v>1856</v>
      </c>
      <c r="AB151" s="18">
        <v>0</v>
      </c>
      <c r="AC151" s="18">
        <v>98</v>
      </c>
      <c r="AD151" s="18">
        <v>0</v>
      </c>
      <c r="AE151" s="18">
        <v>4903</v>
      </c>
      <c r="AF151" s="4">
        <v>-1104</v>
      </c>
      <c r="AG151" s="5">
        <v>-0.29060279020794944</v>
      </c>
      <c r="AH151" s="18">
        <f t="shared" si="2"/>
        <v>437</v>
      </c>
      <c r="AI151" s="6">
        <v>0.11622001957905041</v>
      </c>
      <c r="AJ151" s="3">
        <v>0.11600000000000001</v>
      </c>
      <c r="AK151" s="6">
        <v>0.4518557527699511</v>
      </c>
      <c r="AL151" s="25">
        <v>0.45200000000000001</v>
      </c>
      <c r="AM151" s="6">
        <v>0.1067734682405846</v>
      </c>
      <c r="AN151" s="3">
        <v>0.107</v>
      </c>
      <c r="AO151" s="6">
        <v>0.4484500389835524</v>
      </c>
      <c r="AP151" s="6">
        <v>0.13938480782351603</v>
      </c>
      <c r="AQ151" s="6">
        <v>0.13900000000000001</v>
      </c>
      <c r="AR151" s="6">
        <v>0.49763286111690747</v>
      </c>
      <c r="AS151" s="6">
        <v>0.498</v>
      </c>
      <c r="AT151" s="6">
        <v>-2.316478824446562E-2</v>
      </c>
      <c r="AU151" s="6">
        <v>-4.5777108346956363E-2</v>
      </c>
      <c r="AV151" s="6">
        <v>-3.2611339582931428E-2</v>
      </c>
      <c r="AW151" s="6">
        <v>-4.9182822133355064E-2</v>
      </c>
      <c r="AX151" s="7">
        <v>218</v>
      </c>
      <c r="AY151" s="7">
        <v>224</v>
      </c>
      <c r="AZ151" s="7">
        <v>162</v>
      </c>
      <c r="BA151" s="26">
        <v>-56</v>
      </c>
      <c r="BB151" s="26">
        <v>-62</v>
      </c>
      <c r="BC151" s="6">
        <v>0.14999388154674498</v>
      </c>
      <c r="BD151" s="6">
        <v>0.15</v>
      </c>
      <c r="BE151" s="11">
        <v>0.50018396386820818</v>
      </c>
      <c r="BF151" s="7">
        <v>159</v>
      </c>
      <c r="BG151" s="26">
        <v>3</v>
      </c>
      <c r="BH151" s="7">
        <v>-59</v>
      </c>
    </row>
    <row r="152" spans="2:60" x14ac:dyDescent="0.25">
      <c r="B152" s="3">
        <v>149</v>
      </c>
      <c r="C152" s="3" t="s">
        <v>303</v>
      </c>
      <c r="D152" s="3" t="s">
        <v>304</v>
      </c>
      <c r="E152" s="3" t="s">
        <v>298</v>
      </c>
      <c r="F152" s="3">
        <v>16202</v>
      </c>
      <c r="G152" s="3">
        <v>16</v>
      </c>
      <c r="H152" s="3"/>
      <c r="I152" s="4">
        <v>5495</v>
      </c>
      <c r="J152" s="4">
        <v>5224</v>
      </c>
      <c r="K152" s="4">
        <v>5238</v>
      </c>
      <c r="L152" s="4">
        <v>271</v>
      </c>
      <c r="M152" s="4">
        <v>649</v>
      </c>
      <c r="N152" s="18">
        <v>21</v>
      </c>
      <c r="O152" s="18">
        <v>521</v>
      </c>
      <c r="P152" s="18">
        <v>0</v>
      </c>
      <c r="Q152" s="18">
        <v>0</v>
      </c>
      <c r="R152" s="18">
        <v>107</v>
      </c>
      <c r="S152" s="18">
        <v>0</v>
      </c>
      <c r="T152" s="18">
        <v>649</v>
      </c>
      <c r="U152" s="18" t="b">
        <v>1</v>
      </c>
      <c r="V152" s="4">
        <v>552</v>
      </c>
      <c r="W152" s="4">
        <v>552</v>
      </c>
      <c r="X152" s="3" t="b">
        <v>1</v>
      </c>
      <c r="Y152" s="18">
        <v>24</v>
      </c>
      <c r="Z152" s="18">
        <v>453</v>
      </c>
      <c r="AA152" s="18">
        <v>0</v>
      </c>
      <c r="AB152" s="18">
        <v>0</v>
      </c>
      <c r="AC152" s="18">
        <v>75</v>
      </c>
      <c r="AD152" s="18">
        <v>0</v>
      </c>
      <c r="AE152" s="18">
        <v>552</v>
      </c>
      <c r="AF152" s="4">
        <v>97</v>
      </c>
      <c r="AG152" s="5">
        <v>0.14946070878274267</v>
      </c>
      <c r="AH152" s="18">
        <f t="shared" si="2"/>
        <v>68</v>
      </c>
      <c r="AI152" s="6">
        <v>0.1181073703366697</v>
      </c>
      <c r="AJ152" s="3">
        <v>0.11799999999999999</v>
      </c>
      <c r="AK152" s="6">
        <v>0.45380103305417463</v>
      </c>
      <c r="AL152" s="25">
        <v>0.45400000000000001</v>
      </c>
      <c r="AM152" s="6">
        <v>0.12423430321592649</v>
      </c>
      <c r="AN152" s="3">
        <v>0.124</v>
      </c>
      <c r="AO152" s="6">
        <v>0.46828554763821034</v>
      </c>
      <c r="AP152" s="6">
        <v>0.10538373424971363</v>
      </c>
      <c r="AQ152" s="6">
        <v>0.105</v>
      </c>
      <c r="AR152" s="6">
        <v>0.45818948743319693</v>
      </c>
      <c r="AS152" s="6">
        <v>0.45900000000000002</v>
      </c>
      <c r="AT152" s="6">
        <v>1.2723636086956064E-2</v>
      </c>
      <c r="AU152" s="6">
        <v>-4.3884543790222996E-3</v>
      </c>
      <c r="AV152" s="6">
        <v>1.8850568966212858E-2</v>
      </c>
      <c r="AW152" s="6">
        <v>1.0096060205013413E-2</v>
      </c>
      <c r="AX152" s="7">
        <v>215</v>
      </c>
      <c r="AY152" s="26">
        <v>198</v>
      </c>
      <c r="AZ152" s="7">
        <v>207</v>
      </c>
      <c r="BA152" s="26">
        <v>-8</v>
      </c>
      <c r="BB152" s="26">
        <v>9</v>
      </c>
      <c r="BC152" s="6">
        <v>0.10045495905368516</v>
      </c>
      <c r="BD152" s="6">
        <v>0.1</v>
      </c>
      <c r="BE152" s="11">
        <v>0.44696557603736625</v>
      </c>
      <c r="BF152" s="26">
        <v>222</v>
      </c>
      <c r="BG152" s="26">
        <v>-15</v>
      </c>
      <c r="BH152" s="7">
        <v>7</v>
      </c>
    </row>
    <row r="153" spans="2:60" x14ac:dyDescent="0.25">
      <c r="B153" s="3">
        <v>150</v>
      </c>
      <c r="C153" s="3" t="s">
        <v>305</v>
      </c>
      <c r="D153" s="3" t="s">
        <v>306</v>
      </c>
      <c r="E153" s="3" t="s">
        <v>298</v>
      </c>
      <c r="F153" s="3">
        <v>16203</v>
      </c>
      <c r="G153" s="3">
        <v>16</v>
      </c>
      <c r="H153" s="3">
        <v>0.497</v>
      </c>
      <c r="I153" s="4">
        <v>15895</v>
      </c>
      <c r="J153" s="4">
        <v>16901</v>
      </c>
      <c r="K153" s="4">
        <v>16894</v>
      </c>
      <c r="L153" s="4">
        <v>-1006</v>
      </c>
      <c r="M153" s="4">
        <v>2566</v>
      </c>
      <c r="N153" s="18">
        <v>5</v>
      </c>
      <c r="O153" s="18">
        <v>2491</v>
      </c>
      <c r="P153" s="18">
        <v>0</v>
      </c>
      <c r="Q153" s="18">
        <v>0</v>
      </c>
      <c r="R153" s="18">
        <v>70</v>
      </c>
      <c r="S153" s="18">
        <v>0</v>
      </c>
      <c r="T153" s="18">
        <v>2566</v>
      </c>
      <c r="U153" s="18" t="b">
        <v>1</v>
      </c>
      <c r="V153" s="4">
        <v>2419</v>
      </c>
      <c r="W153" s="4">
        <v>2419</v>
      </c>
      <c r="X153" s="3" t="b">
        <v>1</v>
      </c>
      <c r="Y153" s="18">
        <v>69</v>
      </c>
      <c r="Z153" s="18">
        <v>2303</v>
      </c>
      <c r="AA153" s="18">
        <v>0</v>
      </c>
      <c r="AB153" s="18">
        <v>0</v>
      </c>
      <c r="AC153" s="18">
        <v>47</v>
      </c>
      <c r="AD153" s="18">
        <v>0</v>
      </c>
      <c r="AE153" s="18">
        <v>2419</v>
      </c>
      <c r="AF153" s="4">
        <v>147</v>
      </c>
      <c r="AG153" s="5">
        <v>5.7287607170693686E-2</v>
      </c>
      <c r="AH153" s="18">
        <f t="shared" si="2"/>
        <v>188</v>
      </c>
      <c r="AI153" s="6">
        <v>0.16143441333752753</v>
      </c>
      <c r="AJ153" s="3">
        <v>0.161</v>
      </c>
      <c r="AK153" s="6">
        <v>0.4984579375447778</v>
      </c>
      <c r="AL153" s="25">
        <v>0.498</v>
      </c>
      <c r="AM153" s="6">
        <v>0.151825335778948</v>
      </c>
      <c r="AN153" s="3">
        <v>0.152</v>
      </c>
      <c r="AO153" s="6">
        <v>0.49962896082364111</v>
      </c>
      <c r="AP153" s="6">
        <v>0.14318693027110216</v>
      </c>
      <c r="AQ153" s="6">
        <v>0.14299999999999999</v>
      </c>
      <c r="AR153" s="6">
        <v>0.50227325802087341</v>
      </c>
      <c r="AS153" s="6">
        <v>0.503</v>
      </c>
      <c r="AT153" s="6">
        <v>1.8247483066425374E-2</v>
      </c>
      <c r="AU153" s="6">
        <v>-3.8153204760956183E-3</v>
      </c>
      <c r="AV153" s="6">
        <v>8.6384055078458366E-3</v>
      </c>
      <c r="AW153" s="6">
        <v>-2.6442971972323037E-3</v>
      </c>
      <c r="AX153" s="7">
        <v>162</v>
      </c>
      <c r="AY153" s="7">
        <v>164</v>
      </c>
      <c r="AZ153" s="7">
        <v>156</v>
      </c>
      <c r="BA153" s="26">
        <v>-6</v>
      </c>
      <c r="BB153" s="26">
        <v>-8</v>
      </c>
      <c r="BC153" s="6">
        <v>0.15218622208241586</v>
      </c>
      <c r="BD153" s="6">
        <v>0.152</v>
      </c>
      <c r="BE153" s="11">
        <v>0.50253913880970913</v>
      </c>
      <c r="BF153" s="7">
        <v>155</v>
      </c>
      <c r="BG153" s="26">
        <v>1</v>
      </c>
      <c r="BH153" s="7">
        <v>-7</v>
      </c>
    </row>
    <row r="154" spans="2:60" x14ac:dyDescent="0.25">
      <c r="B154" s="3">
        <v>151</v>
      </c>
      <c r="C154" s="3" t="s">
        <v>307</v>
      </c>
      <c r="D154" s="3" t="s">
        <v>308</v>
      </c>
      <c r="E154" s="3" t="s">
        <v>298</v>
      </c>
      <c r="F154" s="3">
        <v>16302</v>
      </c>
      <c r="G154" s="3">
        <v>16</v>
      </c>
      <c r="H154" s="3">
        <v>0.45300000000000001</v>
      </c>
      <c r="I154" s="4">
        <v>29766</v>
      </c>
      <c r="J154" s="4">
        <v>29067</v>
      </c>
      <c r="K154" s="4">
        <v>28908</v>
      </c>
      <c r="L154" s="4">
        <v>699</v>
      </c>
      <c r="M154" s="4">
        <v>1313</v>
      </c>
      <c r="N154" s="18">
        <v>17</v>
      </c>
      <c r="O154" s="18">
        <v>1097</v>
      </c>
      <c r="P154" s="18">
        <v>0</v>
      </c>
      <c r="Q154" s="18">
        <v>0</v>
      </c>
      <c r="R154" s="18">
        <v>199</v>
      </c>
      <c r="S154" s="18">
        <v>0</v>
      </c>
      <c r="T154" s="18">
        <v>1313</v>
      </c>
      <c r="U154" s="18" t="b">
        <v>1</v>
      </c>
      <c r="V154" s="4">
        <v>1237</v>
      </c>
      <c r="W154" s="4">
        <v>1237</v>
      </c>
      <c r="X154" s="3" t="b">
        <v>1</v>
      </c>
      <c r="Y154" s="18">
        <v>20</v>
      </c>
      <c r="Z154" s="18">
        <v>1110</v>
      </c>
      <c r="AA154" s="18">
        <v>3</v>
      </c>
      <c r="AB154" s="18">
        <v>0</v>
      </c>
      <c r="AC154" s="18">
        <v>104</v>
      </c>
      <c r="AD154" s="18">
        <v>0</v>
      </c>
      <c r="AE154" s="18">
        <v>1237</v>
      </c>
      <c r="AF154" s="4">
        <v>76</v>
      </c>
      <c r="AG154" s="5">
        <v>5.7882711348057884E-2</v>
      </c>
      <c r="AH154" s="18">
        <f t="shared" si="2"/>
        <v>-13</v>
      </c>
      <c r="AI154" s="6">
        <v>4.4110730363501979E-2</v>
      </c>
      <c r="AJ154" s="3">
        <v>4.3999999999999997E-2</v>
      </c>
      <c r="AK154" s="6">
        <v>0.37753317226704736</v>
      </c>
      <c r="AL154" s="25">
        <v>0.378</v>
      </c>
      <c r="AM154" s="6">
        <v>4.5171500326831114E-2</v>
      </c>
      <c r="AN154" s="3">
        <v>4.4999999999999998E-2</v>
      </c>
      <c r="AO154" s="6">
        <v>0.37847020300074929</v>
      </c>
      <c r="AP154" s="6">
        <v>4.2790922927909231E-2</v>
      </c>
      <c r="AQ154" s="6">
        <v>4.2999999999999997E-2</v>
      </c>
      <c r="AR154" s="6">
        <v>0.38626333542172486</v>
      </c>
      <c r="AS154" s="6">
        <v>0.38600000000000001</v>
      </c>
      <c r="AT154" s="6">
        <v>1.3198074355927486E-3</v>
      </c>
      <c r="AU154" s="6">
        <v>-8.730163154677506E-3</v>
      </c>
      <c r="AV154" s="6">
        <v>2.3805773989218834E-3</v>
      </c>
      <c r="AW154" s="6">
        <v>-7.7931324209755681E-3</v>
      </c>
      <c r="AX154" s="7">
        <v>310</v>
      </c>
      <c r="AY154" s="26">
        <v>307</v>
      </c>
      <c r="AZ154" s="7">
        <v>299</v>
      </c>
      <c r="BA154" s="26">
        <v>-11</v>
      </c>
      <c r="BB154" s="26">
        <v>-8</v>
      </c>
      <c r="BC154" s="6">
        <v>4.1557481690519385E-2</v>
      </c>
      <c r="BD154" s="6">
        <v>4.2000000000000003E-2</v>
      </c>
      <c r="BE154" s="11">
        <v>0.38369353387677402</v>
      </c>
      <c r="BF154" s="26">
        <v>304</v>
      </c>
      <c r="BG154" s="26">
        <v>-5</v>
      </c>
      <c r="BH154" s="7">
        <v>-6</v>
      </c>
    </row>
    <row r="155" spans="2:60" x14ac:dyDescent="0.25">
      <c r="B155" s="3">
        <v>152</v>
      </c>
      <c r="C155" s="3" t="s">
        <v>309</v>
      </c>
      <c r="D155" s="3" t="s">
        <v>310</v>
      </c>
      <c r="E155" s="3" t="s">
        <v>298</v>
      </c>
      <c r="F155" s="3">
        <v>16104</v>
      </c>
      <c r="G155" s="3">
        <v>16</v>
      </c>
      <c r="H155" s="3">
        <v>0.48199999999999998</v>
      </c>
      <c r="I155" s="4">
        <v>13186</v>
      </c>
      <c r="J155" s="4">
        <v>12197</v>
      </c>
      <c r="K155" s="4">
        <v>12234</v>
      </c>
      <c r="L155" s="4">
        <v>989</v>
      </c>
      <c r="M155" s="4">
        <v>503</v>
      </c>
      <c r="N155" s="18">
        <v>10</v>
      </c>
      <c r="O155" s="18">
        <v>400</v>
      </c>
      <c r="P155" s="18">
        <v>0</v>
      </c>
      <c r="Q155" s="18">
        <v>0</v>
      </c>
      <c r="R155" s="18">
        <v>93</v>
      </c>
      <c r="S155" s="18">
        <v>0</v>
      </c>
      <c r="T155" s="18">
        <v>503</v>
      </c>
      <c r="U155" s="18" t="b">
        <v>1</v>
      </c>
      <c r="V155" s="4">
        <v>448</v>
      </c>
      <c r="W155" s="4">
        <v>448</v>
      </c>
      <c r="X155" s="3" t="b">
        <v>1</v>
      </c>
      <c r="Y155" s="18">
        <v>10</v>
      </c>
      <c r="Z155" s="18">
        <v>394</v>
      </c>
      <c r="AA155" s="18">
        <v>0</v>
      </c>
      <c r="AB155" s="18">
        <v>0</v>
      </c>
      <c r="AC155" s="18">
        <v>44</v>
      </c>
      <c r="AD155" s="18">
        <v>0</v>
      </c>
      <c r="AE155" s="18">
        <v>448</v>
      </c>
      <c r="AF155" s="4">
        <v>55</v>
      </c>
      <c r="AG155" s="5">
        <v>0.10934393638170974</v>
      </c>
      <c r="AH155" s="18">
        <f t="shared" si="2"/>
        <v>6</v>
      </c>
      <c r="AI155" s="6">
        <v>3.8146519035340512E-2</v>
      </c>
      <c r="AJ155" s="3">
        <v>3.7999999999999999E-2</v>
      </c>
      <c r="AK155" s="6">
        <v>0.37138589801991706</v>
      </c>
      <c r="AL155" s="25">
        <v>0.371</v>
      </c>
      <c r="AM155" s="6">
        <v>4.1239649094039516E-2</v>
      </c>
      <c r="AN155" s="3">
        <v>4.1000000000000002E-2</v>
      </c>
      <c r="AO155" s="6">
        <v>0.37400361997267517</v>
      </c>
      <c r="AP155" s="6">
        <v>3.6619257806114108E-2</v>
      </c>
      <c r="AQ155" s="6">
        <v>3.6999999999999998E-2</v>
      </c>
      <c r="AR155" s="6">
        <v>0.37930274006577591</v>
      </c>
      <c r="AS155" s="6">
        <v>0.379</v>
      </c>
      <c r="AT155" s="6">
        <v>1.5272612292264037E-3</v>
      </c>
      <c r="AU155" s="6">
        <v>-7.9168420458588518E-3</v>
      </c>
      <c r="AV155" s="6">
        <v>4.6203912879254072E-3</v>
      </c>
      <c r="AW155" s="6">
        <v>-5.2991200931007398E-3</v>
      </c>
      <c r="AX155" s="7">
        <v>315</v>
      </c>
      <c r="AY155" s="7">
        <v>310</v>
      </c>
      <c r="AZ155" s="7">
        <v>307</v>
      </c>
      <c r="BA155" s="26">
        <v>-8</v>
      </c>
      <c r="BB155" s="26">
        <v>-3</v>
      </c>
      <c r="BC155" s="6">
        <v>3.3975428484756563E-2</v>
      </c>
      <c r="BD155" s="6">
        <v>3.4000000000000002E-2</v>
      </c>
      <c r="BE155" s="11">
        <v>0.37554832950510253</v>
      </c>
      <c r="BF155" s="7">
        <v>314</v>
      </c>
      <c r="BG155" s="26">
        <v>-7</v>
      </c>
      <c r="BH155" s="7">
        <v>-1</v>
      </c>
    </row>
    <row r="156" spans="2:60" x14ac:dyDescent="0.25">
      <c r="B156" s="3">
        <v>153</v>
      </c>
      <c r="C156" s="3" t="s">
        <v>311</v>
      </c>
      <c r="D156" s="3" t="s">
        <v>312</v>
      </c>
      <c r="E156" s="3" t="s">
        <v>298</v>
      </c>
      <c r="F156" s="3">
        <v>16204</v>
      </c>
      <c r="G156" s="3">
        <v>16</v>
      </c>
      <c r="H156" s="3">
        <v>0.46400000000000002</v>
      </c>
      <c r="I156" s="4">
        <v>5763</v>
      </c>
      <c r="J156" s="4">
        <v>5353</v>
      </c>
      <c r="K156" s="4">
        <v>5370</v>
      </c>
      <c r="L156" s="4">
        <v>410</v>
      </c>
      <c r="M156" s="4">
        <v>337</v>
      </c>
      <c r="N156" s="18">
        <v>2</v>
      </c>
      <c r="O156" s="18">
        <v>308</v>
      </c>
      <c r="P156" s="18">
        <v>0</v>
      </c>
      <c r="Q156" s="18">
        <v>0</v>
      </c>
      <c r="R156" s="18">
        <v>27</v>
      </c>
      <c r="S156" s="18">
        <v>0</v>
      </c>
      <c r="T156" s="18">
        <v>337</v>
      </c>
      <c r="U156" s="18" t="b">
        <v>1</v>
      </c>
      <c r="V156" s="4">
        <v>277</v>
      </c>
      <c r="W156" s="4">
        <v>277</v>
      </c>
      <c r="X156" s="3" t="b">
        <v>1</v>
      </c>
      <c r="Y156" s="18">
        <v>2</v>
      </c>
      <c r="Z156" s="18">
        <v>260</v>
      </c>
      <c r="AA156" s="18">
        <v>0</v>
      </c>
      <c r="AB156" s="18">
        <v>0</v>
      </c>
      <c r="AC156" s="18">
        <v>15</v>
      </c>
      <c r="AD156" s="18">
        <v>0</v>
      </c>
      <c r="AE156" s="18">
        <v>277</v>
      </c>
      <c r="AF156" s="4">
        <v>60</v>
      </c>
      <c r="AG156" s="5">
        <v>0.17804154302670624</v>
      </c>
      <c r="AH156" s="18">
        <f t="shared" si="2"/>
        <v>48</v>
      </c>
      <c r="AI156" s="6">
        <v>5.8476487940308866E-2</v>
      </c>
      <c r="AJ156" s="3">
        <v>5.8000000000000003E-2</v>
      </c>
      <c r="AK156" s="6">
        <v>0.39233986618405259</v>
      </c>
      <c r="AL156" s="25">
        <v>0.39200000000000002</v>
      </c>
      <c r="AM156" s="6">
        <v>6.295535213898748E-2</v>
      </c>
      <c r="AN156" s="3">
        <v>6.3E-2</v>
      </c>
      <c r="AO156" s="6">
        <v>0.39867265878429781</v>
      </c>
      <c r="AP156" s="6">
        <v>5.1582867783985104E-2</v>
      </c>
      <c r="AQ156" s="6">
        <v>5.1999999999999998E-2</v>
      </c>
      <c r="AR156" s="6">
        <v>0.39670422845564823</v>
      </c>
      <c r="AS156" s="6">
        <v>0.39600000000000002</v>
      </c>
      <c r="AT156" s="6">
        <v>6.8936201563237626E-3</v>
      </c>
      <c r="AU156" s="6">
        <v>-4.3643622715956454E-3</v>
      </c>
      <c r="AV156" s="6">
        <v>1.1372484355002377E-2</v>
      </c>
      <c r="AW156" s="6">
        <v>1.968430328649573E-3</v>
      </c>
      <c r="AX156" s="7">
        <v>293</v>
      </c>
      <c r="AY156" s="26">
        <v>286</v>
      </c>
      <c r="AZ156" s="7">
        <v>285</v>
      </c>
      <c r="BA156" s="26">
        <v>-8</v>
      </c>
      <c r="BB156" s="26">
        <v>-1</v>
      </c>
      <c r="BC156" s="6">
        <v>4.8065243796633697E-2</v>
      </c>
      <c r="BD156" s="6">
        <v>4.8000000000000001E-2</v>
      </c>
      <c r="BE156" s="11">
        <v>0.39068465500425853</v>
      </c>
      <c r="BF156" s="26">
        <v>294</v>
      </c>
      <c r="BG156" s="26">
        <v>-9</v>
      </c>
      <c r="BH156" s="7">
        <v>1</v>
      </c>
    </row>
    <row r="157" spans="2:60" x14ac:dyDescent="0.25">
      <c r="B157" s="3">
        <v>154</v>
      </c>
      <c r="C157" s="3" t="s">
        <v>313</v>
      </c>
      <c r="D157" s="3" t="s">
        <v>314</v>
      </c>
      <c r="E157" s="3" t="s">
        <v>298</v>
      </c>
      <c r="F157" s="3">
        <v>16303</v>
      </c>
      <c r="G157" s="3">
        <v>16</v>
      </c>
      <c r="H157" s="3">
        <v>0.40200000000000002</v>
      </c>
      <c r="I157" s="4">
        <v>12797</v>
      </c>
      <c r="J157" s="4">
        <v>11526</v>
      </c>
      <c r="K157" s="4">
        <v>11541</v>
      </c>
      <c r="L157" s="4">
        <v>1271</v>
      </c>
      <c r="M157" s="4">
        <v>351</v>
      </c>
      <c r="N157" s="18">
        <v>13</v>
      </c>
      <c r="O157" s="18">
        <v>253</v>
      </c>
      <c r="P157" s="18">
        <v>0</v>
      </c>
      <c r="Q157" s="18">
        <v>0</v>
      </c>
      <c r="R157" s="18">
        <v>85</v>
      </c>
      <c r="S157" s="18">
        <v>0</v>
      </c>
      <c r="T157" s="18">
        <v>351</v>
      </c>
      <c r="U157" s="18" t="b">
        <v>1</v>
      </c>
      <c r="V157" s="4">
        <v>279</v>
      </c>
      <c r="W157" s="4">
        <v>279</v>
      </c>
      <c r="X157" s="3" t="b">
        <v>1</v>
      </c>
      <c r="Y157" s="18">
        <v>15</v>
      </c>
      <c r="Z157" s="18">
        <v>219</v>
      </c>
      <c r="AA157" s="18">
        <v>0</v>
      </c>
      <c r="AB157" s="18">
        <v>0</v>
      </c>
      <c r="AC157" s="18">
        <v>45</v>
      </c>
      <c r="AD157" s="18">
        <v>0</v>
      </c>
      <c r="AE157" s="18">
        <v>279</v>
      </c>
      <c r="AF157" s="4">
        <v>72</v>
      </c>
      <c r="AG157" s="5">
        <v>0.20512820512820512</v>
      </c>
      <c r="AH157" s="18">
        <f t="shared" si="2"/>
        <v>34</v>
      </c>
      <c r="AI157" s="6">
        <v>2.7428303508634837E-2</v>
      </c>
      <c r="AJ157" s="3">
        <v>2.7E-2</v>
      </c>
      <c r="AK157" s="6">
        <v>0.3603387022286807</v>
      </c>
      <c r="AL157" s="25">
        <v>0.36</v>
      </c>
      <c r="AM157" s="6">
        <v>3.0452889120249869E-2</v>
      </c>
      <c r="AN157" s="3">
        <v>0.03</v>
      </c>
      <c r="AO157" s="6">
        <v>0.36174986056666869</v>
      </c>
      <c r="AP157" s="6">
        <v>2.4174681570054587E-2</v>
      </c>
      <c r="AQ157" s="6">
        <v>2.4E-2</v>
      </c>
      <c r="AR157" s="6">
        <v>0.36422145012788665</v>
      </c>
      <c r="AS157" s="6">
        <v>0.36499999999999999</v>
      </c>
      <c r="AT157" s="6">
        <v>3.2536219385802499E-3</v>
      </c>
      <c r="AU157" s="6">
        <v>-3.8827478992059516E-3</v>
      </c>
      <c r="AV157" s="6">
        <v>6.2782075501952826E-3</v>
      </c>
      <c r="AW157" s="6">
        <v>-2.4715895612179573E-3</v>
      </c>
      <c r="AX157" s="7">
        <v>330</v>
      </c>
      <c r="AY157" s="7">
        <v>322</v>
      </c>
      <c r="AZ157" s="7">
        <v>325</v>
      </c>
      <c r="BA157" s="26">
        <v>-5</v>
      </c>
      <c r="BB157" s="26">
        <v>3</v>
      </c>
      <c r="BC157" s="6">
        <v>2.1801984840196922E-2</v>
      </c>
      <c r="BD157" s="6">
        <v>2.1999999999999999E-2</v>
      </c>
      <c r="BE157" s="11">
        <v>0.36247071270381193</v>
      </c>
      <c r="BF157" s="7">
        <v>330</v>
      </c>
      <c r="BG157" s="26">
        <v>-5</v>
      </c>
      <c r="BH157" s="7">
        <v>0</v>
      </c>
    </row>
    <row r="158" spans="2:60" x14ac:dyDescent="0.25">
      <c r="B158" s="3">
        <v>155</v>
      </c>
      <c r="C158" s="3" t="s">
        <v>315</v>
      </c>
      <c r="D158" s="3" t="s">
        <v>316</v>
      </c>
      <c r="E158" s="3" t="s">
        <v>298</v>
      </c>
      <c r="F158" s="3">
        <v>16105</v>
      </c>
      <c r="G158" s="3">
        <v>16</v>
      </c>
      <c r="H158" s="3">
        <v>0.441</v>
      </c>
      <c r="I158" s="4">
        <v>8930</v>
      </c>
      <c r="J158" s="4">
        <v>8583</v>
      </c>
      <c r="K158" s="4">
        <v>8600</v>
      </c>
      <c r="L158" s="4">
        <v>347</v>
      </c>
      <c r="M158" s="4">
        <v>744</v>
      </c>
      <c r="N158" s="18">
        <v>33</v>
      </c>
      <c r="O158" s="18">
        <v>648</v>
      </c>
      <c r="P158" s="18">
        <v>0</v>
      </c>
      <c r="Q158" s="18">
        <v>0</v>
      </c>
      <c r="R158" s="18">
        <v>63</v>
      </c>
      <c r="S158" s="18">
        <v>0</v>
      </c>
      <c r="T158" s="18">
        <v>744</v>
      </c>
      <c r="U158" s="18" t="b">
        <v>1</v>
      </c>
      <c r="V158" s="4">
        <v>669</v>
      </c>
      <c r="W158" s="4">
        <v>669</v>
      </c>
      <c r="X158" s="3" t="b">
        <v>1</v>
      </c>
      <c r="Y158" s="18">
        <v>33</v>
      </c>
      <c r="Z158" s="18">
        <v>599</v>
      </c>
      <c r="AA158" s="18">
        <v>0</v>
      </c>
      <c r="AB158" s="18">
        <v>0</v>
      </c>
      <c r="AC158" s="18">
        <v>37</v>
      </c>
      <c r="AD158" s="18">
        <v>0</v>
      </c>
      <c r="AE158" s="18">
        <v>669</v>
      </c>
      <c r="AF158" s="4">
        <v>75</v>
      </c>
      <c r="AG158" s="5">
        <v>0.10080645161290322</v>
      </c>
      <c r="AH158" s="18">
        <f t="shared" si="2"/>
        <v>49</v>
      </c>
      <c r="AI158" s="6">
        <v>8.3314669652855541E-2</v>
      </c>
      <c r="AJ158" s="3">
        <v>8.3000000000000004E-2</v>
      </c>
      <c r="AK158" s="6">
        <v>0.41794042028684425</v>
      </c>
      <c r="AL158" s="25">
        <v>0.41799999999999998</v>
      </c>
      <c r="AM158" s="6">
        <v>8.6682977979727363E-2</v>
      </c>
      <c r="AN158" s="3">
        <v>8.6999999999999994E-2</v>
      </c>
      <c r="AO158" s="6">
        <v>0.42562724190607459</v>
      </c>
      <c r="AP158" s="6">
        <v>7.779069767441861E-2</v>
      </c>
      <c r="AQ158" s="6">
        <v>7.8E-2</v>
      </c>
      <c r="AR158" s="6">
        <v>0.42686680833142682</v>
      </c>
      <c r="AS158" s="6">
        <v>0.42699999999999999</v>
      </c>
      <c r="AT158" s="6">
        <v>5.5239719784369312E-3</v>
      </c>
      <c r="AU158" s="6">
        <v>-8.9263880445825672E-3</v>
      </c>
      <c r="AV158" s="6">
        <v>8.8922803053087529E-3</v>
      </c>
      <c r="AW158" s="6">
        <v>-1.2395664253522232E-3</v>
      </c>
      <c r="AX158" s="7">
        <v>255</v>
      </c>
      <c r="AY158" s="26">
        <v>250</v>
      </c>
      <c r="AZ158" s="7">
        <v>243</v>
      </c>
      <c r="BA158" s="26">
        <v>-12</v>
      </c>
      <c r="BB158" s="26">
        <v>-7</v>
      </c>
      <c r="BC158" s="6">
        <v>7.491601343784994E-2</v>
      </c>
      <c r="BD158" s="6">
        <v>7.4999999999999997E-2</v>
      </c>
      <c r="BE158" s="11">
        <v>0.41952974489338629</v>
      </c>
      <c r="BF158" s="26">
        <v>248</v>
      </c>
      <c r="BG158" s="26">
        <v>-5</v>
      </c>
      <c r="BH158" s="7">
        <v>-7</v>
      </c>
    </row>
    <row r="159" spans="2:60" x14ac:dyDescent="0.25">
      <c r="B159" s="3">
        <v>156</v>
      </c>
      <c r="C159" s="3" t="s">
        <v>317</v>
      </c>
      <c r="D159" s="3" t="s">
        <v>318</v>
      </c>
      <c r="E159" s="3" t="s">
        <v>298</v>
      </c>
      <c r="F159" s="3">
        <v>16106</v>
      </c>
      <c r="G159" s="3">
        <v>16</v>
      </c>
      <c r="H159" s="3">
        <v>0.52300000000000002</v>
      </c>
      <c r="I159" s="4">
        <v>12502</v>
      </c>
      <c r="J159" s="4">
        <v>12179</v>
      </c>
      <c r="K159" s="4">
        <v>12110</v>
      </c>
      <c r="L159" s="4">
        <v>323</v>
      </c>
      <c r="M159" s="4">
        <v>1931</v>
      </c>
      <c r="N159" s="18">
        <v>16</v>
      </c>
      <c r="O159" s="18">
        <v>1608</v>
      </c>
      <c r="P159" s="18">
        <v>11</v>
      </c>
      <c r="Q159" s="18">
        <v>0</v>
      </c>
      <c r="R159" s="18">
        <v>296</v>
      </c>
      <c r="S159" s="18">
        <v>0</v>
      </c>
      <c r="T159" s="18">
        <v>1931</v>
      </c>
      <c r="U159" s="18" t="b">
        <v>1</v>
      </c>
      <c r="V159" s="4">
        <v>1560</v>
      </c>
      <c r="W159" s="4">
        <v>1560</v>
      </c>
      <c r="X159" s="3" t="b">
        <v>1</v>
      </c>
      <c r="Y159" s="18">
        <v>18</v>
      </c>
      <c r="Z159" s="18">
        <v>1355</v>
      </c>
      <c r="AA159" s="18">
        <v>24</v>
      </c>
      <c r="AB159" s="18">
        <v>0</v>
      </c>
      <c r="AC159" s="18">
        <v>163</v>
      </c>
      <c r="AD159" s="18">
        <v>0</v>
      </c>
      <c r="AE159" s="18">
        <v>1560</v>
      </c>
      <c r="AF159" s="4">
        <v>371</v>
      </c>
      <c r="AG159" s="5">
        <v>0.19212843086483689</v>
      </c>
      <c r="AH159" s="18">
        <f t="shared" si="2"/>
        <v>253</v>
      </c>
      <c r="AI159" s="6">
        <v>0.15445528715405535</v>
      </c>
      <c r="AJ159" s="3">
        <v>0.154</v>
      </c>
      <c r="AK159" s="6">
        <v>0.49126459708540199</v>
      </c>
      <c r="AL159" s="25">
        <v>0.49099999999999999</v>
      </c>
      <c r="AM159" s="6">
        <v>0.15855160522210363</v>
      </c>
      <c r="AN159" s="3">
        <v>0.159</v>
      </c>
      <c r="AO159" s="6">
        <v>0.5072700029583207</v>
      </c>
      <c r="AP159" s="6">
        <v>0.12881915772089184</v>
      </c>
      <c r="AQ159" s="6">
        <v>0.129</v>
      </c>
      <c r="AR159" s="6">
        <v>0.48603186885699257</v>
      </c>
      <c r="AS159" s="6">
        <v>0.48599999999999999</v>
      </c>
      <c r="AT159" s="6">
        <v>2.5636129433163513E-2</v>
      </c>
      <c r="AU159" s="6">
        <v>5.2327282284094223E-3</v>
      </c>
      <c r="AV159" s="6">
        <v>2.9732447501211789E-2</v>
      </c>
      <c r="AW159" s="6">
        <v>2.1238134101328132E-2</v>
      </c>
      <c r="AX159" s="7">
        <v>173</v>
      </c>
      <c r="AY159" s="7">
        <v>151</v>
      </c>
      <c r="AZ159" s="7">
        <v>182</v>
      </c>
      <c r="BA159" s="26">
        <v>9</v>
      </c>
      <c r="BB159" s="26">
        <v>31</v>
      </c>
      <c r="BC159" s="6">
        <v>0.12478003519436891</v>
      </c>
      <c r="BD159" s="6">
        <v>0.125</v>
      </c>
      <c r="BE159" s="11">
        <v>0.47309737848525008</v>
      </c>
      <c r="BF159" s="7">
        <v>195</v>
      </c>
      <c r="BG159" s="26">
        <v>-13</v>
      </c>
      <c r="BH159" s="7">
        <v>22</v>
      </c>
    </row>
    <row r="160" spans="2:60" x14ac:dyDescent="0.25">
      <c r="B160" s="3">
        <v>157</v>
      </c>
      <c r="C160" s="3" t="s">
        <v>319</v>
      </c>
      <c r="D160" s="3" t="s">
        <v>320</v>
      </c>
      <c r="E160" s="3" t="s">
        <v>298</v>
      </c>
      <c r="F160" s="3">
        <v>16205</v>
      </c>
      <c r="G160" s="3">
        <v>16</v>
      </c>
      <c r="H160" s="3"/>
      <c r="I160" s="4">
        <v>5203</v>
      </c>
      <c r="J160" s="4">
        <v>4876</v>
      </c>
      <c r="K160" s="4">
        <v>4891</v>
      </c>
      <c r="L160" s="4">
        <v>327</v>
      </c>
      <c r="M160" s="4">
        <v>244</v>
      </c>
      <c r="N160" s="18">
        <v>0</v>
      </c>
      <c r="O160" s="18">
        <v>209</v>
      </c>
      <c r="P160" s="18">
        <v>0</v>
      </c>
      <c r="Q160" s="18">
        <v>0</v>
      </c>
      <c r="R160" s="18">
        <v>35</v>
      </c>
      <c r="S160" s="18">
        <v>0</v>
      </c>
      <c r="T160" s="18">
        <v>244</v>
      </c>
      <c r="U160" s="18" t="b">
        <v>1</v>
      </c>
      <c r="V160" s="4">
        <v>210</v>
      </c>
      <c r="W160" s="4">
        <v>210</v>
      </c>
      <c r="X160" s="3" t="b">
        <v>1</v>
      </c>
      <c r="Y160" s="18">
        <v>13</v>
      </c>
      <c r="Z160" s="18">
        <v>168</v>
      </c>
      <c r="AA160" s="18">
        <v>0</v>
      </c>
      <c r="AB160" s="18">
        <v>0</v>
      </c>
      <c r="AC160" s="18">
        <v>29</v>
      </c>
      <c r="AD160" s="18">
        <v>0</v>
      </c>
      <c r="AE160" s="18">
        <v>210</v>
      </c>
      <c r="AF160" s="4">
        <v>34</v>
      </c>
      <c r="AG160" s="5">
        <v>0.13934426229508196</v>
      </c>
      <c r="AH160" s="18">
        <f t="shared" si="2"/>
        <v>41</v>
      </c>
      <c r="AI160" s="6">
        <v>4.6896021526042671E-2</v>
      </c>
      <c r="AJ160" s="3">
        <v>4.7E-2</v>
      </c>
      <c r="AK160" s="6">
        <v>0.38040395395001703</v>
      </c>
      <c r="AL160" s="25">
        <v>0.38</v>
      </c>
      <c r="AM160" s="6">
        <v>5.0041017227235439E-2</v>
      </c>
      <c r="AN160" s="3">
        <v>0.05</v>
      </c>
      <c r="AO160" s="6">
        <v>0.38400197423381899</v>
      </c>
      <c r="AP160" s="6">
        <v>4.293600490697199E-2</v>
      </c>
      <c r="AQ160" s="6">
        <v>4.2999999999999997E-2</v>
      </c>
      <c r="AR160" s="6">
        <v>0.38626333542172486</v>
      </c>
      <c r="AS160" s="6">
        <v>0.38600000000000001</v>
      </c>
      <c r="AT160" s="6">
        <v>3.9600166190706804E-3</v>
      </c>
      <c r="AU160" s="6">
        <v>-5.8593814717078363E-3</v>
      </c>
      <c r="AV160" s="6">
        <v>7.1050123202634485E-3</v>
      </c>
      <c r="AW160" s="6">
        <v>-2.2613611879058748E-3</v>
      </c>
      <c r="AX160" s="7">
        <v>308</v>
      </c>
      <c r="AY160" s="26">
        <v>305</v>
      </c>
      <c r="AZ160" s="7">
        <v>298</v>
      </c>
      <c r="BA160" s="26">
        <v>-10</v>
      </c>
      <c r="BB160" s="26">
        <v>-7</v>
      </c>
      <c r="BC160" s="6">
        <v>4.036133000192197E-2</v>
      </c>
      <c r="BD160" s="6">
        <v>0.04</v>
      </c>
      <c r="BE160" s="11">
        <v>0.38240853894219073</v>
      </c>
      <c r="BF160" s="26">
        <v>308</v>
      </c>
      <c r="BG160" s="26">
        <v>-10</v>
      </c>
      <c r="BH160" s="7">
        <v>0</v>
      </c>
    </row>
    <row r="161" spans="2:60" x14ac:dyDescent="0.25">
      <c r="B161" s="3">
        <v>158</v>
      </c>
      <c r="C161" s="3" t="s">
        <v>321</v>
      </c>
      <c r="D161" s="3" t="s">
        <v>322</v>
      </c>
      <c r="E161" s="3" t="s">
        <v>298</v>
      </c>
      <c r="F161" s="3">
        <v>16107</v>
      </c>
      <c r="G161" s="3">
        <v>16</v>
      </c>
      <c r="H161" s="3">
        <v>0.495</v>
      </c>
      <c r="I161" s="4">
        <v>19165</v>
      </c>
      <c r="J161" s="4">
        <v>19304</v>
      </c>
      <c r="K161" s="4">
        <v>19182</v>
      </c>
      <c r="L161" s="4">
        <v>-139</v>
      </c>
      <c r="M161" s="4">
        <v>2886</v>
      </c>
      <c r="N161" s="18">
        <v>0</v>
      </c>
      <c r="O161" s="18">
        <v>2623</v>
      </c>
      <c r="P161" s="18">
        <v>0</v>
      </c>
      <c r="Q161" s="18">
        <v>0</v>
      </c>
      <c r="R161" s="18">
        <v>263</v>
      </c>
      <c r="S161" s="18">
        <v>0</v>
      </c>
      <c r="T161" s="18">
        <v>2886</v>
      </c>
      <c r="U161" s="18" t="b">
        <v>1</v>
      </c>
      <c r="V161" s="4">
        <v>2653</v>
      </c>
      <c r="W161" s="4">
        <v>2653</v>
      </c>
      <c r="X161" s="3" t="b">
        <v>1</v>
      </c>
      <c r="Y161" s="18">
        <v>25</v>
      </c>
      <c r="Z161" s="18">
        <v>2433</v>
      </c>
      <c r="AA161" s="18">
        <v>0</v>
      </c>
      <c r="AB161" s="18">
        <v>0</v>
      </c>
      <c r="AC161" s="18">
        <v>195</v>
      </c>
      <c r="AD161" s="18">
        <v>0</v>
      </c>
      <c r="AE161" s="18">
        <v>2653</v>
      </c>
      <c r="AF161" s="4">
        <v>233</v>
      </c>
      <c r="AG161" s="5">
        <v>8.073458073458073E-2</v>
      </c>
      <c r="AH161" s="18">
        <f t="shared" si="2"/>
        <v>190</v>
      </c>
      <c r="AI161" s="6">
        <v>0.15058700756587529</v>
      </c>
      <c r="AJ161" s="3">
        <v>0.151</v>
      </c>
      <c r="AK161" s="6">
        <v>0.48727758619917821</v>
      </c>
      <c r="AL161" s="25">
        <v>0.48699999999999999</v>
      </c>
      <c r="AM161" s="6">
        <v>0.1495026937422296</v>
      </c>
      <c r="AN161" s="3">
        <v>0.15</v>
      </c>
      <c r="AO161" s="6">
        <v>0.49699043945361149</v>
      </c>
      <c r="AP161" s="6">
        <v>0.13830674590762174</v>
      </c>
      <c r="AQ161" s="6">
        <v>0.13800000000000001</v>
      </c>
      <c r="AR161" s="6">
        <v>0.49647276189091594</v>
      </c>
      <c r="AS161" s="6">
        <v>0.497</v>
      </c>
      <c r="AT161" s="6">
        <v>1.228026165825355E-2</v>
      </c>
      <c r="AU161" s="6">
        <v>-9.1951756917377225E-3</v>
      </c>
      <c r="AV161" s="6">
        <v>1.1195947834607867E-2</v>
      </c>
      <c r="AW161" s="6">
        <v>5.1767756269555099E-4</v>
      </c>
      <c r="AX161" s="7">
        <v>179</v>
      </c>
      <c r="AY161" s="7">
        <v>169</v>
      </c>
      <c r="AZ161" s="7">
        <v>165</v>
      </c>
      <c r="BA161" s="26">
        <v>-14</v>
      </c>
      <c r="BB161" s="26">
        <v>-4</v>
      </c>
      <c r="BC161" s="6">
        <v>0.13842942864596922</v>
      </c>
      <c r="BD161" s="6">
        <v>0.13800000000000001</v>
      </c>
      <c r="BE161" s="11">
        <v>0.48776057012945234</v>
      </c>
      <c r="BF161" s="7">
        <v>175</v>
      </c>
      <c r="BG161" s="26">
        <v>-10</v>
      </c>
      <c r="BH161" s="7">
        <v>-4</v>
      </c>
    </row>
    <row r="162" spans="2:60" x14ac:dyDescent="0.25">
      <c r="B162" s="3">
        <v>159</v>
      </c>
      <c r="C162" s="3" t="s">
        <v>323</v>
      </c>
      <c r="D162" s="3" t="s">
        <v>324</v>
      </c>
      <c r="E162" s="3" t="s">
        <v>298</v>
      </c>
      <c r="F162" s="3">
        <v>16201</v>
      </c>
      <c r="G162" s="3">
        <v>16</v>
      </c>
      <c r="H162" s="3">
        <v>0.43</v>
      </c>
      <c r="I162" s="4">
        <v>11746</v>
      </c>
      <c r="J162" s="4">
        <v>12241</v>
      </c>
      <c r="K162" s="4">
        <v>12234</v>
      </c>
      <c r="L162" s="4">
        <v>-495</v>
      </c>
      <c r="M162" s="4">
        <v>952</v>
      </c>
      <c r="N162" s="18">
        <v>3</v>
      </c>
      <c r="O162" s="18">
        <v>917</v>
      </c>
      <c r="P162" s="18">
        <v>0</v>
      </c>
      <c r="Q162" s="18">
        <v>0</v>
      </c>
      <c r="R162" s="18">
        <v>32</v>
      </c>
      <c r="S162" s="18">
        <v>0</v>
      </c>
      <c r="T162" s="18">
        <v>952</v>
      </c>
      <c r="U162" s="18" t="b">
        <v>1</v>
      </c>
      <c r="V162" s="4">
        <v>940</v>
      </c>
      <c r="W162" s="4">
        <v>940</v>
      </c>
      <c r="X162" s="3" t="b">
        <v>1</v>
      </c>
      <c r="Y162" s="18">
        <v>31</v>
      </c>
      <c r="Z162" s="18">
        <v>884</v>
      </c>
      <c r="AA162" s="18">
        <v>0</v>
      </c>
      <c r="AB162" s="18">
        <v>0</v>
      </c>
      <c r="AC162" s="18">
        <v>25</v>
      </c>
      <c r="AD162" s="18">
        <v>0</v>
      </c>
      <c r="AE162" s="18">
        <v>940</v>
      </c>
      <c r="AF162" s="4">
        <v>12</v>
      </c>
      <c r="AG162" s="5">
        <v>1.2605042016806723E-2</v>
      </c>
      <c r="AH162" s="18">
        <f t="shared" si="2"/>
        <v>33</v>
      </c>
      <c r="AI162" s="6">
        <v>8.1048867699642438E-2</v>
      </c>
      <c r="AJ162" s="3">
        <v>8.1000000000000003E-2</v>
      </c>
      <c r="AK162" s="6">
        <v>0.41560507278996439</v>
      </c>
      <c r="AL162" s="25">
        <v>0.41599999999999998</v>
      </c>
      <c r="AM162" s="6">
        <v>7.7771423903275877E-2</v>
      </c>
      <c r="AN162" s="3">
        <v>7.8E-2</v>
      </c>
      <c r="AO162" s="6">
        <v>0.41550371641261841</v>
      </c>
      <c r="AP162" s="6">
        <v>7.6835049861042989E-2</v>
      </c>
      <c r="AQ162" s="6">
        <v>7.6999999999999999E-2</v>
      </c>
      <c r="AR162" s="6">
        <v>0.42570670910543534</v>
      </c>
      <c r="AS162" s="6">
        <v>0.42599999999999999</v>
      </c>
      <c r="AT162" s="6">
        <v>4.2138178385994485E-3</v>
      </c>
      <c r="AU162" s="6">
        <v>-1.0101636315470952E-2</v>
      </c>
      <c r="AV162" s="6">
        <v>9.3637404223288756E-4</v>
      </c>
      <c r="AW162" s="6">
        <v>-1.0202992692816937E-2</v>
      </c>
      <c r="AX162" s="7">
        <v>262</v>
      </c>
      <c r="AY162" s="26">
        <v>260</v>
      </c>
      <c r="AZ162" s="7">
        <v>244</v>
      </c>
      <c r="BA162" s="26">
        <v>-18</v>
      </c>
      <c r="BB162" s="26">
        <v>-16</v>
      </c>
      <c r="BC162" s="6">
        <v>8.0027243316873831E-2</v>
      </c>
      <c r="BD162" s="6">
        <v>0.08</v>
      </c>
      <c r="BE162" s="11">
        <v>0.42502060743753201</v>
      </c>
      <c r="BF162" s="26">
        <v>242</v>
      </c>
      <c r="BG162" s="26">
        <v>2</v>
      </c>
      <c r="BH162" s="7">
        <v>-20</v>
      </c>
    </row>
    <row r="163" spans="2:60" x14ac:dyDescent="0.25">
      <c r="B163" s="3">
        <v>160</v>
      </c>
      <c r="C163" s="3" t="s">
        <v>325</v>
      </c>
      <c r="D163" s="3" t="s">
        <v>326</v>
      </c>
      <c r="E163" s="3" t="s">
        <v>298</v>
      </c>
      <c r="F163" s="3">
        <v>16206</v>
      </c>
      <c r="G163" s="3">
        <v>16</v>
      </c>
      <c r="H163" s="3">
        <v>0.52800000000000002</v>
      </c>
      <c r="I163" s="4">
        <v>6508</v>
      </c>
      <c r="J163" s="4">
        <v>6293</v>
      </c>
      <c r="K163" s="4">
        <v>6290</v>
      </c>
      <c r="L163" s="4">
        <v>215</v>
      </c>
      <c r="M163" s="4">
        <v>535</v>
      </c>
      <c r="N163" s="18">
        <v>12</v>
      </c>
      <c r="O163" s="18">
        <v>462</v>
      </c>
      <c r="P163" s="18">
        <v>0</v>
      </c>
      <c r="Q163" s="18">
        <v>0</v>
      </c>
      <c r="R163" s="18">
        <v>61</v>
      </c>
      <c r="S163" s="18">
        <v>0</v>
      </c>
      <c r="T163" s="18">
        <v>535</v>
      </c>
      <c r="U163" s="18" t="b">
        <v>1</v>
      </c>
      <c r="V163" s="4">
        <v>451</v>
      </c>
      <c r="W163" s="4">
        <v>451</v>
      </c>
      <c r="X163" s="3" t="b">
        <v>1</v>
      </c>
      <c r="Y163" s="18">
        <v>12</v>
      </c>
      <c r="Z163" s="18">
        <v>391</v>
      </c>
      <c r="AA163" s="18">
        <v>0</v>
      </c>
      <c r="AB163" s="18">
        <v>0</v>
      </c>
      <c r="AC163" s="18">
        <v>48</v>
      </c>
      <c r="AD163" s="18">
        <v>0</v>
      </c>
      <c r="AE163" s="18">
        <v>451</v>
      </c>
      <c r="AF163" s="4">
        <v>84</v>
      </c>
      <c r="AG163" s="5">
        <v>0.15700934579439252</v>
      </c>
      <c r="AH163" s="18">
        <f t="shared" si="2"/>
        <v>71</v>
      </c>
      <c r="AI163" s="6">
        <v>8.2206515058389676E-2</v>
      </c>
      <c r="AJ163" s="3">
        <v>8.2000000000000003E-2</v>
      </c>
      <c r="AK163" s="6">
        <v>0.41679825247527896</v>
      </c>
      <c r="AL163" s="25">
        <v>0.41699999999999998</v>
      </c>
      <c r="AM163" s="6">
        <v>8.5015096138566656E-2</v>
      </c>
      <c r="AN163" s="3">
        <v>8.5000000000000006E-2</v>
      </c>
      <c r="AO163" s="6">
        <v>0.42373252812279849</v>
      </c>
      <c r="AP163" s="6">
        <v>7.1701112877583462E-2</v>
      </c>
      <c r="AQ163" s="6">
        <v>7.1999999999999995E-2</v>
      </c>
      <c r="AR163" s="6">
        <v>0.41990621297547792</v>
      </c>
      <c r="AS163" s="6">
        <v>0.42</v>
      </c>
      <c r="AT163" s="6">
        <v>1.0505402180806214E-2</v>
      </c>
      <c r="AU163" s="6">
        <v>-3.1079605001989585E-3</v>
      </c>
      <c r="AV163" s="6">
        <v>1.3313983260983195E-2</v>
      </c>
      <c r="AW163" s="6">
        <v>3.8263151473205692E-3</v>
      </c>
      <c r="AX163" s="7">
        <v>259</v>
      </c>
      <c r="AY163" s="7">
        <v>253</v>
      </c>
      <c r="AZ163" s="7">
        <v>251</v>
      </c>
      <c r="BA163" s="26">
        <v>-8</v>
      </c>
      <c r="BB163" s="26">
        <v>-2</v>
      </c>
      <c r="BC163" s="6">
        <v>6.9299323909035038E-2</v>
      </c>
      <c r="BD163" s="6">
        <v>6.9000000000000006E-2</v>
      </c>
      <c r="BE163" s="11">
        <v>0.41349588007301646</v>
      </c>
      <c r="BF163" s="7">
        <v>255</v>
      </c>
      <c r="BG163" s="26">
        <v>-4</v>
      </c>
      <c r="BH163" s="7">
        <v>-4</v>
      </c>
    </row>
    <row r="164" spans="2:60" x14ac:dyDescent="0.25">
      <c r="B164" s="3">
        <v>161</v>
      </c>
      <c r="C164" s="3" t="s">
        <v>327</v>
      </c>
      <c r="D164" s="3" t="s">
        <v>328</v>
      </c>
      <c r="E164" s="3" t="s">
        <v>298</v>
      </c>
      <c r="F164" s="3">
        <v>16301</v>
      </c>
      <c r="G164" s="3">
        <v>16</v>
      </c>
      <c r="H164" s="3">
        <v>0.54500000000000004</v>
      </c>
      <c r="I164" s="4">
        <v>55847</v>
      </c>
      <c r="J164" s="4">
        <v>57061</v>
      </c>
      <c r="K164" s="4">
        <v>56886</v>
      </c>
      <c r="L164" s="4">
        <v>-1214</v>
      </c>
      <c r="M164" s="4">
        <v>8052</v>
      </c>
      <c r="N164" s="18">
        <v>8</v>
      </c>
      <c r="O164" s="18">
        <v>5963</v>
      </c>
      <c r="P164" s="18">
        <v>1777</v>
      </c>
      <c r="Q164" s="18">
        <v>0</v>
      </c>
      <c r="R164" s="18">
        <v>304</v>
      </c>
      <c r="S164" s="18">
        <v>0</v>
      </c>
      <c r="T164" s="18">
        <v>8052</v>
      </c>
      <c r="U164" s="18" t="b">
        <v>1</v>
      </c>
      <c r="V164" s="4">
        <v>7615</v>
      </c>
      <c r="W164" s="4">
        <v>7615</v>
      </c>
      <c r="X164" s="3" t="b">
        <v>1</v>
      </c>
      <c r="Y164" s="18">
        <v>18</v>
      </c>
      <c r="Z164" s="18">
        <v>5558</v>
      </c>
      <c r="AA164" s="18">
        <v>1801</v>
      </c>
      <c r="AB164" s="18">
        <v>0</v>
      </c>
      <c r="AC164" s="18">
        <v>238</v>
      </c>
      <c r="AD164" s="18">
        <v>0</v>
      </c>
      <c r="AE164" s="18">
        <v>7615</v>
      </c>
      <c r="AF164" s="4">
        <v>437</v>
      </c>
      <c r="AG164" s="5">
        <v>5.4272230501738697E-2</v>
      </c>
      <c r="AH164" s="18">
        <f t="shared" si="2"/>
        <v>405</v>
      </c>
      <c r="AI164" s="6">
        <v>0.14417963364191452</v>
      </c>
      <c r="AJ164" s="3">
        <v>0.14399999999999999</v>
      </c>
      <c r="AK164" s="6">
        <v>0.48067354711549942</v>
      </c>
      <c r="AL164" s="25">
        <v>0.48099999999999998</v>
      </c>
      <c r="AM164" s="6">
        <v>0.1411121431450553</v>
      </c>
      <c r="AN164" s="3">
        <v>0.14099999999999999</v>
      </c>
      <c r="AO164" s="6">
        <v>0.4874587739162744</v>
      </c>
      <c r="AP164" s="6">
        <v>0.133864219667405</v>
      </c>
      <c r="AQ164" s="6">
        <v>0.13400000000000001</v>
      </c>
      <c r="AR164" s="6">
        <v>0.49183236498695004</v>
      </c>
      <c r="AS164" s="6">
        <v>0.49199999999999999</v>
      </c>
      <c r="AT164" s="6">
        <v>1.0315413974509524E-2</v>
      </c>
      <c r="AU164" s="6">
        <v>-1.1158817871450621E-2</v>
      </c>
      <c r="AV164" s="6">
        <v>7.2479234776502977E-3</v>
      </c>
      <c r="AW164" s="6">
        <v>-4.373591070675642E-3</v>
      </c>
      <c r="AX164" s="7">
        <v>187</v>
      </c>
      <c r="AY164" s="26">
        <v>178</v>
      </c>
      <c r="AZ164" s="7">
        <v>173</v>
      </c>
      <c r="BA164" s="26">
        <v>-14</v>
      </c>
      <c r="BB164" s="26">
        <v>-5</v>
      </c>
      <c r="BC164" s="6">
        <v>0.13635468333124429</v>
      </c>
      <c r="BD164" s="6">
        <v>0.13600000000000001</v>
      </c>
      <c r="BE164" s="11">
        <v>0.48553172470341949</v>
      </c>
      <c r="BF164" s="26">
        <v>178</v>
      </c>
      <c r="BG164" s="26">
        <v>-5</v>
      </c>
      <c r="BH164" s="7">
        <v>-9</v>
      </c>
    </row>
    <row r="165" spans="2:60" x14ac:dyDescent="0.25">
      <c r="B165" s="3">
        <v>162</v>
      </c>
      <c r="C165" s="3" t="s">
        <v>329</v>
      </c>
      <c r="D165" s="3" t="s">
        <v>330</v>
      </c>
      <c r="E165" s="3" t="s">
        <v>298</v>
      </c>
      <c r="F165" s="3">
        <v>16304</v>
      </c>
      <c r="G165" s="3">
        <v>16</v>
      </c>
      <c r="H165" s="3">
        <v>0.41099999999999998</v>
      </c>
      <c r="I165" s="4">
        <v>5245</v>
      </c>
      <c r="J165" s="4">
        <v>4793</v>
      </c>
      <c r="K165" s="4">
        <v>4761</v>
      </c>
      <c r="L165" s="4">
        <v>452</v>
      </c>
      <c r="M165" s="4">
        <v>634</v>
      </c>
      <c r="N165" s="18">
        <v>13</v>
      </c>
      <c r="O165" s="18">
        <v>548</v>
      </c>
      <c r="P165" s="18">
        <v>0</v>
      </c>
      <c r="Q165" s="18">
        <v>0</v>
      </c>
      <c r="R165" s="18">
        <v>73</v>
      </c>
      <c r="S165" s="18">
        <v>0</v>
      </c>
      <c r="T165" s="18">
        <v>634</v>
      </c>
      <c r="U165" s="18" t="b">
        <v>1</v>
      </c>
      <c r="V165" s="4">
        <v>570</v>
      </c>
      <c r="W165" s="4">
        <v>570</v>
      </c>
      <c r="X165" s="3" t="b">
        <v>1</v>
      </c>
      <c r="Y165" s="18">
        <v>13</v>
      </c>
      <c r="Z165" s="18">
        <v>510</v>
      </c>
      <c r="AA165" s="18">
        <v>0</v>
      </c>
      <c r="AB165" s="18">
        <v>0</v>
      </c>
      <c r="AC165" s="18">
        <v>47</v>
      </c>
      <c r="AD165" s="18">
        <v>0</v>
      </c>
      <c r="AE165" s="18">
        <v>570</v>
      </c>
      <c r="AF165" s="4">
        <v>64</v>
      </c>
      <c r="AG165" s="5">
        <v>0.10094637223974763</v>
      </c>
      <c r="AH165" s="18">
        <f t="shared" si="2"/>
        <v>38</v>
      </c>
      <c r="AI165" s="6">
        <v>0.12087702573879885</v>
      </c>
      <c r="AJ165" s="3">
        <v>0.121</v>
      </c>
      <c r="AK165" s="6">
        <v>0.45665569905947562</v>
      </c>
      <c r="AL165" s="25">
        <v>0.45700000000000002</v>
      </c>
      <c r="AM165" s="6">
        <v>0.13227623617775924</v>
      </c>
      <c r="AN165" s="3">
        <v>0.13200000000000001</v>
      </c>
      <c r="AO165" s="6">
        <v>0.4774211835393502</v>
      </c>
      <c r="AP165" s="6">
        <v>0.11972274732199117</v>
      </c>
      <c r="AQ165" s="6">
        <v>0.12</v>
      </c>
      <c r="AR165" s="6">
        <v>0.4755909758230692</v>
      </c>
      <c r="AS165" s="6">
        <v>0.47499999999999998</v>
      </c>
      <c r="AT165" s="6">
        <v>1.1542784168076803E-3</v>
      </c>
      <c r="AU165" s="6">
        <v>-1.8935276763593578E-2</v>
      </c>
      <c r="AV165" s="6">
        <v>1.2553488855768069E-2</v>
      </c>
      <c r="AW165" s="6">
        <v>1.8302077162810071E-3</v>
      </c>
      <c r="AX165" s="7">
        <v>208</v>
      </c>
      <c r="AY165" s="7">
        <v>193</v>
      </c>
      <c r="AZ165" s="7">
        <v>190</v>
      </c>
      <c r="BA165" s="26">
        <v>-18</v>
      </c>
      <c r="BB165" s="26">
        <v>-3</v>
      </c>
      <c r="BC165" s="6">
        <v>0.10867492850333652</v>
      </c>
      <c r="BD165" s="6">
        <v>0.109</v>
      </c>
      <c r="BE165" s="11">
        <v>0.45579607739093331</v>
      </c>
      <c r="BF165" s="7">
        <v>209</v>
      </c>
      <c r="BG165" s="26">
        <v>-19</v>
      </c>
      <c r="BH165" s="7">
        <v>1</v>
      </c>
    </row>
    <row r="166" spans="2:60" x14ac:dyDescent="0.25">
      <c r="B166" s="3">
        <v>163</v>
      </c>
      <c r="C166" s="3" t="s">
        <v>331</v>
      </c>
      <c r="D166" s="3" t="s">
        <v>332</v>
      </c>
      <c r="E166" s="3" t="s">
        <v>298</v>
      </c>
      <c r="F166" s="3">
        <v>16108</v>
      </c>
      <c r="G166" s="3">
        <v>16</v>
      </c>
      <c r="H166" s="3">
        <v>0.47499999999999998</v>
      </c>
      <c r="I166" s="4">
        <v>17405</v>
      </c>
      <c r="J166" s="4">
        <v>16600</v>
      </c>
      <c r="K166" s="4">
        <v>16614</v>
      </c>
      <c r="L166" s="4">
        <v>805</v>
      </c>
      <c r="M166" s="4">
        <v>1084</v>
      </c>
      <c r="N166" s="18">
        <v>22</v>
      </c>
      <c r="O166" s="18">
        <v>954</v>
      </c>
      <c r="P166" s="18">
        <v>0</v>
      </c>
      <c r="Q166" s="18">
        <v>0</v>
      </c>
      <c r="R166" s="18">
        <v>108</v>
      </c>
      <c r="S166" s="18">
        <v>0</v>
      </c>
      <c r="T166" s="18">
        <v>1084</v>
      </c>
      <c r="U166" s="18" t="b">
        <v>1</v>
      </c>
      <c r="V166" s="4">
        <v>944</v>
      </c>
      <c r="W166" s="4">
        <v>944</v>
      </c>
      <c r="X166" s="3" t="b">
        <v>1</v>
      </c>
      <c r="Y166" s="18">
        <v>41</v>
      </c>
      <c r="Z166" s="18">
        <v>840</v>
      </c>
      <c r="AA166" s="18">
        <v>0</v>
      </c>
      <c r="AB166" s="18">
        <v>0</v>
      </c>
      <c r="AC166" s="18">
        <v>63</v>
      </c>
      <c r="AD166" s="18">
        <v>0</v>
      </c>
      <c r="AE166" s="18">
        <v>944</v>
      </c>
      <c r="AF166" s="4">
        <v>140</v>
      </c>
      <c r="AG166" s="5">
        <v>0.12915129151291513</v>
      </c>
      <c r="AH166" s="18">
        <f t="shared" si="2"/>
        <v>114</v>
      </c>
      <c r="AI166" s="6">
        <v>6.2280953748922722E-2</v>
      </c>
      <c r="AJ166" s="3">
        <v>6.2E-2</v>
      </c>
      <c r="AK166" s="6">
        <v>0.39626110461820263</v>
      </c>
      <c r="AL166" s="25">
        <v>0.39600000000000002</v>
      </c>
      <c r="AM166" s="6">
        <v>6.5301204819277106E-2</v>
      </c>
      <c r="AN166" s="3">
        <v>6.5000000000000002E-2</v>
      </c>
      <c r="AO166" s="6">
        <v>0.40133754744558736</v>
      </c>
      <c r="AP166" s="6">
        <v>5.6819549777296259E-2</v>
      </c>
      <c r="AQ166" s="6">
        <v>5.7000000000000002E-2</v>
      </c>
      <c r="AR166" s="6">
        <v>0.40250472458560566</v>
      </c>
      <c r="AS166" s="6">
        <v>0.40300000000000002</v>
      </c>
      <c r="AT166" s="6">
        <v>5.4614039716264634E-3</v>
      </c>
      <c r="AU166" s="6">
        <v>-6.2436199674030246E-3</v>
      </c>
      <c r="AV166" s="6">
        <v>8.481655041980847E-3</v>
      </c>
      <c r="AW166" s="6">
        <v>-1.167177140018294E-3</v>
      </c>
      <c r="AX166" s="7">
        <v>289</v>
      </c>
      <c r="AY166" s="26">
        <v>282</v>
      </c>
      <c r="AZ166" s="7">
        <v>274</v>
      </c>
      <c r="BA166" s="26">
        <v>-15</v>
      </c>
      <c r="BB166" s="26">
        <v>-8</v>
      </c>
      <c r="BC166" s="6">
        <v>5.4237288135593219E-2</v>
      </c>
      <c r="BD166" s="6">
        <v>5.3999999999999999E-2</v>
      </c>
      <c r="BE166" s="11">
        <v>0.39731512318583667</v>
      </c>
      <c r="BF166" s="26">
        <v>284</v>
      </c>
      <c r="BG166" s="26">
        <v>-10</v>
      </c>
      <c r="BH166" s="7">
        <v>-5</v>
      </c>
    </row>
    <row r="167" spans="2:60" x14ac:dyDescent="0.25">
      <c r="B167" s="3">
        <v>164</v>
      </c>
      <c r="C167" s="3" t="s">
        <v>333</v>
      </c>
      <c r="D167" s="3" t="s">
        <v>334</v>
      </c>
      <c r="E167" s="3" t="s">
        <v>298</v>
      </c>
      <c r="F167" s="3">
        <v>16305</v>
      </c>
      <c r="G167" s="3">
        <v>16</v>
      </c>
      <c r="H167" s="3">
        <v>0.58399999999999996</v>
      </c>
      <c r="I167" s="4">
        <v>15099</v>
      </c>
      <c r="J167" s="4">
        <v>12487</v>
      </c>
      <c r="K167" s="4">
        <v>12414</v>
      </c>
      <c r="L167" s="4">
        <v>2612</v>
      </c>
      <c r="M167" s="4">
        <v>530</v>
      </c>
      <c r="N167" s="18">
        <v>0</v>
      </c>
      <c r="O167" s="18">
        <v>433</v>
      </c>
      <c r="P167" s="18">
        <v>0</v>
      </c>
      <c r="Q167" s="18">
        <v>0</v>
      </c>
      <c r="R167" s="18">
        <v>95</v>
      </c>
      <c r="S167" s="18">
        <v>2</v>
      </c>
      <c r="T167" s="18">
        <v>530</v>
      </c>
      <c r="U167" s="18" t="b">
        <v>1</v>
      </c>
      <c r="V167" s="4">
        <v>470</v>
      </c>
      <c r="W167" s="4">
        <v>470</v>
      </c>
      <c r="X167" s="3" t="b">
        <v>1</v>
      </c>
      <c r="Y167" s="18">
        <v>5</v>
      </c>
      <c r="Z167" s="18">
        <v>396</v>
      </c>
      <c r="AA167" s="18">
        <v>0</v>
      </c>
      <c r="AB167" s="18">
        <v>0</v>
      </c>
      <c r="AC167" s="18">
        <v>67</v>
      </c>
      <c r="AD167" s="18">
        <v>2</v>
      </c>
      <c r="AE167" s="18">
        <v>470</v>
      </c>
      <c r="AF167" s="4">
        <v>60</v>
      </c>
      <c r="AG167" s="5">
        <v>0.11320754716981132</v>
      </c>
      <c r="AH167" s="18">
        <f t="shared" si="2"/>
        <v>37</v>
      </c>
      <c r="AI167" s="6">
        <v>3.5101662361745813E-2</v>
      </c>
      <c r="AJ167" s="3">
        <v>3.5000000000000003E-2</v>
      </c>
      <c r="AK167" s="6">
        <v>0.36824758383453404</v>
      </c>
      <c r="AL167" s="25">
        <v>0.36799999999999999</v>
      </c>
      <c r="AM167" s="6">
        <v>4.2444141907583888E-2</v>
      </c>
      <c r="AN167" s="3">
        <v>4.2000000000000003E-2</v>
      </c>
      <c r="AO167" s="6">
        <v>0.37537192381732365</v>
      </c>
      <c r="AP167" s="6">
        <v>3.7860480103109391E-2</v>
      </c>
      <c r="AQ167" s="6">
        <v>3.7999999999999999E-2</v>
      </c>
      <c r="AR167" s="6">
        <v>0.38046283929176744</v>
      </c>
      <c r="AS167" s="6">
        <v>0.38100000000000001</v>
      </c>
      <c r="AT167" s="6">
        <v>-2.7588177413635784E-3</v>
      </c>
      <c r="AU167" s="6">
        <v>-1.2215255457233398E-2</v>
      </c>
      <c r="AV167" s="6">
        <v>4.5836618044744967E-3</v>
      </c>
      <c r="AW167" s="6">
        <v>-5.0909154744437912E-3</v>
      </c>
      <c r="AX167" s="7">
        <v>321</v>
      </c>
      <c r="AY167" s="7">
        <v>309</v>
      </c>
      <c r="AZ167" s="7">
        <v>304</v>
      </c>
      <c r="BA167" s="26">
        <v>-17</v>
      </c>
      <c r="BB167" s="26">
        <v>-5</v>
      </c>
      <c r="BC167" s="6">
        <v>3.1127889264189683E-2</v>
      </c>
      <c r="BD167" s="6">
        <v>3.1E-2</v>
      </c>
      <c r="BE167" s="11">
        <v>0.37248929150069515</v>
      </c>
      <c r="BF167" s="7">
        <v>320</v>
      </c>
      <c r="BG167" s="26">
        <v>-16</v>
      </c>
      <c r="BH167" s="7">
        <v>-1</v>
      </c>
    </row>
    <row r="168" spans="2:60" x14ac:dyDescent="0.25">
      <c r="B168" s="3">
        <v>165</v>
      </c>
      <c r="C168" s="3" t="s">
        <v>335</v>
      </c>
      <c r="D168" s="3" t="s">
        <v>336</v>
      </c>
      <c r="E168" s="3" t="s">
        <v>298</v>
      </c>
      <c r="F168" s="3">
        <v>16207</v>
      </c>
      <c r="G168" s="3">
        <v>16</v>
      </c>
      <c r="H168" s="3">
        <v>0.35</v>
      </c>
      <c r="I168" s="4">
        <v>6124</v>
      </c>
      <c r="J168" s="4">
        <v>5766</v>
      </c>
      <c r="K168" s="4">
        <v>5752</v>
      </c>
      <c r="L168" s="4">
        <v>358</v>
      </c>
      <c r="M168" s="4">
        <v>397</v>
      </c>
      <c r="N168" s="18">
        <v>0</v>
      </c>
      <c r="O168" s="18">
        <v>353</v>
      </c>
      <c r="P168" s="18">
        <v>0</v>
      </c>
      <c r="Q168" s="18">
        <v>0</v>
      </c>
      <c r="R168" s="18">
        <v>44</v>
      </c>
      <c r="S168" s="18">
        <v>0</v>
      </c>
      <c r="T168" s="18">
        <v>397</v>
      </c>
      <c r="U168" s="18" t="b">
        <v>1</v>
      </c>
      <c r="V168" s="4">
        <v>385</v>
      </c>
      <c r="W168" s="4">
        <v>385</v>
      </c>
      <c r="X168" s="3" t="b">
        <v>1</v>
      </c>
      <c r="Y168" s="18">
        <v>0</v>
      </c>
      <c r="Z168" s="18">
        <v>335</v>
      </c>
      <c r="AA168" s="18">
        <v>0</v>
      </c>
      <c r="AB168" s="18">
        <v>1</v>
      </c>
      <c r="AC168" s="18">
        <v>49</v>
      </c>
      <c r="AD168" s="18">
        <v>0</v>
      </c>
      <c r="AE168" s="18">
        <v>385</v>
      </c>
      <c r="AF168" s="4">
        <v>12</v>
      </c>
      <c r="AG168" s="5">
        <v>3.0226700251889168E-2</v>
      </c>
      <c r="AH168" s="18">
        <f t="shared" si="2"/>
        <v>18</v>
      </c>
      <c r="AI168" s="6">
        <v>6.4826910516002617E-2</v>
      </c>
      <c r="AJ168" s="3">
        <v>6.5000000000000002E-2</v>
      </c>
      <c r="AK168" s="6">
        <v>0.39888520587945048</v>
      </c>
      <c r="AL168" s="25">
        <v>0.39900000000000002</v>
      </c>
      <c r="AM168" s="6">
        <v>6.885189039195283E-2</v>
      </c>
      <c r="AN168" s="3">
        <v>6.9000000000000006E-2</v>
      </c>
      <c r="AO168" s="6">
        <v>0.40537112628109206</v>
      </c>
      <c r="AP168" s="6">
        <v>6.6933240611961056E-2</v>
      </c>
      <c r="AQ168" s="6">
        <v>6.7000000000000004E-2</v>
      </c>
      <c r="AR168" s="6">
        <v>0.4141057168455205</v>
      </c>
      <c r="AS168" s="6">
        <v>0.41399999999999998</v>
      </c>
      <c r="AT168" s="6">
        <v>-2.1063300959584391E-3</v>
      </c>
      <c r="AU168" s="6">
        <v>-1.5220510966070022E-2</v>
      </c>
      <c r="AV168" s="6">
        <v>1.918649779991774E-3</v>
      </c>
      <c r="AW168" s="6">
        <v>-8.734590564428435E-3</v>
      </c>
      <c r="AX168" s="7">
        <v>288</v>
      </c>
      <c r="AY168" s="26">
        <v>276</v>
      </c>
      <c r="AZ168" s="7">
        <v>261</v>
      </c>
      <c r="BA168" s="26">
        <v>-27</v>
      </c>
      <c r="BB168" s="26">
        <v>-15</v>
      </c>
      <c r="BC168" s="6">
        <v>6.2867406923579366E-2</v>
      </c>
      <c r="BD168" s="6">
        <v>6.3E-2</v>
      </c>
      <c r="BE168" s="11">
        <v>0.40658623740414906</v>
      </c>
      <c r="BF168" s="26">
        <v>267</v>
      </c>
      <c r="BG168" s="26">
        <v>-6</v>
      </c>
      <c r="BH168" s="7">
        <v>-21</v>
      </c>
    </row>
    <row r="169" spans="2:60" x14ac:dyDescent="0.25">
      <c r="B169" s="3">
        <v>166</v>
      </c>
      <c r="C169" s="3" t="s">
        <v>337</v>
      </c>
      <c r="D169" s="3" t="s">
        <v>338</v>
      </c>
      <c r="E169" s="3" t="s">
        <v>298</v>
      </c>
      <c r="F169" s="3">
        <v>16109</v>
      </c>
      <c r="G169" s="3">
        <v>16</v>
      </c>
      <c r="H169" s="3">
        <v>0.43</v>
      </c>
      <c r="I169" s="4">
        <v>18680</v>
      </c>
      <c r="J169" s="4">
        <v>18835</v>
      </c>
      <c r="K169" s="4">
        <v>18784</v>
      </c>
      <c r="L169" s="4">
        <v>-155</v>
      </c>
      <c r="M169" s="4">
        <v>2782</v>
      </c>
      <c r="N169" s="18">
        <v>12</v>
      </c>
      <c r="O169" s="18">
        <v>2591</v>
      </c>
      <c r="P169" s="18">
        <v>10</v>
      </c>
      <c r="Q169" s="18">
        <v>0</v>
      </c>
      <c r="R169" s="18">
        <v>169</v>
      </c>
      <c r="S169" s="18">
        <v>0</v>
      </c>
      <c r="T169" s="18">
        <v>2782</v>
      </c>
      <c r="U169" s="18" t="b">
        <v>1</v>
      </c>
      <c r="V169" s="4">
        <v>2708</v>
      </c>
      <c r="W169" s="4">
        <v>2708</v>
      </c>
      <c r="X169" s="3" t="b">
        <v>1</v>
      </c>
      <c r="Y169" s="18">
        <v>90</v>
      </c>
      <c r="Z169" s="18">
        <v>2414</v>
      </c>
      <c r="AA169" s="18">
        <v>92</v>
      </c>
      <c r="AB169" s="18">
        <v>1</v>
      </c>
      <c r="AC169" s="18">
        <v>111</v>
      </c>
      <c r="AD169" s="18">
        <v>0</v>
      </c>
      <c r="AE169" s="18">
        <v>2708</v>
      </c>
      <c r="AF169" s="4">
        <v>74</v>
      </c>
      <c r="AG169" s="5">
        <v>2.6599568655643422E-2</v>
      </c>
      <c r="AH169" s="18">
        <f t="shared" si="2"/>
        <v>177</v>
      </c>
      <c r="AI169" s="6">
        <v>0.14892933618843682</v>
      </c>
      <c r="AJ169" s="3">
        <v>0.14899999999999999</v>
      </c>
      <c r="AK169" s="6">
        <v>0.48556903497453979</v>
      </c>
      <c r="AL169" s="25">
        <v>0.48599999999999999</v>
      </c>
      <c r="AM169" s="6">
        <v>0.14770374303159012</v>
      </c>
      <c r="AN169" s="3">
        <v>0.14799999999999999</v>
      </c>
      <c r="AO169" s="6">
        <v>0.49494683143368667</v>
      </c>
      <c r="AP169" s="6">
        <v>0.14416524701873934</v>
      </c>
      <c r="AQ169" s="6">
        <v>0.14399999999999999</v>
      </c>
      <c r="AR169" s="6">
        <v>0.50343335724686489</v>
      </c>
      <c r="AS169" s="6">
        <v>0.504</v>
      </c>
      <c r="AT169" s="6">
        <v>4.7640891696974774E-3</v>
      </c>
      <c r="AU169" s="6">
        <v>-1.7864322272325095E-2</v>
      </c>
      <c r="AV169" s="6">
        <v>3.5384960128507781E-3</v>
      </c>
      <c r="AW169" s="6">
        <v>-8.486525813178214E-3</v>
      </c>
      <c r="AX169" s="7">
        <v>183</v>
      </c>
      <c r="AY169" s="7">
        <v>172</v>
      </c>
      <c r="AZ169" s="7">
        <v>154</v>
      </c>
      <c r="BA169" s="26">
        <v>-29</v>
      </c>
      <c r="BB169" s="26">
        <v>-18</v>
      </c>
      <c r="BC169" s="6">
        <v>0.14496788008565312</v>
      </c>
      <c r="BD169" s="6">
        <v>0.14499999999999999</v>
      </c>
      <c r="BE169" s="11">
        <v>0.49478466001713561</v>
      </c>
      <c r="BF169" s="7">
        <v>166</v>
      </c>
      <c r="BG169" s="26">
        <v>-12</v>
      </c>
      <c r="BH169" s="7">
        <v>-17</v>
      </c>
    </row>
    <row r="170" spans="2:60" x14ac:dyDescent="0.25">
      <c r="B170" s="3">
        <v>167</v>
      </c>
      <c r="C170" s="3" t="s">
        <v>339</v>
      </c>
      <c r="D170" s="3" t="s">
        <v>340</v>
      </c>
      <c r="E170" s="3" t="s">
        <v>341</v>
      </c>
      <c r="F170" s="3">
        <v>8314</v>
      </c>
      <c r="G170" s="3">
        <v>8</v>
      </c>
      <c r="H170" s="3">
        <v>0.36699999999999999</v>
      </c>
      <c r="I170" s="4">
        <v>6016</v>
      </c>
      <c r="J170" s="4">
        <v>6804</v>
      </c>
      <c r="K170" s="4">
        <v>6803</v>
      </c>
      <c r="L170" s="4">
        <v>-788</v>
      </c>
      <c r="M170" s="4">
        <v>175</v>
      </c>
      <c r="N170" s="18">
        <v>11</v>
      </c>
      <c r="O170" s="18">
        <v>0</v>
      </c>
      <c r="P170" s="18">
        <v>0</v>
      </c>
      <c r="Q170" s="18">
        <v>0</v>
      </c>
      <c r="R170" s="18">
        <v>164</v>
      </c>
      <c r="S170" s="18">
        <v>0</v>
      </c>
      <c r="T170" s="18">
        <v>175</v>
      </c>
      <c r="U170" s="18" t="b">
        <v>1</v>
      </c>
      <c r="V170" s="4">
        <v>166</v>
      </c>
      <c r="W170" s="4">
        <v>166</v>
      </c>
      <c r="X170" s="3" t="b">
        <v>1</v>
      </c>
      <c r="Y170" s="18">
        <v>14</v>
      </c>
      <c r="Z170" s="18">
        <v>0</v>
      </c>
      <c r="AA170" s="18">
        <v>0</v>
      </c>
      <c r="AB170" s="18">
        <v>0</v>
      </c>
      <c r="AC170" s="18">
        <v>152</v>
      </c>
      <c r="AD170" s="18">
        <v>0</v>
      </c>
      <c r="AE170" s="18">
        <v>166</v>
      </c>
      <c r="AF170" s="4">
        <v>9</v>
      </c>
      <c r="AG170" s="5">
        <v>5.1428571428571428E-2</v>
      </c>
      <c r="AH170" s="18">
        <f t="shared" si="2"/>
        <v>0</v>
      </c>
      <c r="AI170" s="6">
        <v>2.9089095744680851E-2</v>
      </c>
      <c r="AJ170" s="3">
        <v>2.9000000000000001E-2</v>
      </c>
      <c r="AK170" s="6">
        <v>0.36205047010220887</v>
      </c>
      <c r="AL170" s="25">
        <v>0.36199999999999999</v>
      </c>
      <c r="AM170" s="6">
        <v>2.5720164609053499E-2</v>
      </c>
      <c r="AN170" s="3">
        <v>2.5999999999999999E-2</v>
      </c>
      <c r="AO170" s="6">
        <v>0.35637348548870029</v>
      </c>
      <c r="AP170" s="6">
        <v>2.4400999559018081E-2</v>
      </c>
      <c r="AQ170" s="6">
        <v>2.4E-2</v>
      </c>
      <c r="AR170" s="6">
        <v>0.36422145012788665</v>
      </c>
      <c r="AS170" s="6">
        <v>0.36499999999999999</v>
      </c>
      <c r="AT170" s="6">
        <v>4.6880961856627691E-3</v>
      </c>
      <c r="AU170" s="6">
        <v>-2.1709800256777823E-3</v>
      </c>
      <c r="AV170" s="6">
        <v>1.3191650500354174E-3</v>
      </c>
      <c r="AW170" s="6">
        <v>-7.8479646391863556E-3</v>
      </c>
      <c r="AX170" s="7">
        <v>328</v>
      </c>
      <c r="AY170" s="26">
        <v>330</v>
      </c>
      <c r="AZ170" s="7">
        <v>326</v>
      </c>
      <c r="BA170" s="26">
        <v>-2</v>
      </c>
      <c r="BB170" s="26">
        <v>-4</v>
      </c>
      <c r="BC170" s="6">
        <v>2.7593085106382979E-2</v>
      </c>
      <c r="BD170" s="6">
        <v>2.8000000000000001E-2</v>
      </c>
      <c r="BE170" s="11">
        <v>0.36869194248482617</v>
      </c>
      <c r="BF170" s="26">
        <v>323</v>
      </c>
      <c r="BG170" s="26">
        <v>3</v>
      </c>
      <c r="BH170" s="7">
        <v>-5</v>
      </c>
    </row>
    <row r="171" spans="2:60" x14ac:dyDescent="0.25">
      <c r="B171" s="3">
        <v>168</v>
      </c>
      <c r="C171" s="3" t="s">
        <v>342</v>
      </c>
      <c r="D171" s="3" t="s">
        <v>343</v>
      </c>
      <c r="E171" s="3" t="s">
        <v>341</v>
      </c>
      <c r="F171" s="3">
        <v>8302</v>
      </c>
      <c r="G171" s="3">
        <v>8</v>
      </c>
      <c r="H171" s="3">
        <v>0.50700000000000001</v>
      </c>
      <c r="I171" s="4">
        <v>4373</v>
      </c>
      <c r="J171" s="4">
        <v>4325</v>
      </c>
      <c r="K171" s="4">
        <v>4322</v>
      </c>
      <c r="L171" s="4">
        <v>48</v>
      </c>
      <c r="M171" s="4">
        <v>129</v>
      </c>
      <c r="N171" s="18">
        <v>36</v>
      </c>
      <c r="O171" s="18">
        <v>0</v>
      </c>
      <c r="P171" s="18">
        <v>0</v>
      </c>
      <c r="Q171" s="18">
        <v>0</v>
      </c>
      <c r="R171" s="18">
        <v>93</v>
      </c>
      <c r="S171" s="18">
        <v>0</v>
      </c>
      <c r="T171" s="18">
        <v>129</v>
      </c>
      <c r="U171" s="18" t="b">
        <v>1</v>
      </c>
      <c r="V171" s="4">
        <v>80</v>
      </c>
      <c r="W171" s="4">
        <v>80</v>
      </c>
      <c r="X171" s="3" t="b">
        <v>1</v>
      </c>
      <c r="Y171" s="18">
        <v>39</v>
      </c>
      <c r="Z171" s="18">
        <v>0</v>
      </c>
      <c r="AA171" s="18">
        <v>0</v>
      </c>
      <c r="AB171" s="18">
        <v>0</v>
      </c>
      <c r="AC171" s="18">
        <v>41</v>
      </c>
      <c r="AD171" s="18">
        <v>0</v>
      </c>
      <c r="AE171" s="18">
        <v>80</v>
      </c>
      <c r="AF171" s="4">
        <v>49</v>
      </c>
      <c r="AG171" s="5">
        <v>0.37984496124031009</v>
      </c>
      <c r="AH171" s="18">
        <f t="shared" si="2"/>
        <v>0</v>
      </c>
      <c r="AI171" s="6">
        <v>2.9499199634118452E-2</v>
      </c>
      <c r="AJ171" s="3">
        <v>2.9000000000000001E-2</v>
      </c>
      <c r="AK171" s="6">
        <v>0.36247316154278275</v>
      </c>
      <c r="AL171" s="25">
        <v>0.36199999999999999</v>
      </c>
      <c r="AM171" s="6">
        <v>2.9826589595375722E-2</v>
      </c>
      <c r="AN171" s="3">
        <v>0.03</v>
      </c>
      <c r="AO171" s="6">
        <v>0.36103838430201163</v>
      </c>
      <c r="AP171" s="6">
        <v>1.8509949097639981E-2</v>
      </c>
      <c r="AQ171" s="6">
        <v>1.9E-2</v>
      </c>
      <c r="AR171" s="6">
        <v>0.35842095399792923</v>
      </c>
      <c r="AS171" s="6">
        <v>0.35799999999999998</v>
      </c>
      <c r="AT171" s="6">
        <v>1.0989250536478472E-2</v>
      </c>
      <c r="AU171" s="6">
        <v>4.0522075448535255E-3</v>
      </c>
      <c r="AV171" s="6">
        <v>1.1316640497735741E-2</v>
      </c>
      <c r="AW171" s="6">
        <v>2.6174303040824021E-3</v>
      </c>
      <c r="AX171" s="7">
        <v>326</v>
      </c>
      <c r="AY171" s="7">
        <v>323</v>
      </c>
      <c r="AZ171" s="7">
        <v>333</v>
      </c>
      <c r="BA171" s="26">
        <v>7</v>
      </c>
      <c r="BB171" s="26">
        <v>10</v>
      </c>
      <c r="BC171" s="6">
        <v>1.8294077292476559E-2</v>
      </c>
      <c r="BD171" s="6">
        <v>1.7999999999999999E-2</v>
      </c>
      <c r="BE171" s="11">
        <v>0.35870225802304101</v>
      </c>
      <c r="BF171" s="7">
        <v>334</v>
      </c>
      <c r="BG171" s="26">
        <v>-1</v>
      </c>
      <c r="BH171" s="7">
        <v>8</v>
      </c>
    </row>
    <row r="172" spans="2:60" x14ac:dyDescent="0.25">
      <c r="B172" s="3">
        <v>169</v>
      </c>
      <c r="C172" s="3" t="s">
        <v>344</v>
      </c>
      <c r="D172" s="3" t="s">
        <v>345</v>
      </c>
      <c r="E172" s="3" t="s">
        <v>341</v>
      </c>
      <c r="F172" s="3">
        <v>8202</v>
      </c>
      <c r="G172" s="3">
        <v>8</v>
      </c>
      <c r="H172" s="3">
        <v>0.499</v>
      </c>
      <c r="I172" s="4">
        <v>37163</v>
      </c>
      <c r="J172" s="4">
        <v>38941</v>
      </c>
      <c r="K172" s="4">
        <v>38890</v>
      </c>
      <c r="L172" s="4">
        <v>-1778</v>
      </c>
      <c r="M172" s="4">
        <v>8050</v>
      </c>
      <c r="N172" s="18">
        <v>0</v>
      </c>
      <c r="O172" s="18">
        <v>7815</v>
      </c>
      <c r="P172" s="18">
        <v>0</v>
      </c>
      <c r="Q172" s="18">
        <v>0</v>
      </c>
      <c r="R172" s="18">
        <v>235</v>
      </c>
      <c r="S172" s="18">
        <v>0</v>
      </c>
      <c r="T172" s="18">
        <v>8050</v>
      </c>
      <c r="U172" s="18" t="b">
        <v>1</v>
      </c>
      <c r="V172" s="4">
        <v>7588</v>
      </c>
      <c r="W172" s="4">
        <v>7588</v>
      </c>
      <c r="X172" s="3" t="b">
        <v>1</v>
      </c>
      <c r="Y172" s="18">
        <v>3</v>
      </c>
      <c r="Z172" s="18">
        <v>7388</v>
      </c>
      <c r="AA172" s="18">
        <v>0</v>
      </c>
      <c r="AB172" s="18">
        <v>0</v>
      </c>
      <c r="AC172" s="18">
        <v>197</v>
      </c>
      <c r="AD172" s="18">
        <v>0</v>
      </c>
      <c r="AE172" s="18">
        <v>7588</v>
      </c>
      <c r="AF172" s="4">
        <v>462</v>
      </c>
      <c r="AG172" s="5">
        <v>5.7391304347826085E-2</v>
      </c>
      <c r="AH172" s="18">
        <f t="shared" si="2"/>
        <v>427</v>
      </c>
      <c r="AI172" s="6">
        <v>0.21661329817291392</v>
      </c>
      <c r="AJ172" s="3">
        <v>0.217</v>
      </c>
      <c r="AK172" s="6">
        <v>0.55533045916927581</v>
      </c>
      <c r="AL172" s="25">
        <v>0.55500000000000005</v>
      </c>
      <c r="AM172" s="6">
        <v>0.20672299119180298</v>
      </c>
      <c r="AN172" s="3">
        <v>0.20699999999999999</v>
      </c>
      <c r="AO172" s="6">
        <v>0.56199269775832295</v>
      </c>
      <c r="AP172" s="6">
        <v>0.19511442530213421</v>
      </c>
      <c r="AQ172" s="6">
        <v>0.19500000000000001</v>
      </c>
      <c r="AR172" s="6">
        <v>0.56259841777243058</v>
      </c>
      <c r="AS172" s="6">
        <v>0.56299999999999994</v>
      </c>
      <c r="AT172" s="6">
        <v>2.1498872870779701E-2</v>
      </c>
      <c r="AU172" s="6">
        <v>-7.2679586031547672E-3</v>
      </c>
      <c r="AV172" s="6">
        <v>1.160856588966877E-2</v>
      </c>
      <c r="AW172" s="6">
        <v>-6.0572001410763576E-4</v>
      </c>
      <c r="AX172" s="7">
        <v>105</v>
      </c>
      <c r="AY172" s="26">
        <v>104</v>
      </c>
      <c r="AZ172" s="7">
        <v>99</v>
      </c>
      <c r="BA172" s="26">
        <v>-6</v>
      </c>
      <c r="BB172" s="26">
        <v>-5</v>
      </c>
      <c r="BC172" s="6">
        <v>0.20418157845168583</v>
      </c>
      <c r="BD172" s="6">
        <v>0.20399999999999999</v>
      </c>
      <c r="BE172" s="11">
        <v>0.55839641025218556</v>
      </c>
      <c r="BF172" s="26">
        <v>103</v>
      </c>
      <c r="BG172" s="26">
        <v>-4</v>
      </c>
      <c r="BH172" s="7">
        <v>-2</v>
      </c>
    </row>
    <row r="173" spans="2:60" x14ac:dyDescent="0.25">
      <c r="B173" s="3">
        <v>170</v>
      </c>
      <c r="C173" s="3" t="s">
        <v>346</v>
      </c>
      <c r="D173" s="3" t="s">
        <v>347</v>
      </c>
      <c r="E173" s="3" t="s">
        <v>341</v>
      </c>
      <c r="F173" s="3">
        <v>8303</v>
      </c>
      <c r="G173" s="3">
        <v>8</v>
      </c>
      <c r="H173" s="3">
        <v>0.44600000000000001</v>
      </c>
      <c r="I173" s="4">
        <v>31256</v>
      </c>
      <c r="J173" s="4">
        <v>31102</v>
      </c>
      <c r="K173" s="4">
        <v>31023</v>
      </c>
      <c r="L173" s="4">
        <v>154</v>
      </c>
      <c r="M173" s="4">
        <v>5229</v>
      </c>
      <c r="N173" s="18">
        <v>0</v>
      </c>
      <c r="O173" s="18">
        <v>4826</v>
      </c>
      <c r="P173" s="18">
        <v>17</v>
      </c>
      <c r="Q173" s="18">
        <v>0</v>
      </c>
      <c r="R173" s="18">
        <v>386</v>
      </c>
      <c r="S173" s="18">
        <v>0</v>
      </c>
      <c r="T173" s="18">
        <v>5229</v>
      </c>
      <c r="U173" s="18" t="b">
        <v>1</v>
      </c>
      <c r="V173" s="4">
        <v>4987</v>
      </c>
      <c r="W173" s="4">
        <v>4987</v>
      </c>
      <c r="X173" s="3" t="b">
        <v>1</v>
      </c>
      <c r="Y173" s="18">
        <v>39</v>
      </c>
      <c r="Z173" s="18">
        <v>4634</v>
      </c>
      <c r="AA173" s="18">
        <v>38</v>
      </c>
      <c r="AB173" s="18">
        <v>0</v>
      </c>
      <c r="AC173" s="18">
        <v>276</v>
      </c>
      <c r="AD173" s="18">
        <v>0</v>
      </c>
      <c r="AE173" s="18">
        <v>4987</v>
      </c>
      <c r="AF173" s="4">
        <v>242</v>
      </c>
      <c r="AG173" s="5">
        <v>4.6280359533371583E-2</v>
      </c>
      <c r="AH173" s="18">
        <f t="shared" si="2"/>
        <v>192</v>
      </c>
      <c r="AI173" s="6">
        <v>0.16729587919119529</v>
      </c>
      <c r="AJ173" s="3">
        <v>0.16700000000000001</v>
      </c>
      <c r="AK173" s="6">
        <v>0.50449931269232684</v>
      </c>
      <c r="AL173" s="25">
        <v>0.504</v>
      </c>
      <c r="AM173" s="6">
        <v>0.16812423638351232</v>
      </c>
      <c r="AN173" s="3">
        <v>0.16800000000000001</v>
      </c>
      <c r="AO173" s="6">
        <v>0.51814451202493261</v>
      </c>
      <c r="AP173" s="6">
        <v>0.16075170035135222</v>
      </c>
      <c r="AQ173" s="6">
        <v>0.161</v>
      </c>
      <c r="AR173" s="6">
        <v>0.52315504408872016</v>
      </c>
      <c r="AS173" s="6">
        <v>0.52300000000000002</v>
      </c>
      <c r="AT173" s="6">
        <v>6.5441788398430678E-3</v>
      </c>
      <c r="AU173" s="6">
        <v>-1.8655731396393316E-2</v>
      </c>
      <c r="AV173" s="6">
        <v>7.372536032160093E-3</v>
      </c>
      <c r="AW173" s="6">
        <v>-5.0105320637875428E-3</v>
      </c>
      <c r="AX173" s="7">
        <v>157</v>
      </c>
      <c r="AY173" s="7">
        <v>141</v>
      </c>
      <c r="AZ173" s="7">
        <v>134</v>
      </c>
      <c r="BA173" s="26">
        <v>-23</v>
      </c>
      <c r="BB173" s="26">
        <v>-7</v>
      </c>
      <c r="BC173" s="6">
        <v>0.15955336575377527</v>
      </c>
      <c r="BD173" s="6">
        <v>0.16</v>
      </c>
      <c r="BE173" s="11">
        <v>0.51045347140672637</v>
      </c>
      <c r="BF173" s="7">
        <v>146</v>
      </c>
      <c r="BG173" s="26">
        <v>-12</v>
      </c>
      <c r="BH173" s="7">
        <v>-11</v>
      </c>
    </row>
    <row r="174" spans="2:60" x14ac:dyDescent="0.25">
      <c r="B174" s="3">
        <v>171</v>
      </c>
      <c r="C174" s="3" t="s">
        <v>348</v>
      </c>
      <c r="D174" s="3" t="s">
        <v>349</v>
      </c>
      <c r="E174" s="3" t="s">
        <v>341</v>
      </c>
      <c r="F174" s="3">
        <v>8203</v>
      </c>
      <c r="G174" s="3">
        <v>8</v>
      </c>
      <c r="H174" s="3">
        <v>0.54300000000000004</v>
      </c>
      <c r="I174" s="4">
        <v>34640</v>
      </c>
      <c r="J174" s="4">
        <v>37443</v>
      </c>
      <c r="K174" s="4">
        <v>37349</v>
      </c>
      <c r="L174" s="4">
        <v>-2803</v>
      </c>
      <c r="M174" s="4">
        <v>5011</v>
      </c>
      <c r="N174" s="18">
        <v>0</v>
      </c>
      <c r="O174" s="18">
        <v>4643</v>
      </c>
      <c r="P174" s="18">
        <v>0</v>
      </c>
      <c r="Q174" s="18">
        <v>0</v>
      </c>
      <c r="R174" s="18">
        <v>368</v>
      </c>
      <c r="S174" s="18">
        <v>0</v>
      </c>
      <c r="T174" s="18">
        <v>5011</v>
      </c>
      <c r="U174" s="18" t="b">
        <v>1</v>
      </c>
      <c r="V174" s="4">
        <v>4844</v>
      </c>
      <c r="W174" s="4">
        <v>4844</v>
      </c>
      <c r="X174" s="3" t="b">
        <v>1</v>
      </c>
      <c r="Y174" s="18">
        <v>41</v>
      </c>
      <c r="Z174" s="18">
        <v>4553</v>
      </c>
      <c r="AA174" s="18">
        <v>0</v>
      </c>
      <c r="AB174" s="18">
        <v>0</v>
      </c>
      <c r="AC174" s="18">
        <v>250</v>
      </c>
      <c r="AD174" s="18">
        <v>0</v>
      </c>
      <c r="AE174" s="18">
        <v>4844</v>
      </c>
      <c r="AF174" s="4">
        <v>167</v>
      </c>
      <c r="AG174" s="5">
        <v>3.3326681301137501E-2</v>
      </c>
      <c r="AH174" s="18">
        <f t="shared" si="2"/>
        <v>90</v>
      </c>
      <c r="AI174" s="6">
        <v>0.14465935334872979</v>
      </c>
      <c r="AJ174" s="3">
        <v>0.14499999999999999</v>
      </c>
      <c r="AK174" s="6">
        <v>0.48116799113119385</v>
      </c>
      <c r="AL174" s="25">
        <v>0.48099999999999998</v>
      </c>
      <c r="AM174" s="6">
        <v>0.13383008840103625</v>
      </c>
      <c r="AN174" s="3">
        <v>0.13400000000000001</v>
      </c>
      <c r="AO174" s="6">
        <v>0.47918635967590933</v>
      </c>
      <c r="AP174" s="6">
        <v>0.12969557417869287</v>
      </c>
      <c r="AQ174" s="6">
        <v>0.13</v>
      </c>
      <c r="AR174" s="6">
        <v>0.48719196808298409</v>
      </c>
      <c r="AS174" s="6">
        <v>0.48699999999999999</v>
      </c>
      <c r="AT174" s="6">
        <v>1.4963779170036912E-2</v>
      </c>
      <c r="AU174" s="6">
        <v>-6.0239769517902442E-3</v>
      </c>
      <c r="AV174" s="6">
        <v>4.1345142223433717E-3</v>
      </c>
      <c r="AW174" s="6">
        <v>-8.0056084070747602E-3</v>
      </c>
      <c r="AX174" s="7">
        <v>186</v>
      </c>
      <c r="AY174" s="26">
        <v>189</v>
      </c>
      <c r="AZ174" s="7">
        <v>179</v>
      </c>
      <c r="BA174" s="26">
        <v>-7</v>
      </c>
      <c r="BB174" s="26">
        <v>-10</v>
      </c>
      <c r="BC174" s="6">
        <v>0.13983833718244804</v>
      </c>
      <c r="BD174" s="6">
        <v>0.14000000000000001</v>
      </c>
      <c r="BE174" s="11">
        <v>0.48927412426303324</v>
      </c>
      <c r="BF174" s="26">
        <v>173</v>
      </c>
      <c r="BG174" s="26">
        <v>6</v>
      </c>
      <c r="BH174" s="7">
        <v>-13</v>
      </c>
    </row>
    <row r="175" spans="2:60" x14ac:dyDescent="0.25">
      <c r="B175" s="3">
        <v>172</v>
      </c>
      <c r="C175" s="3" t="s">
        <v>350</v>
      </c>
      <c r="D175" s="3" t="s">
        <v>351</v>
      </c>
      <c r="E175" s="3" t="s">
        <v>341</v>
      </c>
      <c r="F175" s="3">
        <v>8103</v>
      </c>
      <c r="G175" s="3">
        <v>8</v>
      </c>
      <c r="H175" s="3">
        <v>0.60699999999999998</v>
      </c>
      <c r="I175" s="4">
        <v>85822</v>
      </c>
      <c r="J175" s="4">
        <v>91963</v>
      </c>
      <c r="K175" s="4">
        <v>91805</v>
      </c>
      <c r="L175" s="4">
        <v>-6141</v>
      </c>
      <c r="M175" s="4">
        <v>26035</v>
      </c>
      <c r="N175" s="18">
        <v>1</v>
      </c>
      <c r="O175" s="18">
        <v>17888</v>
      </c>
      <c r="P175" s="18">
        <v>8013</v>
      </c>
      <c r="Q175" s="18">
        <v>0</v>
      </c>
      <c r="R175" s="18">
        <v>133</v>
      </c>
      <c r="S175" s="18">
        <v>0</v>
      </c>
      <c r="T175" s="18">
        <v>26035</v>
      </c>
      <c r="U175" s="18" t="b">
        <v>1</v>
      </c>
      <c r="V175" s="4">
        <v>25365</v>
      </c>
      <c r="W175" s="4">
        <v>25365</v>
      </c>
      <c r="X175" s="3" t="b">
        <v>1</v>
      </c>
      <c r="Y175" s="18">
        <v>9</v>
      </c>
      <c r="Z175" s="18">
        <v>16648</v>
      </c>
      <c r="AA175" s="18">
        <v>8557</v>
      </c>
      <c r="AB175" s="18">
        <v>0</v>
      </c>
      <c r="AC175" s="18">
        <v>151</v>
      </c>
      <c r="AD175" s="18">
        <v>0</v>
      </c>
      <c r="AE175" s="18">
        <v>25365</v>
      </c>
      <c r="AF175" s="4">
        <v>670</v>
      </c>
      <c r="AG175" s="5">
        <v>2.5734588054541964E-2</v>
      </c>
      <c r="AH175" s="18">
        <f t="shared" si="2"/>
        <v>1240</v>
      </c>
      <c r="AI175" s="6">
        <v>0.30336044370907228</v>
      </c>
      <c r="AJ175" s="3">
        <v>0.30299999999999999</v>
      </c>
      <c r="AK175" s="6">
        <v>0.64474018401396416</v>
      </c>
      <c r="AL175" s="25">
        <v>0.64500000000000002</v>
      </c>
      <c r="AM175" s="6">
        <v>0.28310298707088721</v>
      </c>
      <c r="AN175" s="3">
        <v>0.28299999999999997</v>
      </c>
      <c r="AO175" s="6">
        <v>0.64876037361356353</v>
      </c>
      <c r="AP175" s="6">
        <v>0.27629214095092858</v>
      </c>
      <c r="AQ175" s="6">
        <v>0.27600000000000002</v>
      </c>
      <c r="AR175" s="6">
        <v>0.65656645507774092</v>
      </c>
      <c r="AS175" s="6">
        <v>0.65700000000000003</v>
      </c>
      <c r="AT175" s="6">
        <v>2.7068302758143703E-2</v>
      </c>
      <c r="AU175" s="6">
        <v>-1.1826271063776761E-2</v>
      </c>
      <c r="AV175" s="6">
        <v>6.8108461199586356E-3</v>
      </c>
      <c r="AW175" s="6">
        <v>-7.8060814641773835E-3</v>
      </c>
      <c r="AX175" s="7">
        <v>27</v>
      </c>
      <c r="AY175" s="7">
        <v>25</v>
      </c>
      <c r="AZ175" s="7">
        <v>22</v>
      </c>
      <c r="BA175" s="26">
        <v>-5</v>
      </c>
      <c r="BB175" s="26">
        <v>-3</v>
      </c>
      <c r="BC175" s="6">
        <v>0.29555358765817624</v>
      </c>
      <c r="BD175" s="6">
        <v>0.29599999999999999</v>
      </c>
      <c r="BE175" s="11">
        <v>0.65655500511293385</v>
      </c>
      <c r="BF175" s="7">
        <v>22</v>
      </c>
      <c r="BG175" s="26">
        <v>0</v>
      </c>
      <c r="BH175" s="7">
        <v>-5</v>
      </c>
    </row>
    <row r="176" spans="2:60" x14ac:dyDescent="0.25">
      <c r="B176" s="3">
        <v>173</v>
      </c>
      <c r="C176" s="3" t="s">
        <v>352</v>
      </c>
      <c r="D176" s="3" t="s">
        <v>353</v>
      </c>
      <c r="E176" s="3" t="s">
        <v>341</v>
      </c>
      <c r="F176" s="3">
        <v>8101</v>
      </c>
      <c r="G176" s="3">
        <v>8</v>
      </c>
      <c r="H176" s="3">
        <v>0.627</v>
      </c>
      <c r="I176" s="4">
        <v>230375</v>
      </c>
      <c r="J176" s="4">
        <v>239776</v>
      </c>
      <c r="K176" s="4">
        <v>239443</v>
      </c>
      <c r="L176" s="4">
        <v>-9401</v>
      </c>
      <c r="M176" s="4">
        <v>77298</v>
      </c>
      <c r="N176" s="18">
        <v>129</v>
      </c>
      <c r="O176" s="18">
        <v>50864</v>
      </c>
      <c r="P176" s="18">
        <v>25613</v>
      </c>
      <c r="Q176" s="18">
        <v>0</v>
      </c>
      <c r="R176" s="18">
        <v>692</v>
      </c>
      <c r="S176" s="18">
        <v>0</v>
      </c>
      <c r="T176" s="18">
        <v>77298</v>
      </c>
      <c r="U176" s="18" t="b">
        <v>1</v>
      </c>
      <c r="V176" s="4">
        <v>75118</v>
      </c>
      <c r="W176" s="4">
        <v>75118</v>
      </c>
      <c r="X176" s="3" t="b">
        <v>1</v>
      </c>
      <c r="Y176" s="18">
        <v>444</v>
      </c>
      <c r="Z176" s="18">
        <v>47509</v>
      </c>
      <c r="AA176" s="18">
        <v>26527</v>
      </c>
      <c r="AB176" s="18">
        <v>1</v>
      </c>
      <c r="AC176" s="18">
        <v>637</v>
      </c>
      <c r="AD176" s="18">
        <v>0</v>
      </c>
      <c r="AE176" s="18">
        <v>75118</v>
      </c>
      <c r="AF176" s="4">
        <v>2180</v>
      </c>
      <c r="AG176" s="5">
        <v>2.8202540816062511E-2</v>
      </c>
      <c r="AH176" s="18">
        <f t="shared" si="2"/>
        <v>3355</v>
      </c>
      <c r="AI176" s="6">
        <v>0.33553119913185026</v>
      </c>
      <c r="AJ176" s="3">
        <v>0.33600000000000002</v>
      </c>
      <c r="AK176" s="6">
        <v>0.67789837466817304</v>
      </c>
      <c r="AL176" s="25">
        <v>0.67800000000000005</v>
      </c>
      <c r="AM176" s="6">
        <v>0.32237588415854795</v>
      </c>
      <c r="AN176" s="3">
        <v>0.32200000000000001</v>
      </c>
      <c r="AO176" s="6">
        <v>0.69337438498105441</v>
      </c>
      <c r="AP176" s="6">
        <v>0.31371975793821494</v>
      </c>
      <c r="AQ176" s="6">
        <v>0.314</v>
      </c>
      <c r="AR176" s="6">
        <v>0.70065022566541735</v>
      </c>
      <c r="AS176" s="6">
        <v>0.7</v>
      </c>
      <c r="AT176" s="6">
        <v>2.1811441193635317E-2</v>
      </c>
      <c r="AU176" s="6">
        <v>-2.2751850997244305E-2</v>
      </c>
      <c r="AV176" s="6">
        <v>8.6561262203330158E-3</v>
      </c>
      <c r="AW176" s="6">
        <v>-7.2758406843629331E-3</v>
      </c>
      <c r="AX176" s="7">
        <v>16</v>
      </c>
      <c r="AY176" s="26">
        <v>14</v>
      </c>
      <c r="AZ176" s="7">
        <v>11</v>
      </c>
      <c r="BA176" s="26">
        <v>-5</v>
      </c>
      <c r="BB176" s="26">
        <v>-3</v>
      </c>
      <c r="BC176" s="6">
        <v>0.32606836679327184</v>
      </c>
      <c r="BD176" s="6">
        <v>0.32600000000000001</v>
      </c>
      <c r="BE176" s="11">
        <v>0.68933624598088994</v>
      </c>
      <c r="BF176" s="26">
        <v>13</v>
      </c>
      <c r="BG176" s="26">
        <v>-2</v>
      </c>
      <c r="BH176" s="7">
        <v>-3</v>
      </c>
    </row>
    <row r="177" spans="2:60" x14ac:dyDescent="0.25">
      <c r="B177" s="3">
        <v>174</v>
      </c>
      <c r="C177" s="3" t="s">
        <v>354</v>
      </c>
      <c r="D177" s="3" t="s">
        <v>355</v>
      </c>
      <c r="E177" s="3" t="s">
        <v>341</v>
      </c>
      <c r="F177" s="3">
        <v>8204</v>
      </c>
      <c r="G177" s="3">
        <v>8</v>
      </c>
      <c r="H177" s="3">
        <v>0.52800000000000002</v>
      </c>
      <c r="I177" s="4">
        <v>5905</v>
      </c>
      <c r="J177" s="4">
        <v>6355</v>
      </c>
      <c r="K177" s="4">
        <v>6351</v>
      </c>
      <c r="L177" s="4">
        <v>-450</v>
      </c>
      <c r="M177" s="4">
        <v>1032</v>
      </c>
      <c r="N177" s="18">
        <v>3</v>
      </c>
      <c r="O177" s="18">
        <v>996</v>
      </c>
      <c r="P177" s="18">
        <v>0</v>
      </c>
      <c r="Q177" s="18">
        <v>0</v>
      </c>
      <c r="R177" s="18">
        <v>33</v>
      </c>
      <c r="S177" s="18">
        <v>0</v>
      </c>
      <c r="T177" s="18">
        <v>1032</v>
      </c>
      <c r="U177" s="18" t="b">
        <v>1</v>
      </c>
      <c r="V177" s="4">
        <v>979</v>
      </c>
      <c r="W177" s="4">
        <v>979</v>
      </c>
      <c r="X177" s="3" t="b">
        <v>1</v>
      </c>
      <c r="Y177" s="18">
        <v>7</v>
      </c>
      <c r="Z177" s="18">
        <v>951</v>
      </c>
      <c r="AA177" s="18">
        <v>0</v>
      </c>
      <c r="AB177" s="18">
        <v>0</v>
      </c>
      <c r="AC177" s="18">
        <v>21</v>
      </c>
      <c r="AD177" s="18">
        <v>0</v>
      </c>
      <c r="AE177" s="18">
        <v>979</v>
      </c>
      <c r="AF177" s="4">
        <v>53</v>
      </c>
      <c r="AG177" s="5">
        <v>5.1356589147286823E-2</v>
      </c>
      <c r="AH177" s="18">
        <f t="shared" si="2"/>
        <v>45</v>
      </c>
      <c r="AI177" s="6">
        <v>0.17476714648602878</v>
      </c>
      <c r="AJ177" s="3">
        <v>0.17499999999999999</v>
      </c>
      <c r="AK177" s="6">
        <v>0.5121998998291537</v>
      </c>
      <c r="AL177" s="25">
        <v>0.51200000000000001</v>
      </c>
      <c r="AM177" s="6">
        <v>0.16239181746656176</v>
      </c>
      <c r="AN177" s="3">
        <v>0.16200000000000001</v>
      </c>
      <c r="AO177" s="6">
        <v>0.51163248409500417</v>
      </c>
      <c r="AP177" s="6">
        <v>0.15414895292079989</v>
      </c>
      <c r="AQ177" s="6">
        <v>0.154</v>
      </c>
      <c r="AR177" s="6">
        <v>0.51503434950677973</v>
      </c>
      <c r="AS177" s="6">
        <v>0.51500000000000001</v>
      </c>
      <c r="AT177" s="6">
        <v>2.0618193565228898E-2</v>
      </c>
      <c r="AU177" s="6">
        <v>-2.8344496776260275E-3</v>
      </c>
      <c r="AV177" s="6">
        <v>8.2428645457618688E-3</v>
      </c>
      <c r="AW177" s="6">
        <v>-3.401865411775562E-3</v>
      </c>
      <c r="AX177" s="7">
        <v>143</v>
      </c>
      <c r="AY177" s="7">
        <v>145</v>
      </c>
      <c r="AZ177" s="7">
        <v>144</v>
      </c>
      <c r="BA177" s="26">
        <v>1</v>
      </c>
      <c r="BB177" s="26">
        <v>-1</v>
      </c>
      <c r="BC177" s="6">
        <v>0.16579170194750212</v>
      </c>
      <c r="BD177" s="6">
        <v>0.16600000000000001</v>
      </c>
      <c r="BE177" s="11">
        <v>0.51715515521955957</v>
      </c>
      <c r="BF177" s="7">
        <v>136</v>
      </c>
      <c r="BG177" s="26">
        <v>8</v>
      </c>
      <c r="BH177" s="7">
        <v>-7</v>
      </c>
    </row>
    <row r="178" spans="2:60" x14ac:dyDescent="0.25">
      <c r="B178" s="3">
        <v>175</v>
      </c>
      <c r="C178" s="3" t="s">
        <v>356</v>
      </c>
      <c r="D178" s="3" t="s">
        <v>357</v>
      </c>
      <c r="E178" s="3" t="s">
        <v>341</v>
      </c>
      <c r="F178" s="3">
        <v>8102</v>
      </c>
      <c r="G178" s="3">
        <v>8</v>
      </c>
      <c r="H178" s="3">
        <v>0.55900000000000005</v>
      </c>
      <c r="I178" s="4">
        <v>123648</v>
      </c>
      <c r="J178" s="4">
        <v>128941</v>
      </c>
      <c r="K178" s="4">
        <v>128253</v>
      </c>
      <c r="L178" s="4">
        <v>-5293</v>
      </c>
      <c r="M178" s="4">
        <v>36514</v>
      </c>
      <c r="N178" s="18">
        <v>42</v>
      </c>
      <c r="O178" s="18">
        <v>36143</v>
      </c>
      <c r="P178" s="18">
        <v>0</v>
      </c>
      <c r="Q178" s="18">
        <v>0</v>
      </c>
      <c r="R178" s="18">
        <v>329</v>
      </c>
      <c r="S178" s="18">
        <v>0</v>
      </c>
      <c r="T178" s="18">
        <v>36514</v>
      </c>
      <c r="U178" s="18" t="b">
        <v>1</v>
      </c>
      <c r="V178" s="4">
        <v>35593</v>
      </c>
      <c r="W178" s="4">
        <v>35593</v>
      </c>
      <c r="X178" s="3" t="b">
        <v>1</v>
      </c>
      <c r="Y178" s="18">
        <v>90</v>
      </c>
      <c r="Z178" s="18">
        <v>35035</v>
      </c>
      <c r="AA178" s="18">
        <v>0</v>
      </c>
      <c r="AB178" s="18">
        <v>0</v>
      </c>
      <c r="AC178" s="18">
        <v>468</v>
      </c>
      <c r="AD178" s="18">
        <v>0</v>
      </c>
      <c r="AE178" s="18">
        <v>35593</v>
      </c>
      <c r="AF178" s="4">
        <v>921</v>
      </c>
      <c r="AG178" s="5">
        <v>2.5223202059484032E-2</v>
      </c>
      <c r="AH178" s="18">
        <f t="shared" si="2"/>
        <v>1108</v>
      </c>
      <c r="AI178" s="6">
        <v>0.29530603002070394</v>
      </c>
      <c r="AJ178" s="3">
        <v>0.29499999999999998</v>
      </c>
      <c r="AK178" s="6">
        <v>0.63643855164080287</v>
      </c>
      <c r="AL178" s="25">
        <v>0.63600000000000001</v>
      </c>
      <c r="AM178" s="6">
        <v>0.28318378172962827</v>
      </c>
      <c r="AN178" s="3">
        <v>0.28299999999999997</v>
      </c>
      <c r="AO178" s="6">
        <v>0.64885215634646098</v>
      </c>
      <c r="AP178" s="6">
        <v>0.2775217733698237</v>
      </c>
      <c r="AQ178" s="6">
        <v>0.27800000000000002</v>
      </c>
      <c r="AR178" s="6">
        <v>0.65888665352972398</v>
      </c>
      <c r="AS178" s="6">
        <v>0.65800000000000003</v>
      </c>
      <c r="AT178" s="6">
        <v>1.7784256650880237E-2</v>
      </c>
      <c r="AU178" s="6">
        <v>-2.2448101888921101E-2</v>
      </c>
      <c r="AV178" s="6">
        <v>5.6620083598045712E-3</v>
      </c>
      <c r="AW178" s="6">
        <v>-1.0034497183262991E-2</v>
      </c>
      <c r="AX178" s="7">
        <v>32</v>
      </c>
      <c r="AY178" s="26">
        <v>24</v>
      </c>
      <c r="AZ178" s="7">
        <v>20</v>
      </c>
      <c r="BA178" s="26">
        <v>-12</v>
      </c>
      <c r="BB178" s="26">
        <v>-4</v>
      </c>
      <c r="BC178" s="6">
        <v>0.28785746635610765</v>
      </c>
      <c r="BD178" s="6">
        <v>0.28799999999999998</v>
      </c>
      <c r="BE178" s="11">
        <v>0.64828726032490236</v>
      </c>
      <c r="BF178" s="26">
        <v>27</v>
      </c>
      <c r="BG178" s="26">
        <v>-7</v>
      </c>
      <c r="BH178" s="7">
        <v>-5</v>
      </c>
    </row>
    <row r="179" spans="2:60" x14ac:dyDescent="0.25">
      <c r="B179" s="3">
        <v>176</v>
      </c>
      <c r="C179" s="3" t="s">
        <v>358</v>
      </c>
      <c r="D179" s="3" t="s">
        <v>359</v>
      </c>
      <c r="E179" s="3" t="s">
        <v>341</v>
      </c>
      <c r="F179" s="3">
        <v>8205</v>
      </c>
      <c r="G179" s="3">
        <v>8</v>
      </c>
      <c r="H179" s="3">
        <v>0.55100000000000005</v>
      </c>
      <c r="I179" s="4">
        <v>31119</v>
      </c>
      <c r="J179" s="4">
        <v>33942</v>
      </c>
      <c r="K179" s="4">
        <v>33938</v>
      </c>
      <c r="L179" s="4">
        <v>-2823</v>
      </c>
      <c r="M179" s="4">
        <v>7732</v>
      </c>
      <c r="N179" s="18">
        <v>92</v>
      </c>
      <c r="O179" s="18">
        <v>7541</v>
      </c>
      <c r="P179" s="18">
        <v>0</v>
      </c>
      <c r="Q179" s="18">
        <v>0</v>
      </c>
      <c r="R179" s="18">
        <v>99</v>
      </c>
      <c r="S179" s="18">
        <v>0</v>
      </c>
      <c r="T179" s="18">
        <v>7732</v>
      </c>
      <c r="U179" s="18" t="b">
        <v>1</v>
      </c>
      <c r="V179" s="4">
        <v>7355</v>
      </c>
      <c r="W179" s="4">
        <v>7355</v>
      </c>
      <c r="X179" s="3" t="b">
        <v>1</v>
      </c>
      <c r="Y179" s="18">
        <v>178</v>
      </c>
      <c r="Z179" s="18">
        <v>7063</v>
      </c>
      <c r="AA179" s="18">
        <v>0</v>
      </c>
      <c r="AB179" s="18">
        <v>0</v>
      </c>
      <c r="AC179" s="18">
        <v>114</v>
      </c>
      <c r="AD179" s="18">
        <v>0</v>
      </c>
      <c r="AE179" s="18">
        <v>7355</v>
      </c>
      <c r="AF179" s="4">
        <v>377</v>
      </c>
      <c r="AG179" s="5">
        <v>4.8758406621831347E-2</v>
      </c>
      <c r="AH179" s="18">
        <f t="shared" si="2"/>
        <v>478</v>
      </c>
      <c r="AI179" s="6">
        <v>0.24846556765962916</v>
      </c>
      <c r="AJ179" s="3">
        <v>0.248</v>
      </c>
      <c r="AK179" s="6">
        <v>0.58816038841806006</v>
      </c>
      <c r="AL179" s="25">
        <v>0.58799999999999997</v>
      </c>
      <c r="AM179" s="6">
        <v>0.22780036532909081</v>
      </c>
      <c r="AN179" s="3">
        <v>0.22800000000000001</v>
      </c>
      <c r="AO179" s="6">
        <v>0.58593659492635919</v>
      </c>
      <c r="AP179" s="6">
        <v>0.2167187223760976</v>
      </c>
      <c r="AQ179" s="6">
        <v>0.217</v>
      </c>
      <c r="AR179" s="6">
        <v>0.58812060074424333</v>
      </c>
      <c r="AS179" s="6">
        <v>0.58799999999999997</v>
      </c>
      <c r="AT179" s="6">
        <v>3.1746845283531555E-2</v>
      </c>
      <c r="AU179" s="6">
        <v>3.9787673816737978E-5</v>
      </c>
      <c r="AV179" s="6">
        <v>1.1081642952993215E-2</v>
      </c>
      <c r="AW179" s="6">
        <v>-2.1840058178841382E-3</v>
      </c>
      <c r="AX179" s="7">
        <v>68</v>
      </c>
      <c r="AY179" s="7">
        <v>68</v>
      </c>
      <c r="AZ179" s="7">
        <v>69</v>
      </c>
      <c r="BA179" s="26">
        <v>1</v>
      </c>
      <c r="BB179" s="26">
        <v>1</v>
      </c>
      <c r="BC179" s="6">
        <v>0.23635078248015681</v>
      </c>
      <c r="BD179" s="6">
        <v>0.23599999999999999</v>
      </c>
      <c r="BE179" s="11">
        <v>0.59295495714905233</v>
      </c>
      <c r="BF179" s="7">
        <v>68</v>
      </c>
      <c r="BG179" s="26">
        <v>1</v>
      </c>
      <c r="BH179" s="7">
        <v>0</v>
      </c>
    </row>
    <row r="180" spans="2:60" x14ac:dyDescent="0.25">
      <c r="B180" s="3">
        <v>177</v>
      </c>
      <c r="C180" s="3" t="s">
        <v>360</v>
      </c>
      <c r="D180" s="3" t="s">
        <v>361</v>
      </c>
      <c r="E180" s="3" t="s">
        <v>341</v>
      </c>
      <c r="F180" s="3">
        <v>8104</v>
      </c>
      <c r="G180" s="3">
        <v>8</v>
      </c>
      <c r="H180" s="3">
        <v>0.45700000000000002</v>
      </c>
      <c r="I180" s="4">
        <v>12958</v>
      </c>
      <c r="J180" s="4">
        <v>11873</v>
      </c>
      <c r="K180" s="4">
        <v>11868</v>
      </c>
      <c r="L180" s="4">
        <v>1085</v>
      </c>
      <c r="M180" s="4">
        <v>1029</v>
      </c>
      <c r="N180" s="18">
        <v>46</v>
      </c>
      <c r="O180" s="18">
        <v>713</v>
      </c>
      <c r="P180" s="18">
        <v>0</v>
      </c>
      <c r="Q180" s="18">
        <v>0</v>
      </c>
      <c r="R180" s="18">
        <v>270</v>
      </c>
      <c r="S180" s="18">
        <v>0</v>
      </c>
      <c r="T180" s="18">
        <v>1029</v>
      </c>
      <c r="U180" s="18" t="b">
        <v>1</v>
      </c>
      <c r="V180" s="4">
        <v>882</v>
      </c>
      <c r="W180" s="4">
        <v>882</v>
      </c>
      <c r="X180" s="3" t="b">
        <v>1</v>
      </c>
      <c r="Y180" s="18">
        <v>76</v>
      </c>
      <c r="Z180" s="18">
        <v>627</v>
      </c>
      <c r="AA180" s="18">
        <v>0</v>
      </c>
      <c r="AB180" s="18">
        <v>0</v>
      </c>
      <c r="AC180" s="18">
        <v>179</v>
      </c>
      <c r="AD180" s="18">
        <v>0</v>
      </c>
      <c r="AE180" s="18">
        <v>882</v>
      </c>
      <c r="AF180" s="4">
        <v>147</v>
      </c>
      <c r="AG180" s="5">
        <v>0.14285714285714285</v>
      </c>
      <c r="AH180" s="18">
        <f t="shared" si="2"/>
        <v>86</v>
      </c>
      <c r="AI180" s="6">
        <v>7.9410402839944438E-2</v>
      </c>
      <c r="AJ180" s="3">
        <v>7.9000000000000001E-2</v>
      </c>
      <c r="AK180" s="6">
        <v>0.41391631759960223</v>
      </c>
      <c r="AL180" s="25">
        <v>0.41399999999999998</v>
      </c>
      <c r="AM180" s="6">
        <v>8.6667228164743537E-2</v>
      </c>
      <c r="AN180" s="3">
        <v>8.6999999999999994E-2</v>
      </c>
      <c r="AO180" s="6">
        <v>0.42560935011614237</v>
      </c>
      <c r="AP180" s="6">
        <v>7.4317492416582406E-2</v>
      </c>
      <c r="AQ180" s="6">
        <v>7.3999999999999996E-2</v>
      </c>
      <c r="AR180" s="6">
        <v>0.42222641142746087</v>
      </c>
      <c r="AS180" s="6">
        <v>0.42299999999999999</v>
      </c>
      <c r="AT180" s="6">
        <v>5.092910423362032E-3</v>
      </c>
      <c r="AU180" s="6">
        <v>-8.3100938278586334E-3</v>
      </c>
      <c r="AV180" s="6">
        <v>1.2349735748161131E-2</v>
      </c>
      <c r="AW180" s="6">
        <v>3.3829386886815027E-3</v>
      </c>
      <c r="AX180" s="7">
        <v>264</v>
      </c>
      <c r="AY180" s="26">
        <v>251</v>
      </c>
      <c r="AZ180" s="7">
        <v>248</v>
      </c>
      <c r="BA180" s="26">
        <v>-16</v>
      </c>
      <c r="BB180" s="26">
        <v>-3</v>
      </c>
      <c r="BC180" s="6">
        <v>6.8066059577095231E-2</v>
      </c>
      <c r="BD180" s="6">
        <v>6.8000000000000005E-2</v>
      </c>
      <c r="BE180" s="11">
        <v>0.4121710159820724</v>
      </c>
      <c r="BF180" s="26">
        <v>258</v>
      </c>
      <c r="BG180" s="26">
        <v>-10</v>
      </c>
      <c r="BH180" s="7">
        <v>-6</v>
      </c>
    </row>
    <row r="181" spans="2:60" x14ac:dyDescent="0.25">
      <c r="B181" s="3">
        <v>178</v>
      </c>
      <c r="C181" s="3" t="s">
        <v>362</v>
      </c>
      <c r="D181" s="3" t="s">
        <v>363</v>
      </c>
      <c r="E181" s="3" t="s">
        <v>341</v>
      </c>
      <c r="F181" s="3">
        <v>8112</v>
      </c>
      <c r="G181" s="3">
        <v>8</v>
      </c>
      <c r="H181" s="3">
        <v>0.57599999999999996</v>
      </c>
      <c r="I181" s="4">
        <v>87731</v>
      </c>
      <c r="J181" s="4">
        <v>98055</v>
      </c>
      <c r="K181" s="4">
        <v>97902</v>
      </c>
      <c r="L181" s="4">
        <v>-10324</v>
      </c>
      <c r="M181" s="4">
        <v>16873</v>
      </c>
      <c r="N181" s="18">
        <v>0</v>
      </c>
      <c r="O181" s="18">
        <v>16552</v>
      </c>
      <c r="P181" s="18">
        <v>152</v>
      </c>
      <c r="Q181" s="18">
        <v>0</v>
      </c>
      <c r="R181" s="18">
        <v>169</v>
      </c>
      <c r="S181" s="18">
        <v>0</v>
      </c>
      <c r="T181" s="18">
        <v>16873</v>
      </c>
      <c r="U181" s="18" t="b">
        <v>1</v>
      </c>
      <c r="V181" s="4">
        <v>17893</v>
      </c>
      <c r="W181" s="4">
        <v>17893</v>
      </c>
      <c r="X181" s="3" t="b">
        <v>1</v>
      </c>
      <c r="Y181" s="18">
        <v>0</v>
      </c>
      <c r="Z181" s="18">
        <v>14815</v>
      </c>
      <c r="AA181" s="18">
        <v>2879</v>
      </c>
      <c r="AB181" s="18">
        <v>0</v>
      </c>
      <c r="AC181" s="18">
        <v>199</v>
      </c>
      <c r="AD181" s="18">
        <v>0</v>
      </c>
      <c r="AE181" s="18">
        <v>17893</v>
      </c>
      <c r="AF181" s="4">
        <v>-1020</v>
      </c>
      <c r="AG181" s="5">
        <v>-6.0451609079594619E-2</v>
      </c>
      <c r="AH181" s="18">
        <f t="shared" si="2"/>
        <v>1737</v>
      </c>
      <c r="AI181" s="6">
        <v>0.19232654363907856</v>
      </c>
      <c r="AJ181" s="3">
        <v>0.192</v>
      </c>
      <c r="AK181" s="6">
        <v>0.5302982575121552</v>
      </c>
      <c r="AL181" s="25">
        <v>0.53</v>
      </c>
      <c r="AM181" s="6">
        <v>0.17207689561980521</v>
      </c>
      <c r="AN181" s="3">
        <v>0.17199999999999999</v>
      </c>
      <c r="AO181" s="6">
        <v>0.52263473294513041</v>
      </c>
      <c r="AP181" s="6">
        <v>0.18276439705011133</v>
      </c>
      <c r="AQ181" s="6">
        <v>0.183</v>
      </c>
      <c r="AR181" s="6">
        <v>0.54867722706053279</v>
      </c>
      <c r="AS181" s="6">
        <v>0.54800000000000004</v>
      </c>
      <c r="AT181" s="6">
        <v>9.5621465889672297E-3</v>
      </c>
      <c r="AU181" s="6">
        <v>-1.8378969548377588E-2</v>
      </c>
      <c r="AV181" s="6">
        <v>-1.0687501430306112E-2</v>
      </c>
      <c r="AW181" s="6">
        <v>-2.6042494115402381E-2</v>
      </c>
      <c r="AX181" s="7">
        <v>126</v>
      </c>
      <c r="AY181" s="7">
        <v>136</v>
      </c>
      <c r="AZ181" s="7">
        <v>113</v>
      </c>
      <c r="BA181" s="26">
        <v>-13</v>
      </c>
      <c r="BB181" s="26">
        <v>-23</v>
      </c>
      <c r="BC181" s="6">
        <v>0.20395299267077771</v>
      </c>
      <c r="BD181" s="6">
        <v>0.20399999999999999</v>
      </c>
      <c r="BE181" s="11">
        <v>0.55815084643834434</v>
      </c>
      <c r="BF181" s="7">
        <v>104</v>
      </c>
      <c r="BG181" s="26">
        <v>9</v>
      </c>
      <c r="BH181" s="7">
        <v>-22</v>
      </c>
    </row>
    <row r="182" spans="2:60" x14ac:dyDescent="0.25">
      <c r="B182" s="3">
        <v>179</v>
      </c>
      <c r="C182" s="3" t="s">
        <v>364</v>
      </c>
      <c r="D182" s="3" t="s">
        <v>365</v>
      </c>
      <c r="E182" s="3" t="s">
        <v>341</v>
      </c>
      <c r="F182" s="3">
        <v>8105</v>
      </c>
      <c r="G182" s="3">
        <v>8</v>
      </c>
      <c r="H182" s="3">
        <v>0.495</v>
      </c>
      <c r="I182" s="4">
        <v>25795</v>
      </c>
      <c r="J182" s="4">
        <v>26746</v>
      </c>
      <c r="K182" s="4">
        <v>26632</v>
      </c>
      <c r="L182" s="4">
        <v>-951</v>
      </c>
      <c r="M182" s="4">
        <v>5919</v>
      </c>
      <c r="N182" s="18">
        <v>1</v>
      </c>
      <c r="O182" s="18">
        <v>5625</v>
      </c>
      <c r="P182" s="18">
        <v>48</v>
      </c>
      <c r="Q182" s="18">
        <v>0</v>
      </c>
      <c r="R182" s="18">
        <v>245</v>
      </c>
      <c r="S182" s="18">
        <v>0</v>
      </c>
      <c r="T182" s="18">
        <v>5919</v>
      </c>
      <c r="U182" s="18" t="b">
        <v>1</v>
      </c>
      <c r="V182" s="4">
        <v>5606</v>
      </c>
      <c r="W182" s="4">
        <v>5606</v>
      </c>
      <c r="X182" s="3" t="b">
        <v>1</v>
      </c>
      <c r="Y182" s="18">
        <v>1</v>
      </c>
      <c r="Z182" s="18">
        <v>5415</v>
      </c>
      <c r="AA182" s="18">
        <v>0</v>
      </c>
      <c r="AB182" s="18">
        <v>0</v>
      </c>
      <c r="AC182" s="18">
        <v>190</v>
      </c>
      <c r="AD182" s="18">
        <v>0</v>
      </c>
      <c r="AE182" s="18">
        <v>5606</v>
      </c>
      <c r="AF182" s="4">
        <v>313</v>
      </c>
      <c r="AG182" s="5">
        <v>5.2880554147660075E-2</v>
      </c>
      <c r="AH182" s="18">
        <f t="shared" si="2"/>
        <v>210</v>
      </c>
      <c r="AI182" s="6">
        <v>0.22946307423919365</v>
      </c>
      <c r="AJ182" s="3">
        <v>0.22900000000000001</v>
      </c>
      <c r="AK182" s="6">
        <v>0.56857464069595265</v>
      </c>
      <c r="AL182" s="25">
        <v>0.56899999999999995</v>
      </c>
      <c r="AM182" s="6">
        <v>0.22130412024227922</v>
      </c>
      <c r="AN182" s="3">
        <v>0.221</v>
      </c>
      <c r="AO182" s="6">
        <v>0.57855686046210242</v>
      </c>
      <c r="AP182" s="6">
        <v>0.21049864824271552</v>
      </c>
      <c r="AQ182" s="6">
        <v>0.21</v>
      </c>
      <c r="AR182" s="6">
        <v>0.5799999061623029</v>
      </c>
      <c r="AS182" s="6">
        <v>0.58099999999999996</v>
      </c>
      <c r="AT182" s="6">
        <v>1.8964425996478129E-2</v>
      </c>
      <c r="AU182" s="6">
        <v>-1.1425265466350254E-2</v>
      </c>
      <c r="AV182" s="6">
        <v>1.0805471999563693E-2</v>
      </c>
      <c r="AW182" s="6">
        <v>-1.4430457002004848E-3</v>
      </c>
      <c r="AX182" s="7">
        <v>92</v>
      </c>
      <c r="AY182" s="26">
        <v>75</v>
      </c>
      <c r="AZ182" s="7">
        <v>78</v>
      </c>
      <c r="BA182" s="26">
        <v>-14</v>
      </c>
      <c r="BB182" s="26">
        <v>3</v>
      </c>
      <c r="BC182" s="6">
        <v>0.21732893971699943</v>
      </c>
      <c r="BD182" s="6">
        <v>0.217</v>
      </c>
      <c r="BE182" s="11">
        <v>0.57252028165588176</v>
      </c>
      <c r="BF182" s="26">
        <v>91</v>
      </c>
      <c r="BG182" s="26">
        <v>-13</v>
      </c>
      <c r="BH182" s="7">
        <v>-1</v>
      </c>
    </row>
    <row r="183" spans="2:60" x14ac:dyDescent="0.25">
      <c r="B183" s="3">
        <v>180</v>
      </c>
      <c r="C183" s="3" t="s">
        <v>366</v>
      </c>
      <c r="D183" s="3" t="s">
        <v>367</v>
      </c>
      <c r="E183" s="3" t="s">
        <v>341</v>
      </c>
      <c r="F183" s="3">
        <v>8304</v>
      </c>
      <c r="G183" s="3">
        <v>8</v>
      </c>
      <c r="H183" s="3">
        <v>0.47899999999999998</v>
      </c>
      <c r="I183" s="4">
        <v>23706</v>
      </c>
      <c r="J183" s="4">
        <v>23921</v>
      </c>
      <c r="K183" s="4">
        <v>23913</v>
      </c>
      <c r="L183" s="4">
        <v>-215</v>
      </c>
      <c r="M183" s="4">
        <v>4045</v>
      </c>
      <c r="N183" s="18">
        <v>97</v>
      </c>
      <c r="O183" s="18">
        <v>3792</v>
      </c>
      <c r="P183" s="18">
        <v>21</v>
      </c>
      <c r="Q183" s="18">
        <v>0</v>
      </c>
      <c r="R183" s="18">
        <v>135</v>
      </c>
      <c r="S183" s="18">
        <v>0</v>
      </c>
      <c r="T183" s="18">
        <v>4045</v>
      </c>
      <c r="U183" s="18" t="b">
        <v>1</v>
      </c>
      <c r="V183" s="4">
        <v>3902</v>
      </c>
      <c r="W183" s="4">
        <v>3902</v>
      </c>
      <c r="X183" s="3" t="b">
        <v>1</v>
      </c>
      <c r="Y183" s="18">
        <v>140</v>
      </c>
      <c r="Z183" s="18">
        <v>3674</v>
      </c>
      <c r="AA183" s="18">
        <v>2</v>
      </c>
      <c r="AB183" s="18">
        <v>1</v>
      </c>
      <c r="AC183" s="18">
        <v>85</v>
      </c>
      <c r="AD183" s="18">
        <v>0</v>
      </c>
      <c r="AE183" s="18">
        <v>3902</v>
      </c>
      <c r="AF183" s="4">
        <v>143</v>
      </c>
      <c r="AG183" s="5">
        <v>3.535228677379481E-2</v>
      </c>
      <c r="AH183" s="18">
        <f t="shared" si="2"/>
        <v>118</v>
      </c>
      <c r="AI183" s="6">
        <v>0.17063190753395766</v>
      </c>
      <c r="AJ183" s="3">
        <v>0.17100000000000001</v>
      </c>
      <c r="AK183" s="6">
        <v>0.50793773564396316</v>
      </c>
      <c r="AL183" s="25">
        <v>0.50800000000000001</v>
      </c>
      <c r="AM183" s="6">
        <v>0.16909828184440451</v>
      </c>
      <c r="AN183" s="3">
        <v>0.16900000000000001</v>
      </c>
      <c r="AO183" s="6">
        <v>0.51925102767534925</v>
      </c>
      <c r="AP183" s="6">
        <v>0.16317484213607661</v>
      </c>
      <c r="AQ183" s="6">
        <v>0.16300000000000001</v>
      </c>
      <c r="AR183" s="6">
        <v>0.5254752425407031</v>
      </c>
      <c r="AS183" s="6">
        <v>0.52600000000000002</v>
      </c>
      <c r="AT183" s="6">
        <v>7.4570653978810464E-3</v>
      </c>
      <c r="AU183" s="6">
        <v>-1.7537506896739941E-2</v>
      </c>
      <c r="AV183" s="6">
        <v>5.9234397083278989E-3</v>
      </c>
      <c r="AW183" s="6">
        <v>-6.2242148653538498E-3</v>
      </c>
      <c r="AX183" s="7">
        <v>155</v>
      </c>
      <c r="AY183" s="7">
        <v>140</v>
      </c>
      <c r="AZ183" s="7">
        <v>132</v>
      </c>
      <c r="BA183" s="26">
        <v>-23</v>
      </c>
      <c r="BB183" s="26">
        <v>-8</v>
      </c>
      <c r="BC183" s="6">
        <v>0.16459967940605755</v>
      </c>
      <c r="BD183" s="6">
        <v>0.16500000000000001</v>
      </c>
      <c r="BE183" s="11">
        <v>0.51587459612135567</v>
      </c>
      <c r="BF183" s="7">
        <v>139</v>
      </c>
      <c r="BG183" s="26">
        <v>-7</v>
      </c>
      <c r="BH183" s="7">
        <v>-16</v>
      </c>
    </row>
    <row r="184" spans="2:60" x14ac:dyDescent="0.25">
      <c r="B184" s="3">
        <v>181</v>
      </c>
      <c r="C184" s="3" t="s">
        <v>368</v>
      </c>
      <c r="D184" s="3" t="s">
        <v>369</v>
      </c>
      <c r="E184" s="3" t="s">
        <v>341</v>
      </c>
      <c r="F184" s="3">
        <v>8201</v>
      </c>
      <c r="G184" s="3">
        <v>8</v>
      </c>
      <c r="H184" s="3">
        <v>0.52900000000000003</v>
      </c>
      <c r="I184" s="4">
        <v>25246</v>
      </c>
      <c r="J184" s="4">
        <v>27152</v>
      </c>
      <c r="K184" s="4">
        <v>27146</v>
      </c>
      <c r="L184" s="4">
        <v>-1906</v>
      </c>
      <c r="M184" s="4">
        <v>5857</v>
      </c>
      <c r="N184" s="18">
        <v>65</v>
      </c>
      <c r="O184" s="18">
        <v>5641</v>
      </c>
      <c r="P184" s="18">
        <v>0</v>
      </c>
      <c r="Q184" s="18">
        <v>0</v>
      </c>
      <c r="R184" s="18">
        <v>151</v>
      </c>
      <c r="S184" s="18">
        <v>0</v>
      </c>
      <c r="T184" s="18">
        <v>5857</v>
      </c>
      <c r="U184" s="18" t="b">
        <v>1</v>
      </c>
      <c r="V184" s="4">
        <v>5563</v>
      </c>
      <c r="W184" s="4">
        <v>5563</v>
      </c>
      <c r="X184" s="3" t="b">
        <v>1</v>
      </c>
      <c r="Y184" s="18">
        <v>121</v>
      </c>
      <c r="Z184" s="18">
        <v>5322</v>
      </c>
      <c r="AA184" s="18">
        <v>0</v>
      </c>
      <c r="AB184" s="18">
        <v>0</v>
      </c>
      <c r="AC184" s="18">
        <v>120</v>
      </c>
      <c r="AD184" s="18">
        <v>0</v>
      </c>
      <c r="AE184" s="18">
        <v>5563</v>
      </c>
      <c r="AF184" s="4">
        <v>294</v>
      </c>
      <c r="AG184" s="5">
        <v>5.0196346252347618E-2</v>
      </c>
      <c r="AH184" s="18">
        <f t="shared" si="2"/>
        <v>319</v>
      </c>
      <c r="AI184" s="6">
        <v>0.23199714806305949</v>
      </c>
      <c r="AJ184" s="3">
        <v>0.23200000000000001</v>
      </c>
      <c r="AK184" s="6">
        <v>0.57118649428407475</v>
      </c>
      <c r="AL184" s="25">
        <v>0.57099999999999995</v>
      </c>
      <c r="AM184" s="6">
        <v>0.21571154979375368</v>
      </c>
      <c r="AN184" s="3">
        <v>0.216</v>
      </c>
      <c r="AO184" s="6">
        <v>0.57220370039328727</v>
      </c>
      <c r="AP184" s="6">
        <v>0.20492890296912988</v>
      </c>
      <c r="AQ184" s="6">
        <v>0.20499999999999999</v>
      </c>
      <c r="AR184" s="6">
        <v>0.57419941003234543</v>
      </c>
      <c r="AS184" s="6">
        <v>0.57399999999999995</v>
      </c>
      <c r="AT184" s="6">
        <v>2.7068245093929605E-2</v>
      </c>
      <c r="AU184" s="6">
        <v>-3.0129157482706725E-3</v>
      </c>
      <c r="AV184" s="6">
        <v>1.0782646824623793E-2</v>
      </c>
      <c r="AW184" s="6">
        <v>-1.9957096390581519E-3</v>
      </c>
      <c r="AX184" s="7">
        <v>87</v>
      </c>
      <c r="AY184" s="26">
        <v>83</v>
      </c>
      <c r="AZ184" s="7">
        <v>89</v>
      </c>
      <c r="BA184" s="26">
        <v>2</v>
      </c>
      <c r="BB184" s="26">
        <v>6</v>
      </c>
      <c r="BC184" s="6">
        <v>0.22035173888932899</v>
      </c>
      <c r="BD184" s="6">
        <v>0.22</v>
      </c>
      <c r="BE184" s="11">
        <v>0.5757675969100704</v>
      </c>
      <c r="BF184" s="26">
        <v>89</v>
      </c>
      <c r="BG184" s="26">
        <v>0</v>
      </c>
      <c r="BH184" s="7">
        <v>2</v>
      </c>
    </row>
    <row r="185" spans="2:60" x14ac:dyDescent="0.25">
      <c r="B185" s="3">
        <v>182</v>
      </c>
      <c r="C185" s="3" t="s">
        <v>370</v>
      </c>
      <c r="D185" s="3" t="s">
        <v>371</v>
      </c>
      <c r="E185" s="3" t="s">
        <v>341</v>
      </c>
      <c r="F185" s="3">
        <v>8206</v>
      </c>
      <c r="G185" s="3">
        <v>8</v>
      </c>
      <c r="H185" s="3">
        <v>0.53900000000000003</v>
      </c>
      <c r="I185" s="4">
        <v>21950</v>
      </c>
      <c r="J185" s="4">
        <v>22953</v>
      </c>
      <c r="K185" s="4">
        <v>22856</v>
      </c>
      <c r="L185" s="4">
        <v>-1003</v>
      </c>
      <c r="M185" s="4">
        <v>4948</v>
      </c>
      <c r="N185" s="18">
        <v>0</v>
      </c>
      <c r="O185" s="18">
        <v>4875</v>
      </c>
      <c r="P185" s="18">
        <v>0</v>
      </c>
      <c r="Q185" s="18">
        <v>0</v>
      </c>
      <c r="R185" s="18">
        <v>73</v>
      </c>
      <c r="S185" s="18">
        <v>0</v>
      </c>
      <c r="T185" s="18">
        <v>4948</v>
      </c>
      <c r="U185" s="18" t="b">
        <v>1</v>
      </c>
      <c r="V185" s="4">
        <v>4640</v>
      </c>
      <c r="W185" s="4">
        <v>4640</v>
      </c>
      <c r="X185" s="3" t="b">
        <v>1</v>
      </c>
      <c r="Y185" s="18">
        <v>0</v>
      </c>
      <c r="Z185" s="18">
        <v>4578</v>
      </c>
      <c r="AA185" s="18">
        <v>0</v>
      </c>
      <c r="AB185" s="18">
        <v>0</v>
      </c>
      <c r="AC185" s="18">
        <v>62</v>
      </c>
      <c r="AD185" s="18">
        <v>0</v>
      </c>
      <c r="AE185" s="18">
        <v>4640</v>
      </c>
      <c r="AF185" s="4">
        <v>308</v>
      </c>
      <c r="AG185" s="5">
        <v>6.2247372675828617E-2</v>
      </c>
      <c r="AH185" s="18">
        <f t="shared" si="2"/>
        <v>297</v>
      </c>
      <c r="AI185" s="6">
        <v>0.22542141230068338</v>
      </c>
      <c r="AJ185" s="3">
        <v>0.22500000000000001</v>
      </c>
      <c r="AK185" s="6">
        <v>0.56440892573664214</v>
      </c>
      <c r="AL185" s="25">
        <v>0.56399999999999995</v>
      </c>
      <c r="AM185" s="6">
        <v>0.2155709493312421</v>
      </c>
      <c r="AN185" s="3">
        <v>0.216</v>
      </c>
      <c r="AO185" s="6">
        <v>0.57204397826688635</v>
      </c>
      <c r="AP185" s="6">
        <v>0.20301015050752538</v>
      </c>
      <c r="AQ185" s="6">
        <v>0.20300000000000001</v>
      </c>
      <c r="AR185" s="6">
        <v>0.57187921158036248</v>
      </c>
      <c r="AS185" s="6">
        <v>0.57199999999999995</v>
      </c>
      <c r="AT185" s="6">
        <v>2.2411261793157999E-2</v>
      </c>
      <c r="AU185" s="6">
        <v>-7.4702858437203368E-3</v>
      </c>
      <c r="AV185" s="6">
        <v>1.2560798823716718E-2</v>
      </c>
      <c r="AW185" s="6">
        <v>1.6476668652387616E-4</v>
      </c>
      <c r="AX185" s="7">
        <v>101</v>
      </c>
      <c r="AY185" s="7">
        <v>84</v>
      </c>
      <c r="AZ185" s="7">
        <v>94</v>
      </c>
      <c r="BA185" s="26">
        <v>-7</v>
      </c>
      <c r="BB185" s="26">
        <v>10</v>
      </c>
      <c r="BC185" s="6">
        <v>0.21138952164009112</v>
      </c>
      <c r="BD185" s="6">
        <v>0.21099999999999999</v>
      </c>
      <c r="BE185" s="11">
        <v>0.56613971787291484</v>
      </c>
      <c r="BF185" s="7">
        <v>96</v>
      </c>
      <c r="BG185" s="26">
        <v>-2</v>
      </c>
      <c r="BH185" s="7">
        <v>-5</v>
      </c>
    </row>
    <row r="186" spans="2:60" x14ac:dyDescent="0.25">
      <c r="B186" s="3">
        <v>183</v>
      </c>
      <c r="C186" s="3" t="s">
        <v>372</v>
      </c>
      <c r="D186" s="3" t="s">
        <v>373</v>
      </c>
      <c r="E186" s="3" t="s">
        <v>341</v>
      </c>
      <c r="F186" s="3">
        <v>8301</v>
      </c>
      <c r="G186" s="3">
        <v>8</v>
      </c>
      <c r="H186" s="3">
        <v>0.59899999999999998</v>
      </c>
      <c r="I186" s="4">
        <v>219441</v>
      </c>
      <c r="J186" s="4">
        <v>223751</v>
      </c>
      <c r="K186" s="4">
        <v>222593</v>
      </c>
      <c r="L186" s="4">
        <v>-4310</v>
      </c>
      <c r="M186" s="4">
        <v>44849</v>
      </c>
      <c r="N186" s="18">
        <v>66</v>
      </c>
      <c r="O186" s="18">
        <v>31432</v>
      </c>
      <c r="P186" s="18">
        <v>11137</v>
      </c>
      <c r="Q186" s="18">
        <v>0</v>
      </c>
      <c r="R186" s="18">
        <v>2197</v>
      </c>
      <c r="S186" s="18">
        <v>17</v>
      </c>
      <c r="T186" s="18">
        <v>44849</v>
      </c>
      <c r="U186" s="18" t="b">
        <v>1</v>
      </c>
      <c r="V186" s="4">
        <v>43519</v>
      </c>
      <c r="W186" s="4">
        <v>43519</v>
      </c>
      <c r="X186" s="3" t="b">
        <v>1</v>
      </c>
      <c r="Y186" s="18">
        <v>195</v>
      </c>
      <c r="Z186" s="18">
        <v>29708</v>
      </c>
      <c r="AA186" s="18">
        <v>11598</v>
      </c>
      <c r="AB186" s="18">
        <v>1</v>
      </c>
      <c r="AC186" s="18">
        <v>2000</v>
      </c>
      <c r="AD186" s="18">
        <v>17</v>
      </c>
      <c r="AE186" s="18">
        <v>43519</v>
      </c>
      <c r="AF186" s="4">
        <v>1330</v>
      </c>
      <c r="AG186" s="5">
        <v>2.9655064772904634E-2</v>
      </c>
      <c r="AH186" s="18">
        <f t="shared" si="2"/>
        <v>1724</v>
      </c>
      <c r="AI186" s="6">
        <v>0.20437839783814329</v>
      </c>
      <c r="AJ186" s="3">
        <v>0.20399999999999999</v>
      </c>
      <c r="AK186" s="6">
        <v>0.54272002610346326</v>
      </c>
      <c r="AL186" s="25">
        <v>0.54300000000000004</v>
      </c>
      <c r="AM186" s="6">
        <v>0.20044156227234738</v>
      </c>
      <c r="AN186" s="3">
        <v>0.2</v>
      </c>
      <c r="AO186" s="6">
        <v>0.55485699446169179</v>
      </c>
      <c r="AP186" s="6">
        <v>0.19550929274505488</v>
      </c>
      <c r="AQ186" s="6">
        <v>0.19600000000000001</v>
      </c>
      <c r="AR186" s="6">
        <v>0.56375851699842205</v>
      </c>
      <c r="AS186" s="6">
        <v>0.56299999999999994</v>
      </c>
      <c r="AT186" s="6">
        <v>8.8691050930884141E-3</v>
      </c>
      <c r="AU186" s="6">
        <v>-2.1038490894958795E-2</v>
      </c>
      <c r="AV186" s="6">
        <v>4.9322695272925043E-3</v>
      </c>
      <c r="AW186" s="6">
        <v>-8.9015225367302664E-3</v>
      </c>
      <c r="AX186" s="7">
        <v>114</v>
      </c>
      <c r="AY186" s="26">
        <v>107</v>
      </c>
      <c r="AZ186" s="7">
        <v>100</v>
      </c>
      <c r="BA186" s="26">
        <v>-14</v>
      </c>
      <c r="BB186" s="26">
        <v>-7</v>
      </c>
      <c r="BC186" s="6">
        <v>0.19831754321207068</v>
      </c>
      <c r="BD186" s="6">
        <v>0.19800000000000001</v>
      </c>
      <c r="BE186" s="11">
        <v>0.55209682830872919</v>
      </c>
      <c r="BF186" s="26">
        <v>109</v>
      </c>
      <c r="BG186" s="26">
        <v>-9</v>
      </c>
      <c r="BH186" s="7">
        <v>-5</v>
      </c>
    </row>
    <row r="187" spans="2:60" x14ac:dyDescent="0.25">
      <c r="B187" s="3">
        <v>184</v>
      </c>
      <c r="C187" s="3" t="s">
        <v>374</v>
      </c>
      <c r="D187" s="3" t="s">
        <v>375</v>
      </c>
      <c r="E187" s="3" t="s">
        <v>341</v>
      </c>
      <c r="F187" s="3">
        <v>8106</v>
      </c>
      <c r="G187" s="3">
        <v>8</v>
      </c>
      <c r="H187" s="3">
        <v>0.495</v>
      </c>
      <c r="I187" s="4">
        <v>39980</v>
      </c>
      <c r="J187" s="4">
        <v>45407</v>
      </c>
      <c r="K187" s="4">
        <v>45490</v>
      </c>
      <c r="L187" s="4">
        <v>-5427</v>
      </c>
      <c r="M187" s="4">
        <v>11452</v>
      </c>
      <c r="N187" s="18">
        <v>96</v>
      </c>
      <c r="O187" s="18">
        <v>11244</v>
      </c>
      <c r="P187" s="18">
        <v>68</v>
      </c>
      <c r="Q187" s="18">
        <v>0</v>
      </c>
      <c r="R187" s="18">
        <v>44</v>
      </c>
      <c r="S187" s="18">
        <v>0</v>
      </c>
      <c r="T187" s="18">
        <v>11452</v>
      </c>
      <c r="U187" s="18" t="b">
        <v>1</v>
      </c>
      <c r="V187" s="4">
        <v>10995</v>
      </c>
      <c r="W187" s="4">
        <v>10995</v>
      </c>
      <c r="X187" s="3" t="b">
        <v>1</v>
      </c>
      <c r="Y187" s="18">
        <v>306</v>
      </c>
      <c r="Z187" s="18">
        <v>10635</v>
      </c>
      <c r="AA187" s="18">
        <v>0</v>
      </c>
      <c r="AB187" s="18">
        <v>0</v>
      </c>
      <c r="AC187" s="18">
        <v>54</v>
      </c>
      <c r="AD187" s="18">
        <v>0</v>
      </c>
      <c r="AE187" s="18">
        <v>10995</v>
      </c>
      <c r="AF187" s="4">
        <v>457</v>
      </c>
      <c r="AG187" s="5">
        <v>3.9905693328676217E-2</v>
      </c>
      <c r="AH187" s="18">
        <f t="shared" si="2"/>
        <v>609</v>
      </c>
      <c r="AI187" s="6">
        <v>0.28644322161080538</v>
      </c>
      <c r="AJ187" s="3">
        <v>0.28599999999999998</v>
      </c>
      <c r="AK187" s="6">
        <v>0.62730371202870383</v>
      </c>
      <c r="AL187" s="25">
        <v>0.627</v>
      </c>
      <c r="AM187" s="6">
        <v>0.25220780936859954</v>
      </c>
      <c r="AN187" s="3">
        <v>0.252</v>
      </c>
      <c r="AO187" s="6">
        <v>0.61366345152671342</v>
      </c>
      <c r="AP187" s="6">
        <v>0.24170147285117607</v>
      </c>
      <c r="AQ187" s="6">
        <v>0.24199999999999999</v>
      </c>
      <c r="AR187" s="6">
        <v>0.61712308139403038</v>
      </c>
      <c r="AS187" s="6">
        <v>0.61699999999999999</v>
      </c>
      <c r="AT187" s="6">
        <v>4.4741748759629302E-2</v>
      </c>
      <c r="AU187" s="6">
        <v>1.0180630634673449E-2</v>
      </c>
      <c r="AV187" s="6">
        <v>1.050633651742347E-2</v>
      </c>
      <c r="AW187" s="6">
        <v>-3.4596298673169601E-3</v>
      </c>
      <c r="AX187" s="7">
        <v>38</v>
      </c>
      <c r="AY187" s="7">
        <v>49</v>
      </c>
      <c r="AZ187" s="7">
        <v>47</v>
      </c>
      <c r="BA187" s="26">
        <v>9</v>
      </c>
      <c r="BB187" s="26">
        <v>-2</v>
      </c>
      <c r="BC187" s="6">
        <v>0.27501250625312657</v>
      </c>
      <c r="BD187" s="6">
        <v>0.27500000000000002</v>
      </c>
      <c r="BE187" s="11">
        <v>0.63448825069711112</v>
      </c>
      <c r="BF187" s="7">
        <v>38</v>
      </c>
      <c r="BG187" s="26">
        <v>9</v>
      </c>
      <c r="BH187" s="7">
        <v>0</v>
      </c>
    </row>
    <row r="188" spans="2:60" x14ac:dyDescent="0.25">
      <c r="B188" s="3">
        <v>185</v>
      </c>
      <c r="C188" s="3" t="s">
        <v>376</v>
      </c>
      <c r="D188" s="3" t="s">
        <v>377</v>
      </c>
      <c r="E188" s="3" t="s">
        <v>341</v>
      </c>
      <c r="F188" s="3">
        <v>8305</v>
      </c>
      <c r="G188" s="3">
        <v>8</v>
      </c>
      <c r="H188" s="3">
        <v>0.53900000000000003</v>
      </c>
      <c r="I188" s="4">
        <v>29036</v>
      </c>
      <c r="J188" s="4">
        <v>31122</v>
      </c>
      <c r="K188" s="4">
        <v>31109</v>
      </c>
      <c r="L188" s="4">
        <v>-2086</v>
      </c>
      <c r="M188" s="4">
        <v>4971</v>
      </c>
      <c r="N188" s="18">
        <v>83</v>
      </c>
      <c r="O188" s="18">
        <v>4678</v>
      </c>
      <c r="P188" s="18">
        <v>47</v>
      </c>
      <c r="Q188" s="18">
        <v>0</v>
      </c>
      <c r="R188" s="18">
        <v>163</v>
      </c>
      <c r="S188" s="18">
        <v>0</v>
      </c>
      <c r="T188" s="18">
        <v>4971</v>
      </c>
      <c r="U188" s="18" t="b">
        <v>1</v>
      </c>
      <c r="V188" s="4">
        <v>4796</v>
      </c>
      <c r="W188" s="4">
        <v>4796</v>
      </c>
      <c r="X188" s="3" t="b">
        <v>1</v>
      </c>
      <c r="Y188" s="18">
        <v>152</v>
      </c>
      <c r="Z188" s="18">
        <v>4532</v>
      </c>
      <c r="AA188" s="18">
        <v>0</v>
      </c>
      <c r="AB188" s="18">
        <v>0</v>
      </c>
      <c r="AC188" s="18">
        <v>112</v>
      </c>
      <c r="AD188" s="18">
        <v>0</v>
      </c>
      <c r="AE188" s="18">
        <v>4796</v>
      </c>
      <c r="AF188" s="4">
        <v>175</v>
      </c>
      <c r="AG188" s="5">
        <v>3.5204184268758799E-2</v>
      </c>
      <c r="AH188" s="18">
        <f t="shared" si="2"/>
        <v>146</v>
      </c>
      <c r="AI188" s="6">
        <v>0.17120126739220279</v>
      </c>
      <c r="AJ188" s="3">
        <v>0.17100000000000001</v>
      </c>
      <c r="AK188" s="6">
        <v>0.50852457118706573</v>
      </c>
      <c r="AL188" s="25">
        <v>0.50900000000000001</v>
      </c>
      <c r="AM188" s="6">
        <v>0.15972623867360711</v>
      </c>
      <c r="AN188" s="3">
        <v>0.16</v>
      </c>
      <c r="AO188" s="6">
        <v>0.50860438656748097</v>
      </c>
      <c r="AP188" s="6">
        <v>0.15416760423028705</v>
      </c>
      <c r="AQ188" s="6">
        <v>0.154</v>
      </c>
      <c r="AR188" s="6">
        <v>0.51503434950677973</v>
      </c>
      <c r="AS188" s="6">
        <v>0.51500000000000001</v>
      </c>
      <c r="AT188" s="6">
        <v>1.7033663161915735E-2</v>
      </c>
      <c r="AU188" s="6">
        <v>-6.5097783197139991E-3</v>
      </c>
      <c r="AV188" s="6">
        <v>5.5586344433200541E-3</v>
      </c>
      <c r="AW188" s="6">
        <v>-6.4299629392987612E-3</v>
      </c>
      <c r="AX188" s="7">
        <v>153</v>
      </c>
      <c r="AY188" s="26">
        <v>148</v>
      </c>
      <c r="AZ188" s="7">
        <v>145</v>
      </c>
      <c r="BA188" s="26">
        <v>-8</v>
      </c>
      <c r="BB188" s="26">
        <v>-3</v>
      </c>
      <c r="BC188" s="6">
        <v>0.16517426642788263</v>
      </c>
      <c r="BD188" s="6">
        <v>0.16500000000000001</v>
      </c>
      <c r="BE188" s="11">
        <v>0.51649186015196391</v>
      </c>
      <c r="BF188" s="26">
        <v>137</v>
      </c>
      <c r="BG188" s="26">
        <v>8</v>
      </c>
      <c r="BH188" s="7">
        <v>-16</v>
      </c>
    </row>
    <row r="189" spans="2:60" x14ac:dyDescent="0.25">
      <c r="B189" s="3">
        <v>186</v>
      </c>
      <c r="C189" s="3" t="s">
        <v>378</v>
      </c>
      <c r="D189" s="3" t="s">
        <v>379</v>
      </c>
      <c r="E189" s="3" t="s">
        <v>341</v>
      </c>
      <c r="F189" s="3">
        <v>8306</v>
      </c>
      <c r="G189" s="3">
        <v>8</v>
      </c>
      <c r="H189" s="3">
        <v>0.54700000000000004</v>
      </c>
      <c r="I189" s="4">
        <v>26140</v>
      </c>
      <c r="J189" s="4">
        <v>28028</v>
      </c>
      <c r="K189" s="4">
        <v>28016</v>
      </c>
      <c r="L189" s="4">
        <v>-1888</v>
      </c>
      <c r="M189" s="4">
        <v>5469</v>
      </c>
      <c r="N189" s="18">
        <v>130</v>
      </c>
      <c r="O189" s="18">
        <v>5181</v>
      </c>
      <c r="P189" s="18">
        <v>38</v>
      </c>
      <c r="Q189" s="18">
        <v>0</v>
      </c>
      <c r="R189" s="18">
        <v>120</v>
      </c>
      <c r="S189" s="18">
        <v>0</v>
      </c>
      <c r="T189" s="18">
        <v>5469</v>
      </c>
      <c r="U189" s="18" t="b">
        <v>1</v>
      </c>
      <c r="V189" s="4">
        <v>5372</v>
      </c>
      <c r="W189" s="4">
        <v>5372</v>
      </c>
      <c r="X189" s="3" t="b">
        <v>1</v>
      </c>
      <c r="Y189" s="18">
        <v>211</v>
      </c>
      <c r="Z189" s="18">
        <v>5079</v>
      </c>
      <c r="AA189" s="18">
        <v>1</v>
      </c>
      <c r="AB189" s="18">
        <v>0</v>
      </c>
      <c r="AC189" s="18">
        <v>81</v>
      </c>
      <c r="AD189" s="18">
        <v>0</v>
      </c>
      <c r="AE189" s="18">
        <v>5372</v>
      </c>
      <c r="AF189" s="4">
        <v>97</v>
      </c>
      <c r="AG189" s="5">
        <v>1.7736332053391844E-2</v>
      </c>
      <c r="AH189" s="18">
        <f t="shared" si="2"/>
        <v>102</v>
      </c>
      <c r="AI189" s="6">
        <v>0.20921958684009181</v>
      </c>
      <c r="AJ189" s="3">
        <v>0.20899999999999999</v>
      </c>
      <c r="AK189" s="6">
        <v>0.54770980846356321</v>
      </c>
      <c r="AL189" s="25">
        <v>0.54800000000000004</v>
      </c>
      <c r="AM189" s="6">
        <v>0.19512630226915942</v>
      </c>
      <c r="AN189" s="3">
        <v>0.19500000000000001</v>
      </c>
      <c r="AO189" s="6">
        <v>0.54881885906072836</v>
      </c>
      <c r="AP189" s="6">
        <v>0.19174757281553398</v>
      </c>
      <c r="AQ189" s="6">
        <v>0.192</v>
      </c>
      <c r="AR189" s="6">
        <v>0.55911812009445616</v>
      </c>
      <c r="AS189" s="6">
        <v>0.55900000000000005</v>
      </c>
      <c r="AT189" s="6">
        <v>1.7472014024557836E-2</v>
      </c>
      <c r="AU189" s="6">
        <v>-1.1408311630892953E-2</v>
      </c>
      <c r="AV189" s="6">
        <v>3.3787294536254397E-3</v>
      </c>
      <c r="AW189" s="6">
        <v>-1.0299261033727802E-2</v>
      </c>
      <c r="AX189" s="7">
        <v>113</v>
      </c>
      <c r="AY189" s="7">
        <v>112</v>
      </c>
      <c r="AZ189" s="7">
        <v>101</v>
      </c>
      <c r="BA189" s="26">
        <v>-12</v>
      </c>
      <c r="BB189" s="26">
        <v>-11</v>
      </c>
      <c r="BC189" s="6">
        <v>0.20550879877582248</v>
      </c>
      <c r="BD189" s="6">
        <v>0.20599999999999999</v>
      </c>
      <c r="BE189" s="11">
        <v>0.55982220884432843</v>
      </c>
      <c r="BF189" s="7">
        <v>99</v>
      </c>
      <c r="BG189" s="26">
        <v>2</v>
      </c>
      <c r="BH189" s="7">
        <v>-14</v>
      </c>
    </row>
    <row r="190" spans="2:60" x14ac:dyDescent="0.25">
      <c r="B190" s="3">
        <v>187</v>
      </c>
      <c r="C190" s="3" t="s">
        <v>380</v>
      </c>
      <c r="D190" s="3" t="s">
        <v>381</v>
      </c>
      <c r="E190" s="3" t="s">
        <v>341</v>
      </c>
      <c r="F190" s="3">
        <v>8307</v>
      </c>
      <c r="G190" s="3">
        <v>8</v>
      </c>
      <c r="H190" s="3">
        <v>0.46100000000000002</v>
      </c>
      <c r="I190" s="4">
        <v>10723</v>
      </c>
      <c r="J190" s="4">
        <v>10574</v>
      </c>
      <c r="K190" s="4">
        <v>10539</v>
      </c>
      <c r="L190" s="4">
        <v>149</v>
      </c>
      <c r="M190" s="4">
        <v>749</v>
      </c>
      <c r="N190" s="18">
        <v>17</v>
      </c>
      <c r="O190" s="18">
        <v>602</v>
      </c>
      <c r="P190" s="18">
        <v>0</v>
      </c>
      <c r="Q190" s="18">
        <v>0</v>
      </c>
      <c r="R190" s="18">
        <v>130</v>
      </c>
      <c r="S190" s="18">
        <v>0</v>
      </c>
      <c r="T190" s="18">
        <v>749</v>
      </c>
      <c r="U190" s="18" t="b">
        <v>1</v>
      </c>
      <c r="V190" s="4">
        <v>577</v>
      </c>
      <c r="W190" s="4">
        <v>577</v>
      </c>
      <c r="X190" s="3" t="b">
        <v>1</v>
      </c>
      <c r="Y190" s="18">
        <v>29</v>
      </c>
      <c r="Z190" s="18">
        <v>441</v>
      </c>
      <c r="AA190" s="18">
        <v>0</v>
      </c>
      <c r="AB190" s="18">
        <v>0</v>
      </c>
      <c r="AC190" s="18">
        <v>107</v>
      </c>
      <c r="AD190" s="18">
        <v>0</v>
      </c>
      <c r="AE190" s="18">
        <v>577</v>
      </c>
      <c r="AF190" s="4">
        <v>172</v>
      </c>
      <c r="AG190" s="5">
        <v>0.22963951935914553</v>
      </c>
      <c r="AH190" s="18">
        <f t="shared" si="2"/>
        <v>161</v>
      </c>
      <c r="AI190" s="6">
        <v>6.9849855450899931E-2</v>
      </c>
      <c r="AJ190" s="3">
        <v>7.0000000000000007E-2</v>
      </c>
      <c r="AK190" s="6">
        <v>0.40406232291037336</v>
      </c>
      <c r="AL190" s="25">
        <v>0.40400000000000003</v>
      </c>
      <c r="AM190" s="6">
        <v>7.0834121429922445E-2</v>
      </c>
      <c r="AN190" s="3">
        <v>7.0999999999999994E-2</v>
      </c>
      <c r="AO190" s="6">
        <v>0.40762294075415151</v>
      </c>
      <c r="AP190" s="6">
        <v>5.4749027421956545E-2</v>
      </c>
      <c r="AQ190" s="6">
        <v>5.5E-2</v>
      </c>
      <c r="AR190" s="6">
        <v>0.40018452613362265</v>
      </c>
      <c r="AS190" s="6">
        <v>0.4</v>
      </c>
      <c r="AT190" s="6">
        <v>1.5100828028943386E-2</v>
      </c>
      <c r="AU190" s="6">
        <v>3.8777967767507082E-3</v>
      </c>
      <c r="AV190" s="6">
        <v>1.60850940079659E-2</v>
      </c>
      <c r="AW190" s="6">
        <v>7.4384146205288548E-3</v>
      </c>
      <c r="AX190" s="7">
        <v>277</v>
      </c>
      <c r="AY190" s="26">
        <v>272</v>
      </c>
      <c r="AZ190" s="7">
        <v>278</v>
      </c>
      <c r="BA190" s="26">
        <v>1</v>
      </c>
      <c r="BB190" s="26">
        <v>6</v>
      </c>
      <c r="BC190" s="6">
        <v>5.3809568217849484E-2</v>
      </c>
      <c r="BD190" s="6">
        <v>5.3999999999999999E-2</v>
      </c>
      <c r="BE190" s="11">
        <v>0.39685563470042101</v>
      </c>
      <c r="BF190" s="26">
        <v>286</v>
      </c>
      <c r="BG190" s="26">
        <v>-8</v>
      </c>
      <c r="BH190" s="7">
        <v>9</v>
      </c>
    </row>
    <row r="191" spans="2:60" x14ac:dyDescent="0.25">
      <c r="B191" s="3">
        <v>188</v>
      </c>
      <c r="C191" s="3" t="s">
        <v>382</v>
      </c>
      <c r="D191" s="3" t="s">
        <v>383</v>
      </c>
      <c r="E191" s="3" t="s">
        <v>341</v>
      </c>
      <c r="F191" s="3">
        <v>8107</v>
      </c>
      <c r="G191" s="3">
        <v>8</v>
      </c>
      <c r="H191" s="3">
        <v>0.56499999999999995</v>
      </c>
      <c r="I191" s="4">
        <v>48971</v>
      </c>
      <c r="J191" s="4">
        <v>50189</v>
      </c>
      <c r="K191" s="4">
        <v>50125</v>
      </c>
      <c r="L191" s="4">
        <v>-1218</v>
      </c>
      <c r="M191" s="4">
        <v>13301</v>
      </c>
      <c r="N191" s="18">
        <v>2</v>
      </c>
      <c r="O191" s="18">
        <v>10093</v>
      </c>
      <c r="P191" s="18">
        <v>3147</v>
      </c>
      <c r="Q191" s="18">
        <v>0</v>
      </c>
      <c r="R191" s="18">
        <v>59</v>
      </c>
      <c r="S191" s="18">
        <v>0</v>
      </c>
      <c r="T191" s="18">
        <v>13301</v>
      </c>
      <c r="U191" s="18" t="b">
        <v>1</v>
      </c>
      <c r="V191" s="4">
        <v>12763</v>
      </c>
      <c r="W191" s="4">
        <v>12763</v>
      </c>
      <c r="X191" s="3" t="b">
        <v>1</v>
      </c>
      <c r="Y191" s="18">
        <v>72</v>
      </c>
      <c r="Z191" s="18">
        <v>9421</v>
      </c>
      <c r="AA191" s="18">
        <v>3218</v>
      </c>
      <c r="AB191" s="18">
        <v>0</v>
      </c>
      <c r="AC191" s="18">
        <v>52</v>
      </c>
      <c r="AD191" s="18">
        <v>0</v>
      </c>
      <c r="AE191" s="18">
        <v>12763</v>
      </c>
      <c r="AF191" s="4">
        <v>538</v>
      </c>
      <c r="AG191" s="5">
        <v>4.044808661002932E-2</v>
      </c>
      <c r="AH191" s="18">
        <f t="shared" si="2"/>
        <v>672</v>
      </c>
      <c r="AI191" s="6">
        <v>0.27160972820648954</v>
      </c>
      <c r="AJ191" s="3">
        <v>0.27200000000000002</v>
      </c>
      <c r="AK191" s="6">
        <v>0.61201492580331085</v>
      </c>
      <c r="AL191" s="25">
        <v>0.61199999999999999</v>
      </c>
      <c r="AM191" s="6">
        <v>0.26501823108649308</v>
      </c>
      <c r="AN191" s="3">
        <v>0.26500000000000001</v>
      </c>
      <c r="AO191" s="6">
        <v>0.62821609068823903</v>
      </c>
      <c r="AP191" s="6">
        <v>0.25462344139650872</v>
      </c>
      <c r="AQ191" s="6">
        <v>0.255</v>
      </c>
      <c r="AR191" s="6">
        <v>0.63220437133191976</v>
      </c>
      <c r="AS191" s="6">
        <v>0.63200000000000001</v>
      </c>
      <c r="AT191" s="6">
        <v>1.6986286809980822E-2</v>
      </c>
      <c r="AU191" s="6">
        <v>-2.0189445528608907E-2</v>
      </c>
      <c r="AV191" s="6">
        <v>1.0394789689984363E-2</v>
      </c>
      <c r="AW191" s="6">
        <v>-3.9882806436807305E-3</v>
      </c>
      <c r="AX191" s="7">
        <v>45</v>
      </c>
      <c r="AY191" s="7">
        <v>38</v>
      </c>
      <c r="AZ191" s="7">
        <v>34</v>
      </c>
      <c r="BA191" s="26">
        <v>-11</v>
      </c>
      <c r="BB191" s="26">
        <v>-4</v>
      </c>
      <c r="BC191" s="6">
        <v>0.26062363439586694</v>
      </c>
      <c r="BD191" s="6">
        <v>0.26100000000000001</v>
      </c>
      <c r="BE191" s="11">
        <v>0.61903065645784983</v>
      </c>
      <c r="BF191" s="7">
        <v>44</v>
      </c>
      <c r="BG191" s="26">
        <v>-10</v>
      </c>
      <c r="BH191" s="7">
        <v>-1</v>
      </c>
    </row>
    <row r="192" spans="2:60" x14ac:dyDescent="0.25">
      <c r="B192" s="3">
        <v>189</v>
      </c>
      <c r="C192" s="3" t="s">
        <v>384</v>
      </c>
      <c r="D192" s="3" t="s">
        <v>385</v>
      </c>
      <c r="E192" s="3" t="s">
        <v>341</v>
      </c>
      <c r="F192" s="3">
        <v>8308</v>
      </c>
      <c r="G192" s="3">
        <v>8</v>
      </c>
      <c r="H192" s="3"/>
      <c r="I192" s="4">
        <v>4440</v>
      </c>
      <c r="J192" s="4">
        <v>4186</v>
      </c>
      <c r="K192" s="4">
        <v>4187</v>
      </c>
      <c r="L192" s="4">
        <v>254</v>
      </c>
      <c r="M192" s="4">
        <v>473</v>
      </c>
      <c r="N192" s="18">
        <v>0</v>
      </c>
      <c r="O192" s="18">
        <v>397</v>
      </c>
      <c r="P192" s="18">
        <v>0</v>
      </c>
      <c r="Q192" s="18">
        <v>0</v>
      </c>
      <c r="R192" s="18">
        <v>76</v>
      </c>
      <c r="S192" s="18">
        <v>0</v>
      </c>
      <c r="T192" s="18">
        <v>473</v>
      </c>
      <c r="U192" s="18" t="b">
        <v>1</v>
      </c>
      <c r="V192" s="4">
        <v>421</v>
      </c>
      <c r="W192" s="4">
        <v>421</v>
      </c>
      <c r="X192" s="3" t="b">
        <v>1</v>
      </c>
      <c r="Y192" s="18">
        <v>0</v>
      </c>
      <c r="Z192" s="18">
        <v>372</v>
      </c>
      <c r="AA192" s="18">
        <v>0</v>
      </c>
      <c r="AB192" s="18">
        <v>0</v>
      </c>
      <c r="AC192" s="18">
        <v>49</v>
      </c>
      <c r="AD192" s="18">
        <v>0</v>
      </c>
      <c r="AE192" s="18">
        <v>421</v>
      </c>
      <c r="AF192" s="4">
        <v>52</v>
      </c>
      <c r="AG192" s="5">
        <v>0.10993657505285412</v>
      </c>
      <c r="AH192" s="18">
        <f t="shared" si="2"/>
        <v>25</v>
      </c>
      <c r="AI192" s="6">
        <v>0.10653153153153153</v>
      </c>
      <c r="AJ192" s="3">
        <v>0.107</v>
      </c>
      <c r="AK192" s="6">
        <v>0.44186989046709707</v>
      </c>
      <c r="AL192" s="25">
        <v>0.442</v>
      </c>
      <c r="AM192" s="6">
        <v>0.1129956999522217</v>
      </c>
      <c r="AN192" s="3">
        <v>0.113</v>
      </c>
      <c r="AO192" s="6">
        <v>0.45551849425168589</v>
      </c>
      <c r="AP192" s="6">
        <v>0.10054931932171006</v>
      </c>
      <c r="AQ192" s="6">
        <v>0.10100000000000001</v>
      </c>
      <c r="AR192" s="6">
        <v>0.45354909052923098</v>
      </c>
      <c r="AS192" s="6">
        <v>0.45300000000000001</v>
      </c>
      <c r="AT192" s="6">
        <v>5.9822122098214664E-3</v>
      </c>
      <c r="AU192" s="6">
        <v>-1.167920006213391E-2</v>
      </c>
      <c r="AV192" s="6">
        <v>1.2446380630511636E-2</v>
      </c>
      <c r="AW192" s="6">
        <v>1.9694037224549099E-3</v>
      </c>
      <c r="AX192" s="7">
        <v>228</v>
      </c>
      <c r="AY192" s="26">
        <v>212</v>
      </c>
      <c r="AZ192" s="7">
        <v>215</v>
      </c>
      <c r="BA192" s="26">
        <v>-13</v>
      </c>
      <c r="BB192" s="26">
        <v>3</v>
      </c>
      <c r="BC192" s="6">
        <v>9.4819819819819823E-2</v>
      </c>
      <c r="BD192" s="6">
        <v>9.5000000000000001E-2</v>
      </c>
      <c r="BE192" s="11">
        <v>0.44091189117430418</v>
      </c>
      <c r="BF192" s="26">
        <v>230</v>
      </c>
      <c r="BG192" s="26">
        <v>-15</v>
      </c>
      <c r="BH192" s="7">
        <v>2</v>
      </c>
    </row>
    <row r="193" spans="2:60" x14ac:dyDescent="0.25">
      <c r="B193" s="3">
        <v>190</v>
      </c>
      <c r="C193" s="3" t="s">
        <v>386</v>
      </c>
      <c r="D193" s="3" t="s">
        <v>387</v>
      </c>
      <c r="E193" s="3" t="s">
        <v>341</v>
      </c>
      <c r="F193" s="3">
        <v>8309</v>
      </c>
      <c r="G193" s="3">
        <v>8</v>
      </c>
      <c r="H193" s="3">
        <v>0.45200000000000001</v>
      </c>
      <c r="I193" s="4">
        <v>9700</v>
      </c>
      <c r="J193" s="4">
        <v>9986</v>
      </c>
      <c r="K193" s="4">
        <v>10000</v>
      </c>
      <c r="L193" s="4">
        <v>-286</v>
      </c>
      <c r="M193" s="4">
        <v>127</v>
      </c>
      <c r="N193" s="18">
        <v>12</v>
      </c>
      <c r="O193" s="18">
        <v>0</v>
      </c>
      <c r="P193" s="18">
        <v>0</v>
      </c>
      <c r="Q193" s="18">
        <v>0</v>
      </c>
      <c r="R193" s="18">
        <v>115</v>
      </c>
      <c r="S193" s="18">
        <v>0</v>
      </c>
      <c r="T193" s="18">
        <v>127</v>
      </c>
      <c r="U193" s="18" t="b">
        <v>1</v>
      </c>
      <c r="V193" s="4">
        <v>170</v>
      </c>
      <c r="W193" s="4">
        <v>170</v>
      </c>
      <c r="X193" s="3" t="b">
        <v>1</v>
      </c>
      <c r="Y193" s="18">
        <v>85</v>
      </c>
      <c r="Z193" s="18">
        <v>0</v>
      </c>
      <c r="AA193" s="18">
        <v>0</v>
      </c>
      <c r="AB193" s="18">
        <v>0</v>
      </c>
      <c r="AC193" s="18">
        <v>85</v>
      </c>
      <c r="AD193" s="18">
        <v>0</v>
      </c>
      <c r="AE193" s="18">
        <v>170</v>
      </c>
      <c r="AF193" s="4">
        <v>-43</v>
      </c>
      <c r="AG193" s="5">
        <v>-0.33858267716535434</v>
      </c>
      <c r="AH193" s="18">
        <f t="shared" si="2"/>
        <v>0</v>
      </c>
      <c r="AI193" s="6">
        <v>1.3092783505154639E-2</v>
      </c>
      <c r="AJ193" s="3">
        <v>1.2999999999999999E-2</v>
      </c>
      <c r="AK193" s="6">
        <v>0.34556317398397973</v>
      </c>
      <c r="AL193" s="25">
        <v>0.34599999999999997</v>
      </c>
      <c r="AM193" s="6">
        <v>1.2717804926897657E-2</v>
      </c>
      <c r="AN193" s="3">
        <v>1.2999999999999999E-2</v>
      </c>
      <c r="AO193" s="6">
        <v>0.34160280479842431</v>
      </c>
      <c r="AP193" s="6">
        <v>1.7000000000000001E-2</v>
      </c>
      <c r="AQ193" s="6">
        <v>1.7000000000000001E-2</v>
      </c>
      <c r="AR193" s="6">
        <v>0.35610075554594622</v>
      </c>
      <c r="AS193" s="6">
        <v>0.35599999999999998</v>
      </c>
      <c r="AT193" s="6">
        <v>-3.9072164948453624E-3</v>
      </c>
      <c r="AU193" s="6">
        <v>-1.0537581561966491E-2</v>
      </c>
      <c r="AV193" s="6">
        <v>-4.2821950731023444E-3</v>
      </c>
      <c r="AW193" s="6">
        <v>-1.4497950747521915E-2</v>
      </c>
      <c r="AX193" s="7">
        <v>342</v>
      </c>
      <c r="AY193" s="7">
        <v>343</v>
      </c>
      <c r="AZ193" s="7">
        <v>337</v>
      </c>
      <c r="BA193" s="26">
        <v>-5</v>
      </c>
      <c r="BB193" s="26">
        <v>-6</v>
      </c>
      <c r="BC193" s="6">
        <v>1.7525773195876289E-2</v>
      </c>
      <c r="BD193" s="6">
        <v>1.7999999999999999E-2</v>
      </c>
      <c r="BE193" s="11">
        <v>0.35787688873103374</v>
      </c>
      <c r="BF193" s="7">
        <v>338</v>
      </c>
      <c r="BG193" s="26">
        <v>-1</v>
      </c>
      <c r="BH193" s="7">
        <v>-4</v>
      </c>
    </row>
    <row r="194" spans="2:60" x14ac:dyDescent="0.25">
      <c r="B194" s="3">
        <v>191</v>
      </c>
      <c r="C194" s="3" t="s">
        <v>388</v>
      </c>
      <c r="D194" s="3" t="s">
        <v>389</v>
      </c>
      <c r="E194" s="3" t="s">
        <v>341</v>
      </c>
      <c r="F194" s="3">
        <v>8108</v>
      </c>
      <c r="G194" s="3">
        <v>8</v>
      </c>
      <c r="H194" s="3">
        <v>0.60099999999999998</v>
      </c>
      <c r="I194" s="4">
        <v>150992</v>
      </c>
      <c r="J194" s="4">
        <v>153516</v>
      </c>
      <c r="K194" s="4">
        <v>151833</v>
      </c>
      <c r="L194" s="4">
        <v>-2524</v>
      </c>
      <c r="M194" s="4">
        <v>46631</v>
      </c>
      <c r="N194" s="18">
        <v>25</v>
      </c>
      <c r="O194" s="18">
        <v>34350</v>
      </c>
      <c r="P194" s="18">
        <v>11882</v>
      </c>
      <c r="Q194" s="18">
        <v>0</v>
      </c>
      <c r="R194" s="18">
        <v>374</v>
      </c>
      <c r="S194" s="18">
        <v>0</v>
      </c>
      <c r="T194" s="18">
        <v>46631</v>
      </c>
      <c r="U194" s="18" t="b">
        <v>1</v>
      </c>
      <c r="V194" s="4">
        <v>45358</v>
      </c>
      <c r="W194" s="4">
        <v>45358</v>
      </c>
      <c r="X194" s="3" t="b">
        <v>1</v>
      </c>
      <c r="Y194" s="18">
        <v>45</v>
      </c>
      <c r="Z194" s="18">
        <v>31766</v>
      </c>
      <c r="AA194" s="18">
        <v>13111</v>
      </c>
      <c r="AB194" s="18">
        <v>0</v>
      </c>
      <c r="AC194" s="18">
        <v>436</v>
      </c>
      <c r="AD194" s="18">
        <v>0</v>
      </c>
      <c r="AE194" s="18">
        <v>45358</v>
      </c>
      <c r="AF194" s="4">
        <v>1273</v>
      </c>
      <c r="AG194" s="5">
        <v>2.7299435997512386E-2</v>
      </c>
      <c r="AH194" s="18">
        <f t="shared" si="2"/>
        <v>2584</v>
      </c>
      <c r="AI194" s="6">
        <v>0.30883093144007628</v>
      </c>
      <c r="AJ194" s="3">
        <v>0.309</v>
      </c>
      <c r="AK194" s="6">
        <v>0.65037858052571373</v>
      </c>
      <c r="AL194" s="25">
        <v>0.65</v>
      </c>
      <c r="AM194" s="6">
        <v>0.30375335469918446</v>
      </c>
      <c r="AN194" s="3">
        <v>0.30399999999999999</v>
      </c>
      <c r="AO194" s="6">
        <v>0.67221919138438657</v>
      </c>
      <c r="AP194" s="6">
        <v>0.29873611138553541</v>
      </c>
      <c r="AQ194" s="6">
        <v>0.29899999999999999</v>
      </c>
      <c r="AR194" s="6">
        <v>0.68324873727554503</v>
      </c>
      <c r="AS194" s="6">
        <v>0.68300000000000005</v>
      </c>
      <c r="AT194" s="6">
        <v>1.0094820054540876E-2</v>
      </c>
      <c r="AU194" s="6">
        <v>-3.2870156749831292E-2</v>
      </c>
      <c r="AV194" s="6">
        <v>5.0172433136490557E-3</v>
      </c>
      <c r="AW194" s="6">
        <v>-1.1029545891158454E-2</v>
      </c>
      <c r="AX194" s="7">
        <v>24</v>
      </c>
      <c r="AY194" s="26">
        <v>19</v>
      </c>
      <c r="AZ194" s="7">
        <v>17</v>
      </c>
      <c r="BA194" s="26">
        <v>-7</v>
      </c>
      <c r="BB194" s="26">
        <v>-2</v>
      </c>
      <c r="BC194" s="6">
        <v>0.30040002119317577</v>
      </c>
      <c r="BD194" s="6">
        <v>0.3</v>
      </c>
      <c r="BE194" s="11">
        <v>0.66176140376841808</v>
      </c>
      <c r="BF194" s="26">
        <v>19</v>
      </c>
      <c r="BG194" s="26">
        <v>-2</v>
      </c>
      <c r="BH194" s="7">
        <v>-5</v>
      </c>
    </row>
    <row r="195" spans="2:60" x14ac:dyDescent="0.25">
      <c r="B195" s="3">
        <v>192</v>
      </c>
      <c r="C195" s="3" t="s">
        <v>390</v>
      </c>
      <c r="D195" s="3" t="s">
        <v>391</v>
      </c>
      <c r="E195" s="3" t="s">
        <v>341</v>
      </c>
      <c r="F195" s="3">
        <v>8310</v>
      </c>
      <c r="G195" s="3">
        <v>8</v>
      </c>
      <c r="H195" s="3"/>
      <c r="I195" s="4">
        <v>3575</v>
      </c>
      <c r="J195" s="4">
        <v>3553</v>
      </c>
      <c r="K195" s="4">
        <v>3565</v>
      </c>
      <c r="L195" s="4">
        <v>22</v>
      </c>
      <c r="M195" s="4">
        <v>561</v>
      </c>
      <c r="N195" s="18">
        <v>8</v>
      </c>
      <c r="O195" s="18">
        <v>544</v>
      </c>
      <c r="P195" s="18">
        <v>0</v>
      </c>
      <c r="Q195" s="18">
        <v>0</v>
      </c>
      <c r="R195" s="18">
        <v>9</v>
      </c>
      <c r="S195" s="18">
        <v>0</v>
      </c>
      <c r="T195" s="18">
        <v>561</v>
      </c>
      <c r="U195" s="18" t="b">
        <v>1</v>
      </c>
      <c r="V195" s="4">
        <v>560</v>
      </c>
      <c r="W195" s="4">
        <v>560</v>
      </c>
      <c r="X195" s="3" t="b">
        <v>1</v>
      </c>
      <c r="Y195" s="18">
        <v>16</v>
      </c>
      <c r="Z195" s="18">
        <v>533</v>
      </c>
      <c r="AA195" s="18">
        <v>3</v>
      </c>
      <c r="AB195" s="18">
        <v>0</v>
      </c>
      <c r="AC195" s="18">
        <v>8</v>
      </c>
      <c r="AD195" s="18">
        <v>0</v>
      </c>
      <c r="AE195" s="18">
        <v>560</v>
      </c>
      <c r="AF195" s="4">
        <v>1</v>
      </c>
      <c r="AG195" s="5">
        <v>1.7825311942959001E-3</v>
      </c>
      <c r="AH195" s="18">
        <f t="shared" si="2"/>
        <v>11</v>
      </c>
      <c r="AI195" s="6">
        <v>0.15692307692307692</v>
      </c>
      <c r="AJ195" s="3">
        <v>0.157</v>
      </c>
      <c r="AK195" s="6">
        <v>0.493808132124613</v>
      </c>
      <c r="AL195" s="25">
        <v>0.49399999999999999</v>
      </c>
      <c r="AM195" s="6">
        <v>0.15789473684210525</v>
      </c>
      <c r="AN195" s="3">
        <v>0.158</v>
      </c>
      <c r="AO195" s="6">
        <v>0.50652380047402779</v>
      </c>
      <c r="AP195" s="6">
        <v>0.15708274894810659</v>
      </c>
      <c r="AQ195" s="6">
        <v>0.157</v>
      </c>
      <c r="AR195" s="6">
        <v>0.51851464718475415</v>
      </c>
      <c r="AS195" s="6">
        <v>0.51900000000000002</v>
      </c>
      <c r="AT195" s="6">
        <v>-1.5967202502967237E-4</v>
      </c>
      <c r="AU195" s="6">
        <v>-2.4706515060141154E-2</v>
      </c>
      <c r="AV195" s="6">
        <v>8.1198789399866689E-4</v>
      </c>
      <c r="AW195" s="6">
        <v>-1.1990846710726366E-2</v>
      </c>
      <c r="AX195" s="7">
        <v>170</v>
      </c>
      <c r="AY195" s="7">
        <v>152</v>
      </c>
      <c r="AZ195" s="7">
        <v>139</v>
      </c>
      <c r="BA195" s="26">
        <v>-31</v>
      </c>
      <c r="BB195" s="26">
        <v>-13</v>
      </c>
      <c r="BC195" s="6">
        <v>0.15664335664335666</v>
      </c>
      <c r="BD195" s="6">
        <v>0.157</v>
      </c>
      <c r="BE195" s="11">
        <v>0.50732732360948196</v>
      </c>
      <c r="BF195" s="7">
        <v>149</v>
      </c>
      <c r="BG195" s="26">
        <v>-10</v>
      </c>
      <c r="BH195" s="7">
        <v>-21</v>
      </c>
    </row>
    <row r="196" spans="2:60" x14ac:dyDescent="0.25">
      <c r="B196" s="3">
        <v>193</v>
      </c>
      <c r="C196" s="3" t="s">
        <v>392</v>
      </c>
      <c r="D196" s="3" t="s">
        <v>393</v>
      </c>
      <c r="E196" s="3" t="s">
        <v>341</v>
      </c>
      <c r="F196" s="3">
        <v>8311</v>
      </c>
      <c r="G196" s="3">
        <v>8</v>
      </c>
      <c r="H196" s="3">
        <v>0.53200000000000003</v>
      </c>
      <c r="I196" s="4">
        <v>14075</v>
      </c>
      <c r="J196" s="4">
        <v>14671</v>
      </c>
      <c r="K196" s="4">
        <v>14657</v>
      </c>
      <c r="L196" s="4">
        <v>-596</v>
      </c>
      <c r="M196" s="4">
        <v>1693</v>
      </c>
      <c r="N196" s="18">
        <v>3</v>
      </c>
      <c r="O196" s="18">
        <v>1508</v>
      </c>
      <c r="P196" s="18">
        <v>0</v>
      </c>
      <c r="Q196" s="18">
        <v>0</v>
      </c>
      <c r="R196" s="18">
        <v>182</v>
      </c>
      <c r="S196" s="18">
        <v>0</v>
      </c>
      <c r="T196" s="18">
        <v>1693</v>
      </c>
      <c r="U196" s="18" t="b">
        <v>1</v>
      </c>
      <c r="V196" s="4">
        <v>1576</v>
      </c>
      <c r="W196" s="4">
        <v>1576</v>
      </c>
      <c r="X196" s="3" t="b">
        <v>1</v>
      </c>
      <c r="Y196" s="18">
        <v>16</v>
      </c>
      <c r="Z196" s="18">
        <v>1455</v>
      </c>
      <c r="AA196" s="18">
        <v>0</v>
      </c>
      <c r="AB196" s="18">
        <v>0</v>
      </c>
      <c r="AC196" s="18">
        <v>105</v>
      </c>
      <c r="AD196" s="18">
        <v>0</v>
      </c>
      <c r="AE196" s="18">
        <v>1576</v>
      </c>
      <c r="AF196" s="4">
        <v>117</v>
      </c>
      <c r="AG196" s="5">
        <v>6.9108092144122862E-2</v>
      </c>
      <c r="AH196" s="18">
        <f t="shared" ref="AH196:AH259" si="3">O196-Z196</f>
        <v>53</v>
      </c>
      <c r="AI196" s="6">
        <v>0.1202841918294849</v>
      </c>
      <c r="AJ196" s="3">
        <v>0.12</v>
      </c>
      <c r="AK196" s="6">
        <v>0.4560446689629491</v>
      </c>
      <c r="AL196" s="25">
        <v>0.45600000000000002</v>
      </c>
      <c r="AM196" s="6">
        <v>0.11539772339990458</v>
      </c>
      <c r="AN196" s="3">
        <v>0.115</v>
      </c>
      <c r="AO196" s="6">
        <v>0.45824719290512883</v>
      </c>
      <c r="AP196" s="6">
        <v>0.10752541447772396</v>
      </c>
      <c r="AQ196" s="6">
        <v>0.108</v>
      </c>
      <c r="AR196" s="6">
        <v>0.4616697851111714</v>
      </c>
      <c r="AS196" s="6">
        <v>0.46100000000000002</v>
      </c>
      <c r="AT196" s="6">
        <v>1.2758777351760939E-2</v>
      </c>
      <c r="AU196" s="6">
        <v>-5.6251161482223089E-3</v>
      </c>
      <c r="AV196" s="6">
        <v>7.8723089221806181E-3</v>
      </c>
      <c r="AW196" s="6">
        <v>-3.422592206042574E-3</v>
      </c>
      <c r="AX196" s="7">
        <v>209</v>
      </c>
      <c r="AY196" s="26">
        <v>210</v>
      </c>
      <c r="AZ196" s="7">
        <v>203</v>
      </c>
      <c r="BA196" s="26">
        <v>-6</v>
      </c>
      <c r="BB196" s="26">
        <v>-7</v>
      </c>
      <c r="BC196" s="6">
        <v>0.11197158081705151</v>
      </c>
      <c r="BD196" s="6">
        <v>0.112</v>
      </c>
      <c r="BE196" s="11">
        <v>0.45933758601779745</v>
      </c>
      <c r="BF196" s="26">
        <v>204</v>
      </c>
      <c r="BG196" s="26">
        <v>-1</v>
      </c>
      <c r="BH196" s="7">
        <v>-5</v>
      </c>
    </row>
    <row r="197" spans="2:60" x14ac:dyDescent="0.25">
      <c r="B197" s="3">
        <v>194</v>
      </c>
      <c r="C197" s="3" t="s">
        <v>394</v>
      </c>
      <c r="D197" s="3" t="s">
        <v>395</v>
      </c>
      <c r="E197" s="3" t="s">
        <v>341</v>
      </c>
      <c r="F197" s="3">
        <v>8109</v>
      </c>
      <c r="G197" s="3">
        <v>8</v>
      </c>
      <c r="H197" s="3">
        <v>0.48899999999999999</v>
      </c>
      <c r="I197" s="4">
        <v>14947</v>
      </c>
      <c r="J197" s="4">
        <v>14890</v>
      </c>
      <c r="K197" s="4">
        <v>14870</v>
      </c>
      <c r="L197" s="4">
        <v>57</v>
      </c>
      <c r="M197" s="4">
        <v>2242</v>
      </c>
      <c r="N197" s="18">
        <v>5</v>
      </c>
      <c r="O197" s="18">
        <v>2121</v>
      </c>
      <c r="P197" s="18">
        <v>0</v>
      </c>
      <c r="Q197" s="18">
        <v>0</v>
      </c>
      <c r="R197" s="18">
        <v>116</v>
      </c>
      <c r="S197" s="18">
        <v>0</v>
      </c>
      <c r="T197" s="18">
        <v>2242</v>
      </c>
      <c r="U197" s="18" t="b">
        <v>1</v>
      </c>
      <c r="V197" s="4">
        <v>2041</v>
      </c>
      <c r="W197" s="4">
        <v>2041</v>
      </c>
      <c r="X197" s="3" t="b">
        <v>1</v>
      </c>
      <c r="Y197" s="18">
        <v>46</v>
      </c>
      <c r="Z197" s="18">
        <v>1915</v>
      </c>
      <c r="AA197" s="18">
        <v>0</v>
      </c>
      <c r="AB197" s="18">
        <v>0</v>
      </c>
      <c r="AC197" s="18">
        <v>80</v>
      </c>
      <c r="AD197" s="18">
        <v>0</v>
      </c>
      <c r="AE197" s="18">
        <v>2041</v>
      </c>
      <c r="AF197" s="4">
        <v>201</v>
      </c>
      <c r="AG197" s="5">
        <v>8.9652096342551293E-2</v>
      </c>
      <c r="AH197" s="18">
        <f t="shared" si="3"/>
        <v>206</v>
      </c>
      <c r="AI197" s="6">
        <v>0.14999665484712651</v>
      </c>
      <c r="AJ197" s="3">
        <v>0.15</v>
      </c>
      <c r="AK197" s="6">
        <v>0.48666911344980524</v>
      </c>
      <c r="AL197" s="25">
        <v>0.48699999999999999</v>
      </c>
      <c r="AM197" s="6">
        <v>0.15057085292142378</v>
      </c>
      <c r="AN197" s="3">
        <v>0.151</v>
      </c>
      <c r="AO197" s="6">
        <v>0.49820386828868035</v>
      </c>
      <c r="AP197" s="6">
        <v>0.13725622057834566</v>
      </c>
      <c r="AQ197" s="6">
        <v>0.13700000000000001</v>
      </c>
      <c r="AR197" s="6">
        <v>0.49531266266492446</v>
      </c>
      <c r="AS197" s="6">
        <v>0.496</v>
      </c>
      <c r="AT197" s="6">
        <v>1.2740434268780854E-2</v>
      </c>
      <c r="AU197" s="6">
        <v>-8.6435492151192284E-3</v>
      </c>
      <c r="AV197" s="6">
        <v>1.3314632343078114E-2</v>
      </c>
      <c r="AW197" s="6">
        <v>2.8912056237558881E-3</v>
      </c>
      <c r="AX197" s="7">
        <v>180</v>
      </c>
      <c r="AY197" s="7">
        <v>167</v>
      </c>
      <c r="AZ197" s="7">
        <v>168</v>
      </c>
      <c r="BA197" s="26">
        <v>-12</v>
      </c>
      <c r="BB197" s="26">
        <v>1</v>
      </c>
      <c r="BC197" s="6">
        <v>0.13654914029571152</v>
      </c>
      <c r="BD197" s="6">
        <v>0.13700000000000001</v>
      </c>
      <c r="BE197" s="11">
        <v>0.4857406248092479</v>
      </c>
      <c r="BF197" s="7">
        <v>177</v>
      </c>
      <c r="BG197" s="26">
        <v>-9</v>
      </c>
      <c r="BH197" s="7">
        <v>-3</v>
      </c>
    </row>
    <row r="198" spans="2:60" x14ac:dyDescent="0.25">
      <c r="B198" s="3">
        <v>195</v>
      </c>
      <c r="C198" s="3" t="s">
        <v>396</v>
      </c>
      <c r="D198" s="3" t="s">
        <v>397</v>
      </c>
      <c r="E198" s="3" t="s">
        <v>341</v>
      </c>
      <c r="F198" s="3">
        <v>8110</v>
      </c>
      <c r="G198" s="3">
        <v>8</v>
      </c>
      <c r="H198" s="3">
        <v>0.59399999999999997</v>
      </c>
      <c r="I198" s="4">
        <v>147322</v>
      </c>
      <c r="J198" s="4">
        <v>158167</v>
      </c>
      <c r="K198" s="4">
        <v>158222</v>
      </c>
      <c r="L198" s="4">
        <v>-10845</v>
      </c>
      <c r="M198" s="4">
        <v>52853</v>
      </c>
      <c r="N198" s="18">
        <v>42</v>
      </c>
      <c r="O198" s="18">
        <v>30140</v>
      </c>
      <c r="P198" s="18">
        <v>22456</v>
      </c>
      <c r="Q198" s="18">
        <v>0</v>
      </c>
      <c r="R198" s="18">
        <v>215</v>
      </c>
      <c r="S198" s="18">
        <v>0</v>
      </c>
      <c r="T198" s="18">
        <v>52853</v>
      </c>
      <c r="U198" s="18" t="b">
        <v>1</v>
      </c>
      <c r="V198" s="4">
        <v>49725</v>
      </c>
      <c r="W198" s="4">
        <v>49725</v>
      </c>
      <c r="X198" s="3" t="b">
        <v>1</v>
      </c>
      <c r="Y198" s="18">
        <v>230</v>
      </c>
      <c r="Z198" s="18">
        <v>28413</v>
      </c>
      <c r="AA198" s="18">
        <v>20883</v>
      </c>
      <c r="AB198" s="18">
        <v>0</v>
      </c>
      <c r="AC198" s="18">
        <v>198</v>
      </c>
      <c r="AD198" s="18">
        <v>1</v>
      </c>
      <c r="AE198" s="18">
        <v>49725</v>
      </c>
      <c r="AF198" s="4">
        <v>3128</v>
      </c>
      <c r="AG198" s="5">
        <v>5.9183017047282085E-2</v>
      </c>
      <c r="AH198" s="18">
        <f t="shared" si="3"/>
        <v>1727</v>
      </c>
      <c r="AI198" s="6">
        <v>0.35875836602815603</v>
      </c>
      <c r="AJ198" s="3">
        <v>0.35899999999999999</v>
      </c>
      <c r="AK198" s="6">
        <v>0.70183846616380285</v>
      </c>
      <c r="AL198" s="25">
        <v>0.70199999999999996</v>
      </c>
      <c r="AM198" s="6">
        <v>0.33415946436361565</v>
      </c>
      <c r="AN198" s="3">
        <v>0.33400000000000002</v>
      </c>
      <c r="AO198" s="6">
        <v>0.7067605321767958</v>
      </c>
      <c r="AP198" s="6">
        <v>0.31427361555283084</v>
      </c>
      <c r="AQ198" s="6">
        <v>0.314</v>
      </c>
      <c r="AR198" s="6">
        <v>0.70065022566541735</v>
      </c>
      <c r="AS198" s="6">
        <v>0.70099999999999996</v>
      </c>
      <c r="AT198" s="6">
        <v>4.4484750475325185E-2</v>
      </c>
      <c r="AU198" s="6">
        <v>1.1882404983855066E-3</v>
      </c>
      <c r="AV198" s="6">
        <v>1.9885848810784812E-2</v>
      </c>
      <c r="AW198" s="6">
        <v>6.1103065113784494E-3</v>
      </c>
      <c r="AX198" s="7">
        <v>10</v>
      </c>
      <c r="AY198" s="26">
        <v>11</v>
      </c>
      <c r="AZ198" s="7">
        <v>10</v>
      </c>
      <c r="BA198" s="26">
        <v>0</v>
      </c>
      <c r="BB198" s="26">
        <v>-1</v>
      </c>
      <c r="BC198" s="6">
        <v>0.33752596353565661</v>
      </c>
      <c r="BD198" s="6">
        <v>0.33800000000000002</v>
      </c>
      <c r="BE198" s="11">
        <v>0.70164484690233808</v>
      </c>
      <c r="BF198" s="26">
        <v>9</v>
      </c>
      <c r="BG198" s="26">
        <v>1</v>
      </c>
      <c r="BH198" s="7">
        <v>-1</v>
      </c>
    </row>
    <row r="199" spans="2:60" x14ac:dyDescent="0.25">
      <c r="B199" s="3">
        <v>196</v>
      </c>
      <c r="C199" s="3" t="s">
        <v>398</v>
      </c>
      <c r="D199" s="3" t="s">
        <v>399</v>
      </c>
      <c r="E199" s="3" t="s">
        <v>341</v>
      </c>
      <c r="F199" s="3">
        <v>8207</v>
      </c>
      <c r="G199" s="3">
        <v>8</v>
      </c>
      <c r="H199" s="3">
        <v>0.34599999999999997</v>
      </c>
      <c r="I199" s="4">
        <v>10208</v>
      </c>
      <c r="J199" s="4">
        <v>11105</v>
      </c>
      <c r="K199" s="4">
        <v>11088</v>
      </c>
      <c r="L199" s="4">
        <v>-897</v>
      </c>
      <c r="M199" s="4">
        <v>230</v>
      </c>
      <c r="N199" s="18">
        <v>0</v>
      </c>
      <c r="O199" s="18">
        <v>0</v>
      </c>
      <c r="P199" s="18">
        <v>0</v>
      </c>
      <c r="Q199" s="18">
        <v>0</v>
      </c>
      <c r="R199" s="18">
        <v>230</v>
      </c>
      <c r="S199" s="18">
        <v>0</v>
      </c>
      <c r="T199" s="18">
        <v>230</v>
      </c>
      <c r="U199" s="18" t="b">
        <v>1</v>
      </c>
      <c r="V199" s="4">
        <v>183</v>
      </c>
      <c r="W199" s="4">
        <v>183</v>
      </c>
      <c r="X199" s="3" t="b">
        <v>1</v>
      </c>
      <c r="Y199" s="18">
        <v>0</v>
      </c>
      <c r="Z199" s="18">
        <v>0</v>
      </c>
      <c r="AA199" s="18">
        <v>0</v>
      </c>
      <c r="AB199" s="18">
        <v>0</v>
      </c>
      <c r="AC199" s="18">
        <v>183</v>
      </c>
      <c r="AD199" s="18">
        <v>0</v>
      </c>
      <c r="AE199" s="18">
        <v>183</v>
      </c>
      <c r="AF199" s="4">
        <v>47</v>
      </c>
      <c r="AG199" s="5">
        <v>0.20434782608695654</v>
      </c>
      <c r="AH199" s="18">
        <f t="shared" si="3"/>
        <v>0</v>
      </c>
      <c r="AI199" s="6">
        <v>2.2531347962382445E-2</v>
      </c>
      <c r="AJ199" s="3">
        <v>2.3E-2</v>
      </c>
      <c r="AK199" s="6">
        <v>0.35529144165012261</v>
      </c>
      <c r="AL199" s="25">
        <v>0.35499999999999998</v>
      </c>
      <c r="AM199" s="6">
        <v>2.0711391265195857E-2</v>
      </c>
      <c r="AN199" s="3">
        <v>2.1000000000000001E-2</v>
      </c>
      <c r="AO199" s="6">
        <v>0.35068351893488936</v>
      </c>
      <c r="AP199" s="6">
        <v>1.6504329004329004E-2</v>
      </c>
      <c r="AQ199" s="6">
        <v>1.7000000000000001E-2</v>
      </c>
      <c r="AR199" s="6">
        <v>0.35610075554594622</v>
      </c>
      <c r="AS199" s="6">
        <v>0.35599999999999998</v>
      </c>
      <c r="AT199" s="6">
        <v>6.0270189580534407E-3</v>
      </c>
      <c r="AU199" s="6">
        <v>-8.0931389582361568E-4</v>
      </c>
      <c r="AV199" s="6">
        <v>4.2070622608668534E-3</v>
      </c>
      <c r="AW199" s="6">
        <v>-5.4172366110568637E-3</v>
      </c>
      <c r="AX199" s="7">
        <v>337</v>
      </c>
      <c r="AY199" s="7">
        <v>336</v>
      </c>
      <c r="AZ199" s="7">
        <v>336</v>
      </c>
      <c r="BA199" s="26">
        <v>-1</v>
      </c>
      <c r="BB199" s="26">
        <v>0</v>
      </c>
      <c r="BC199" s="6">
        <v>1.7927115987460815E-2</v>
      </c>
      <c r="BD199" s="6">
        <v>1.7999999999999999E-2</v>
      </c>
      <c r="BE199" s="11">
        <v>0.35830804094954738</v>
      </c>
      <c r="BF199" s="7">
        <v>336</v>
      </c>
      <c r="BG199" s="26">
        <v>0</v>
      </c>
      <c r="BH199" s="7">
        <v>-1</v>
      </c>
    </row>
    <row r="200" spans="2:60" x14ac:dyDescent="0.25">
      <c r="B200" s="3">
        <v>197</v>
      </c>
      <c r="C200" s="3" t="s">
        <v>400</v>
      </c>
      <c r="D200" s="3" t="s">
        <v>401</v>
      </c>
      <c r="E200" s="3" t="s">
        <v>341</v>
      </c>
      <c r="F200" s="3">
        <v>8111</v>
      </c>
      <c r="G200" s="3">
        <v>8</v>
      </c>
      <c r="H200" s="3">
        <v>0.57199999999999995</v>
      </c>
      <c r="I200" s="4">
        <v>56907</v>
      </c>
      <c r="J200" s="4">
        <v>59150</v>
      </c>
      <c r="K200" s="4">
        <v>59069</v>
      </c>
      <c r="L200" s="4">
        <v>-2243</v>
      </c>
      <c r="M200" s="4">
        <v>15369</v>
      </c>
      <c r="N200" s="18">
        <v>8</v>
      </c>
      <c r="O200" s="18">
        <v>15053</v>
      </c>
      <c r="P200" s="18">
        <v>77</v>
      </c>
      <c r="Q200" s="18">
        <v>0</v>
      </c>
      <c r="R200" s="18">
        <v>231</v>
      </c>
      <c r="S200" s="18">
        <v>0</v>
      </c>
      <c r="T200" s="18">
        <v>15369</v>
      </c>
      <c r="U200" s="18" t="b">
        <v>1</v>
      </c>
      <c r="V200" s="4">
        <v>14827</v>
      </c>
      <c r="W200" s="4">
        <v>14827</v>
      </c>
      <c r="X200" s="3" t="b">
        <v>1</v>
      </c>
      <c r="Y200" s="18">
        <v>117</v>
      </c>
      <c r="Z200" s="18">
        <v>14545</v>
      </c>
      <c r="AA200" s="18">
        <v>0</v>
      </c>
      <c r="AB200" s="18">
        <v>1</v>
      </c>
      <c r="AC200" s="18">
        <v>164</v>
      </c>
      <c r="AD200" s="18">
        <v>0</v>
      </c>
      <c r="AE200" s="18">
        <v>14827</v>
      </c>
      <c r="AF200" s="4">
        <v>542</v>
      </c>
      <c r="AG200" s="5">
        <v>3.5265794781703427E-2</v>
      </c>
      <c r="AH200" s="18">
        <f t="shared" si="3"/>
        <v>508</v>
      </c>
      <c r="AI200" s="6">
        <v>0.27007222310084877</v>
      </c>
      <c r="AJ200" s="3">
        <v>0.27</v>
      </c>
      <c r="AK200" s="6">
        <v>0.61043022918196388</v>
      </c>
      <c r="AL200" s="25">
        <v>0.61</v>
      </c>
      <c r="AM200" s="6">
        <v>0.25983093829247678</v>
      </c>
      <c r="AN200" s="3">
        <v>0.26</v>
      </c>
      <c r="AO200" s="6">
        <v>0.62232332603779361</v>
      </c>
      <c r="AP200" s="6">
        <v>0.25101152888994227</v>
      </c>
      <c r="AQ200" s="6">
        <v>0.251</v>
      </c>
      <c r="AR200" s="6">
        <v>0.62756397442795375</v>
      </c>
      <c r="AS200" s="6">
        <v>0.627</v>
      </c>
      <c r="AT200" s="6">
        <v>1.9060694210906504E-2</v>
      </c>
      <c r="AU200" s="6">
        <v>-1.7133745245989873E-2</v>
      </c>
      <c r="AV200" s="6">
        <v>8.819409402534506E-3</v>
      </c>
      <c r="AW200" s="6">
        <v>-5.2406483901601408E-3</v>
      </c>
      <c r="AX200" s="7">
        <v>46</v>
      </c>
      <c r="AY200" s="26">
        <v>40</v>
      </c>
      <c r="AZ200" s="7">
        <v>40</v>
      </c>
      <c r="BA200" s="26">
        <v>-6</v>
      </c>
      <c r="BB200" s="26">
        <v>0</v>
      </c>
      <c r="BC200" s="6">
        <v>0.26054791150473577</v>
      </c>
      <c r="BD200" s="6">
        <v>0.26100000000000001</v>
      </c>
      <c r="BE200" s="11">
        <v>0.61894930930726433</v>
      </c>
      <c r="BF200" s="26">
        <v>45</v>
      </c>
      <c r="BG200" s="26">
        <v>-5</v>
      </c>
      <c r="BH200" s="7">
        <v>-1</v>
      </c>
    </row>
    <row r="201" spans="2:60" x14ac:dyDescent="0.25">
      <c r="B201" s="3">
        <v>198</v>
      </c>
      <c r="C201" s="3" t="s">
        <v>402</v>
      </c>
      <c r="D201" s="3" t="s">
        <v>403</v>
      </c>
      <c r="E201" s="3" t="s">
        <v>341</v>
      </c>
      <c r="F201" s="3">
        <v>8312</v>
      </c>
      <c r="G201" s="3">
        <v>8</v>
      </c>
      <c r="H201" s="3">
        <v>0.44</v>
      </c>
      <c r="I201" s="4">
        <v>15729</v>
      </c>
      <c r="J201" s="4">
        <v>15428</v>
      </c>
      <c r="K201" s="4">
        <v>15379</v>
      </c>
      <c r="L201" s="4">
        <v>301</v>
      </c>
      <c r="M201" s="4">
        <v>2948</v>
      </c>
      <c r="N201" s="18">
        <v>90</v>
      </c>
      <c r="O201" s="18">
        <v>2694</v>
      </c>
      <c r="P201" s="18">
        <v>0</v>
      </c>
      <c r="Q201" s="18">
        <v>0</v>
      </c>
      <c r="R201" s="18">
        <v>164</v>
      </c>
      <c r="S201" s="18">
        <v>0</v>
      </c>
      <c r="T201" s="18">
        <v>2948</v>
      </c>
      <c r="U201" s="18" t="b">
        <v>1</v>
      </c>
      <c r="V201" s="4">
        <v>2811</v>
      </c>
      <c r="W201" s="4">
        <v>2811</v>
      </c>
      <c r="X201" s="3" t="b">
        <v>1</v>
      </c>
      <c r="Y201" s="18">
        <v>95</v>
      </c>
      <c r="Z201" s="18">
        <v>2589</v>
      </c>
      <c r="AA201" s="18">
        <v>0</v>
      </c>
      <c r="AB201" s="18">
        <v>0</v>
      </c>
      <c r="AC201" s="18">
        <v>127</v>
      </c>
      <c r="AD201" s="18">
        <v>0</v>
      </c>
      <c r="AE201" s="18">
        <v>2811</v>
      </c>
      <c r="AF201" s="4">
        <v>137</v>
      </c>
      <c r="AG201" s="5">
        <v>4.6472184531886021E-2</v>
      </c>
      <c r="AH201" s="18">
        <f t="shared" si="3"/>
        <v>105</v>
      </c>
      <c r="AI201" s="6">
        <v>0.1874245025112849</v>
      </c>
      <c r="AJ201" s="3">
        <v>0.187</v>
      </c>
      <c r="AK201" s="6">
        <v>0.5252457552574189</v>
      </c>
      <c r="AL201" s="25">
        <v>0.52500000000000002</v>
      </c>
      <c r="AM201" s="6">
        <v>0.19108115115374644</v>
      </c>
      <c r="AN201" s="3">
        <v>0.191</v>
      </c>
      <c r="AO201" s="6">
        <v>0.54422356736520039</v>
      </c>
      <c r="AP201" s="6">
        <v>0.18278171532609402</v>
      </c>
      <c r="AQ201" s="6">
        <v>0.183</v>
      </c>
      <c r="AR201" s="6">
        <v>0.54867722706053279</v>
      </c>
      <c r="AS201" s="6">
        <v>0.54800000000000004</v>
      </c>
      <c r="AT201" s="6">
        <v>4.642787185190872E-3</v>
      </c>
      <c r="AU201" s="6">
        <v>-2.343147180311389E-2</v>
      </c>
      <c r="AV201" s="6">
        <v>8.2994358276524127E-3</v>
      </c>
      <c r="AW201" s="6">
        <v>-4.4536596953324015E-3</v>
      </c>
      <c r="AX201" s="7">
        <v>130</v>
      </c>
      <c r="AY201" s="7">
        <v>115</v>
      </c>
      <c r="AZ201" s="7">
        <v>114</v>
      </c>
      <c r="BA201" s="26">
        <v>-16</v>
      </c>
      <c r="BB201" s="26">
        <v>-1</v>
      </c>
      <c r="BC201" s="6">
        <v>0.17871447644478353</v>
      </c>
      <c r="BD201" s="6">
        <v>0.17899999999999999</v>
      </c>
      <c r="BE201" s="11">
        <v>0.53103775884589366</v>
      </c>
      <c r="BF201" s="7">
        <v>125</v>
      </c>
      <c r="BG201" s="26">
        <v>-11</v>
      </c>
      <c r="BH201" s="7">
        <v>-5</v>
      </c>
    </row>
    <row r="202" spans="2:60" x14ac:dyDescent="0.25">
      <c r="B202" s="3">
        <v>199</v>
      </c>
      <c r="C202" s="3" t="s">
        <v>404</v>
      </c>
      <c r="D202" s="3" t="s">
        <v>405</v>
      </c>
      <c r="E202" s="3" t="s">
        <v>341</v>
      </c>
      <c r="F202" s="3">
        <v>8313</v>
      </c>
      <c r="G202" s="3">
        <v>8</v>
      </c>
      <c r="H202" s="3">
        <v>0.47</v>
      </c>
      <c r="I202" s="4">
        <v>23170</v>
      </c>
      <c r="J202" s="4">
        <v>22210</v>
      </c>
      <c r="K202" s="4">
        <v>22194</v>
      </c>
      <c r="L202" s="4">
        <v>960</v>
      </c>
      <c r="M202" s="4">
        <v>3112</v>
      </c>
      <c r="N202" s="18">
        <v>99</v>
      </c>
      <c r="O202" s="18">
        <v>2712</v>
      </c>
      <c r="P202" s="18">
        <v>4</v>
      </c>
      <c r="Q202" s="18">
        <v>0</v>
      </c>
      <c r="R202" s="18">
        <v>297</v>
      </c>
      <c r="S202" s="18">
        <v>0</v>
      </c>
      <c r="T202" s="18">
        <v>3112</v>
      </c>
      <c r="U202" s="18" t="b">
        <v>1</v>
      </c>
      <c r="V202" s="4">
        <v>2922</v>
      </c>
      <c r="W202" s="4">
        <v>2922</v>
      </c>
      <c r="X202" s="3" t="b">
        <v>1</v>
      </c>
      <c r="Y202" s="18">
        <v>133</v>
      </c>
      <c r="Z202" s="18">
        <v>2539</v>
      </c>
      <c r="AA202" s="18">
        <v>9</v>
      </c>
      <c r="AB202" s="18">
        <v>0</v>
      </c>
      <c r="AC202" s="18">
        <v>241</v>
      </c>
      <c r="AD202" s="18">
        <v>0</v>
      </c>
      <c r="AE202" s="18">
        <v>2922</v>
      </c>
      <c r="AF202" s="4">
        <v>190</v>
      </c>
      <c r="AG202" s="5">
        <v>6.1053984575835475E-2</v>
      </c>
      <c r="AH202" s="18">
        <f t="shared" si="3"/>
        <v>173</v>
      </c>
      <c r="AI202" s="6">
        <v>0.13431160984031074</v>
      </c>
      <c r="AJ202" s="3">
        <v>0.13400000000000001</v>
      </c>
      <c r="AK202" s="6">
        <v>0.47050263846589468</v>
      </c>
      <c r="AL202" s="25">
        <v>0.47099999999999997</v>
      </c>
      <c r="AM202" s="6">
        <v>0.14011706438541197</v>
      </c>
      <c r="AN202" s="3">
        <v>0.14000000000000001</v>
      </c>
      <c r="AO202" s="6">
        <v>0.48632836443832878</v>
      </c>
      <c r="AP202" s="6">
        <v>0.13165720464990538</v>
      </c>
      <c r="AQ202" s="6">
        <v>0.13200000000000001</v>
      </c>
      <c r="AR202" s="6">
        <v>0.48951216653496704</v>
      </c>
      <c r="AS202" s="6">
        <v>0.48899999999999999</v>
      </c>
      <c r="AT202" s="6">
        <v>2.6544051904053567E-3</v>
      </c>
      <c r="AU202" s="6">
        <v>-1.9009528069072357E-2</v>
      </c>
      <c r="AV202" s="6">
        <v>8.4598597355065863E-3</v>
      </c>
      <c r="AW202" s="6">
        <v>-3.1838020966382663E-3</v>
      </c>
      <c r="AX202" s="7">
        <v>198</v>
      </c>
      <c r="AY202" s="26">
        <v>184</v>
      </c>
      <c r="AZ202" s="7">
        <v>175</v>
      </c>
      <c r="BA202" s="26">
        <v>-23</v>
      </c>
      <c r="BB202" s="26">
        <v>-9</v>
      </c>
      <c r="BC202" s="6">
        <v>0.12611135088476477</v>
      </c>
      <c r="BD202" s="6">
        <v>0.126</v>
      </c>
      <c r="BE202" s="11">
        <v>0.47452757662382883</v>
      </c>
      <c r="BF202" s="26">
        <v>194</v>
      </c>
      <c r="BG202" s="26">
        <v>-19</v>
      </c>
      <c r="BH202" s="7">
        <v>-4</v>
      </c>
    </row>
    <row r="203" spans="2:60" x14ac:dyDescent="0.25">
      <c r="B203" s="3">
        <v>200</v>
      </c>
      <c r="C203" s="3" t="s">
        <v>406</v>
      </c>
      <c r="D203" s="3" t="s">
        <v>407</v>
      </c>
      <c r="E203" s="3" t="s">
        <v>408</v>
      </c>
      <c r="F203" s="3">
        <v>9201</v>
      </c>
      <c r="G203" s="3">
        <v>9</v>
      </c>
      <c r="H203" s="3">
        <v>0.58399999999999996</v>
      </c>
      <c r="I203" s="4">
        <v>53022</v>
      </c>
      <c r="J203" s="4">
        <v>56797</v>
      </c>
      <c r="K203" s="4">
        <v>56644</v>
      </c>
      <c r="L203" s="4">
        <v>-3775</v>
      </c>
      <c r="M203" s="4">
        <v>13655</v>
      </c>
      <c r="N203" s="18">
        <v>9</v>
      </c>
      <c r="O203" s="18">
        <v>13073</v>
      </c>
      <c r="P203" s="18">
        <v>157</v>
      </c>
      <c r="Q203" s="18">
        <v>0</v>
      </c>
      <c r="R203" s="18">
        <v>416</v>
      </c>
      <c r="S203" s="18">
        <v>0</v>
      </c>
      <c r="T203" s="18">
        <v>13655</v>
      </c>
      <c r="U203" s="18" t="b">
        <v>1</v>
      </c>
      <c r="V203" s="4">
        <v>13067</v>
      </c>
      <c r="W203" s="4">
        <v>13067</v>
      </c>
      <c r="X203" s="3" t="b">
        <v>1</v>
      </c>
      <c r="Y203" s="18">
        <v>218</v>
      </c>
      <c r="Z203" s="18">
        <v>12439</v>
      </c>
      <c r="AA203" s="18">
        <v>17</v>
      </c>
      <c r="AB203" s="18">
        <v>0</v>
      </c>
      <c r="AC203" s="18">
        <v>393</v>
      </c>
      <c r="AD203" s="18">
        <v>0</v>
      </c>
      <c r="AE203" s="18">
        <v>13067</v>
      </c>
      <c r="AF203" s="4">
        <v>588</v>
      </c>
      <c r="AG203" s="5">
        <v>4.3061149761991942E-2</v>
      </c>
      <c r="AH203" s="18">
        <f t="shared" si="3"/>
        <v>634</v>
      </c>
      <c r="AI203" s="6">
        <v>0.25753460827581004</v>
      </c>
      <c r="AJ203" s="3">
        <v>0.25800000000000001</v>
      </c>
      <c r="AK203" s="6">
        <v>0.59750779023844669</v>
      </c>
      <c r="AL203" s="25">
        <v>0.59799999999999998</v>
      </c>
      <c r="AM203" s="6">
        <v>0.24041762769160344</v>
      </c>
      <c r="AN203" s="3">
        <v>0.24</v>
      </c>
      <c r="AO203" s="6">
        <v>0.600269805058815</v>
      </c>
      <c r="AP203" s="6">
        <v>0.23068639220394041</v>
      </c>
      <c r="AQ203" s="6">
        <v>0.23100000000000001</v>
      </c>
      <c r="AR203" s="6">
        <v>0.60436198990812406</v>
      </c>
      <c r="AS203" s="6">
        <v>0.60399999999999998</v>
      </c>
      <c r="AT203" s="6">
        <v>2.6848216071869629E-2</v>
      </c>
      <c r="AU203" s="6">
        <v>-6.8541996696773744E-3</v>
      </c>
      <c r="AV203" s="6">
        <v>9.7312354876630258E-3</v>
      </c>
      <c r="AW203" s="6">
        <v>-4.0921848493090662E-3</v>
      </c>
      <c r="AX203" s="7">
        <v>57</v>
      </c>
      <c r="AY203" s="7">
        <v>56</v>
      </c>
      <c r="AZ203" s="7">
        <v>57</v>
      </c>
      <c r="BA203" s="26">
        <v>0</v>
      </c>
      <c r="BB203" s="26">
        <v>1</v>
      </c>
      <c r="BC203" s="6">
        <v>0.24644487193994946</v>
      </c>
      <c r="BD203" s="6">
        <v>0.246</v>
      </c>
      <c r="BE203" s="11">
        <v>0.60379877733399312</v>
      </c>
      <c r="BF203" s="7">
        <v>59</v>
      </c>
      <c r="BG203" s="26">
        <v>-2</v>
      </c>
      <c r="BH203" s="7">
        <v>2</v>
      </c>
    </row>
    <row r="204" spans="2:60" x14ac:dyDescent="0.25">
      <c r="B204" s="3">
        <v>201</v>
      </c>
      <c r="C204" s="3" t="s">
        <v>409</v>
      </c>
      <c r="D204" s="3" t="s">
        <v>410</v>
      </c>
      <c r="E204" s="3" t="s">
        <v>408</v>
      </c>
      <c r="F204" s="3">
        <v>9102</v>
      </c>
      <c r="G204" s="3">
        <v>9</v>
      </c>
      <c r="H204" s="3">
        <v>0.439</v>
      </c>
      <c r="I204" s="4">
        <v>24957</v>
      </c>
      <c r="J204" s="4">
        <v>25515</v>
      </c>
      <c r="K204" s="4">
        <v>25514</v>
      </c>
      <c r="L204" s="4">
        <v>-558</v>
      </c>
      <c r="M204" s="4">
        <v>1694</v>
      </c>
      <c r="N204" s="18">
        <v>79</v>
      </c>
      <c r="O204" s="18">
        <v>1490</v>
      </c>
      <c r="P204" s="18">
        <v>0</v>
      </c>
      <c r="Q204" s="18">
        <v>0</v>
      </c>
      <c r="R204" s="18">
        <v>125</v>
      </c>
      <c r="S204" s="18">
        <v>0</v>
      </c>
      <c r="T204" s="18">
        <v>1694</v>
      </c>
      <c r="U204" s="18" t="b">
        <v>1</v>
      </c>
      <c r="V204" s="4">
        <v>1585</v>
      </c>
      <c r="W204" s="4">
        <v>1585</v>
      </c>
      <c r="X204" s="3" t="b">
        <v>1</v>
      </c>
      <c r="Y204" s="18">
        <v>108</v>
      </c>
      <c r="Z204" s="18">
        <v>1379</v>
      </c>
      <c r="AA204" s="18">
        <v>0</v>
      </c>
      <c r="AB204" s="18">
        <v>0</v>
      </c>
      <c r="AC204" s="18">
        <v>98</v>
      </c>
      <c r="AD204" s="18">
        <v>0</v>
      </c>
      <c r="AE204" s="18">
        <v>1585</v>
      </c>
      <c r="AF204" s="4">
        <v>109</v>
      </c>
      <c r="AG204" s="5">
        <v>6.4344746162927985E-2</v>
      </c>
      <c r="AH204" s="18">
        <f t="shared" si="3"/>
        <v>111</v>
      </c>
      <c r="AI204" s="6">
        <v>6.78767480065713E-2</v>
      </c>
      <c r="AJ204" s="3">
        <v>6.8000000000000005E-2</v>
      </c>
      <c r="AK204" s="6">
        <v>0.40202865376084618</v>
      </c>
      <c r="AL204" s="25">
        <v>0.40200000000000002</v>
      </c>
      <c r="AM204" s="6">
        <v>6.6392318244170093E-2</v>
      </c>
      <c r="AN204" s="3">
        <v>6.6000000000000003E-2</v>
      </c>
      <c r="AO204" s="6">
        <v>0.40257705230393137</v>
      </c>
      <c r="AP204" s="6">
        <v>6.2122756133887277E-2</v>
      </c>
      <c r="AQ204" s="6">
        <v>6.2E-2</v>
      </c>
      <c r="AR204" s="6">
        <v>0.40830522071556308</v>
      </c>
      <c r="AS204" s="6">
        <v>0.40899999999999997</v>
      </c>
      <c r="AT204" s="6">
        <v>5.7539918726840222E-3</v>
      </c>
      <c r="AU204" s="6">
        <v>-6.2765669547169001E-3</v>
      </c>
      <c r="AV204" s="6">
        <v>4.2695621102828152E-3</v>
      </c>
      <c r="AW204" s="6">
        <v>-5.7281684116317066E-3</v>
      </c>
      <c r="AX204" s="7">
        <v>282</v>
      </c>
      <c r="AY204" s="26">
        <v>280</v>
      </c>
      <c r="AZ204" s="7">
        <v>269</v>
      </c>
      <c r="BA204" s="26">
        <v>-13</v>
      </c>
      <c r="BB204" s="26">
        <v>-11</v>
      </c>
      <c r="BC204" s="6">
        <v>6.350923588572345E-2</v>
      </c>
      <c r="BD204" s="6">
        <v>6.4000000000000001E-2</v>
      </c>
      <c r="BE204" s="11">
        <v>0.40727573771843706</v>
      </c>
      <c r="BF204" s="26">
        <v>264</v>
      </c>
      <c r="BG204" s="26">
        <v>5</v>
      </c>
      <c r="BH204" s="7">
        <v>-18</v>
      </c>
    </row>
    <row r="205" spans="2:60" x14ac:dyDescent="0.25">
      <c r="B205" s="3">
        <v>202</v>
      </c>
      <c r="C205" s="3" t="s">
        <v>411</v>
      </c>
      <c r="D205" s="3" t="s">
        <v>412</v>
      </c>
      <c r="E205" s="3" t="s">
        <v>408</v>
      </c>
      <c r="F205" s="3">
        <v>9121</v>
      </c>
      <c r="G205" s="3">
        <v>9</v>
      </c>
      <c r="H205" s="3">
        <v>0.41599999999999998</v>
      </c>
      <c r="I205" s="4">
        <v>13167</v>
      </c>
      <c r="J205" s="4">
        <v>12647</v>
      </c>
      <c r="K205" s="4">
        <v>12578</v>
      </c>
      <c r="L205" s="4">
        <v>520</v>
      </c>
      <c r="M205" s="4">
        <v>639</v>
      </c>
      <c r="N205" s="18">
        <v>10</v>
      </c>
      <c r="O205" s="18">
        <v>531</v>
      </c>
      <c r="P205" s="18">
        <v>0</v>
      </c>
      <c r="Q205" s="18">
        <v>0</v>
      </c>
      <c r="R205" s="18">
        <v>98</v>
      </c>
      <c r="S205" s="18">
        <v>0</v>
      </c>
      <c r="T205" s="18">
        <v>639</v>
      </c>
      <c r="U205" s="18" t="b">
        <v>1</v>
      </c>
      <c r="V205" s="4">
        <v>473</v>
      </c>
      <c r="W205" s="4">
        <v>473</v>
      </c>
      <c r="X205" s="3" t="b">
        <v>1</v>
      </c>
      <c r="Y205" s="18">
        <v>10</v>
      </c>
      <c r="Z205" s="18">
        <v>404</v>
      </c>
      <c r="AA205" s="18">
        <v>0</v>
      </c>
      <c r="AB205" s="18">
        <v>0</v>
      </c>
      <c r="AC205" s="18">
        <v>59</v>
      </c>
      <c r="AD205" s="18">
        <v>0</v>
      </c>
      <c r="AE205" s="18">
        <v>473</v>
      </c>
      <c r="AF205" s="4">
        <v>166</v>
      </c>
      <c r="AG205" s="5">
        <v>0.25978090766823159</v>
      </c>
      <c r="AH205" s="18">
        <f t="shared" si="3"/>
        <v>127</v>
      </c>
      <c r="AI205" s="6">
        <v>4.8530416951469584E-2</v>
      </c>
      <c r="AJ205" s="3">
        <v>4.9000000000000002E-2</v>
      </c>
      <c r="AK205" s="6">
        <v>0.38208851480065537</v>
      </c>
      <c r="AL205" s="25">
        <v>0.38200000000000001</v>
      </c>
      <c r="AM205" s="6">
        <v>5.0525816399146044E-2</v>
      </c>
      <c r="AN205" s="3">
        <v>5.0999999999999997E-2</v>
      </c>
      <c r="AO205" s="6">
        <v>0.38455270609651532</v>
      </c>
      <c r="AP205" s="6">
        <v>3.7605342661790428E-2</v>
      </c>
      <c r="AQ205" s="6">
        <v>3.7999999999999999E-2</v>
      </c>
      <c r="AR205" s="6">
        <v>0.38046283929176744</v>
      </c>
      <c r="AS205" s="6">
        <v>0.38</v>
      </c>
      <c r="AT205" s="6">
        <v>1.0925074289679156E-2</v>
      </c>
      <c r="AU205" s="6">
        <v>1.6256755088879249E-3</v>
      </c>
      <c r="AV205" s="6">
        <v>1.2920473737355616E-2</v>
      </c>
      <c r="AW205" s="6">
        <v>4.089866804747877E-3</v>
      </c>
      <c r="AX205" s="7">
        <v>306</v>
      </c>
      <c r="AY205" s="7">
        <v>302</v>
      </c>
      <c r="AZ205" s="7">
        <v>306</v>
      </c>
      <c r="BA205" s="26">
        <v>0</v>
      </c>
      <c r="BB205" s="26">
        <v>4</v>
      </c>
      <c r="BC205" s="6">
        <v>3.5923141186299079E-2</v>
      </c>
      <c r="BD205" s="6">
        <v>3.5999999999999997E-2</v>
      </c>
      <c r="BE205" s="11">
        <v>0.37764070706838659</v>
      </c>
      <c r="BF205" s="7">
        <v>310</v>
      </c>
      <c r="BG205" s="26">
        <v>-4</v>
      </c>
      <c r="BH205" s="7">
        <v>4</v>
      </c>
    </row>
    <row r="206" spans="2:60" x14ac:dyDescent="0.25">
      <c r="B206" s="3">
        <v>203</v>
      </c>
      <c r="C206" s="3" t="s">
        <v>413</v>
      </c>
      <c r="D206" s="3" t="s">
        <v>414</v>
      </c>
      <c r="E206" s="3" t="s">
        <v>408</v>
      </c>
      <c r="F206" s="3">
        <v>9202</v>
      </c>
      <c r="G206" s="3">
        <v>9</v>
      </c>
      <c r="H206" s="3">
        <v>0.53300000000000003</v>
      </c>
      <c r="I206" s="4">
        <v>24303</v>
      </c>
      <c r="J206" s="4">
        <v>26558</v>
      </c>
      <c r="K206" s="4">
        <v>26468</v>
      </c>
      <c r="L206" s="4">
        <v>-2255</v>
      </c>
      <c r="M206" s="4">
        <v>3993</v>
      </c>
      <c r="N206" s="18">
        <v>59</v>
      </c>
      <c r="O206" s="18">
        <v>3643</v>
      </c>
      <c r="P206" s="18">
        <v>45</v>
      </c>
      <c r="Q206" s="18">
        <v>0</v>
      </c>
      <c r="R206" s="18">
        <v>246</v>
      </c>
      <c r="S206" s="18">
        <v>0</v>
      </c>
      <c r="T206" s="18">
        <v>3993</v>
      </c>
      <c r="U206" s="18" t="b">
        <v>1</v>
      </c>
      <c r="V206" s="4">
        <v>3689</v>
      </c>
      <c r="W206" s="4">
        <v>3689</v>
      </c>
      <c r="X206" s="3" t="b">
        <v>1</v>
      </c>
      <c r="Y206" s="18">
        <v>120</v>
      </c>
      <c r="Z206" s="18">
        <v>3422</v>
      </c>
      <c r="AA206" s="18">
        <v>0</v>
      </c>
      <c r="AB206" s="18">
        <v>0</v>
      </c>
      <c r="AC206" s="18">
        <v>147</v>
      </c>
      <c r="AD206" s="18">
        <v>0</v>
      </c>
      <c r="AE206" s="18">
        <v>3689</v>
      </c>
      <c r="AF206" s="4">
        <v>304</v>
      </c>
      <c r="AG206" s="5">
        <v>7.6133233158026545E-2</v>
      </c>
      <c r="AH206" s="18">
        <f t="shared" si="3"/>
        <v>221</v>
      </c>
      <c r="AI206" s="6">
        <v>0.16430070361683743</v>
      </c>
      <c r="AJ206" s="3">
        <v>0.16400000000000001</v>
      </c>
      <c r="AK206" s="6">
        <v>0.50141220449632007</v>
      </c>
      <c r="AL206" s="25">
        <v>0.501</v>
      </c>
      <c r="AM206" s="6">
        <v>0.15035017697115746</v>
      </c>
      <c r="AN206" s="3">
        <v>0.15</v>
      </c>
      <c r="AO206" s="6">
        <v>0.49795318040762748</v>
      </c>
      <c r="AP206" s="6">
        <v>0.13937585008311923</v>
      </c>
      <c r="AQ206" s="6">
        <v>0.13900000000000001</v>
      </c>
      <c r="AR206" s="6">
        <v>0.49763286111690747</v>
      </c>
      <c r="AS206" s="6">
        <v>0.498</v>
      </c>
      <c r="AT206" s="6">
        <v>2.4924853533718205E-2</v>
      </c>
      <c r="AU206" s="6">
        <v>3.779343379412603E-3</v>
      </c>
      <c r="AV206" s="6">
        <v>1.0974326888038233E-2</v>
      </c>
      <c r="AW206" s="6">
        <v>3.2031929072001697E-4</v>
      </c>
      <c r="AX206" s="7">
        <v>160</v>
      </c>
      <c r="AY206" s="26">
        <v>168</v>
      </c>
      <c r="AZ206" s="7">
        <v>163</v>
      </c>
      <c r="BA206" s="26">
        <v>3</v>
      </c>
      <c r="BB206" s="26">
        <v>-5</v>
      </c>
      <c r="BC206" s="6">
        <v>0.15179195984034893</v>
      </c>
      <c r="BD206" s="6">
        <v>0.152</v>
      </c>
      <c r="BE206" s="11">
        <v>0.50211559304307851</v>
      </c>
      <c r="BF206" s="26">
        <v>157</v>
      </c>
      <c r="BG206" s="26">
        <v>6</v>
      </c>
      <c r="BH206" s="7">
        <v>-3</v>
      </c>
    </row>
    <row r="207" spans="2:60" x14ac:dyDescent="0.25">
      <c r="B207" s="3">
        <v>204</v>
      </c>
      <c r="C207" s="3" t="s">
        <v>415</v>
      </c>
      <c r="D207" s="3" t="s">
        <v>416</v>
      </c>
      <c r="E207" s="3" t="s">
        <v>408</v>
      </c>
      <c r="F207" s="3">
        <v>9103</v>
      </c>
      <c r="G207" s="3">
        <v>9</v>
      </c>
      <c r="H207" s="3">
        <v>0.54400000000000004</v>
      </c>
      <c r="I207" s="4">
        <v>19177</v>
      </c>
      <c r="J207" s="4">
        <v>18068</v>
      </c>
      <c r="K207" s="4">
        <v>18067</v>
      </c>
      <c r="L207" s="4">
        <v>1109</v>
      </c>
      <c r="M207" s="4">
        <v>2401</v>
      </c>
      <c r="N207" s="18">
        <v>13</v>
      </c>
      <c r="O207" s="18">
        <v>2001</v>
      </c>
      <c r="P207" s="18">
        <v>0</v>
      </c>
      <c r="Q207" s="18">
        <v>0</v>
      </c>
      <c r="R207" s="18">
        <v>387</v>
      </c>
      <c r="S207" s="18">
        <v>0</v>
      </c>
      <c r="T207" s="18">
        <v>2401</v>
      </c>
      <c r="U207" s="18" t="b">
        <v>1</v>
      </c>
      <c r="V207" s="4">
        <v>2113</v>
      </c>
      <c r="W207" s="4">
        <v>2113</v>
      </c>
      <c r="X207" s="3" t="b">
        <v>1</v>
      </c>
      <c r="Y207" s="18">
        <v>15</v>
      </c>
      <c r="Z207" s="18">
        <v>1832</v>
      </c>
      <c r="AA207" s="18">
        <v>0</v>
      </c>
      <c r="AB207" s="18">
        <v>0</v>
      </c>
      <c r="AC207" s="18">
        <v>266</v>
      </c>
      <c r="AD207" s="18">
        <v>0</v>
      </c>
      <c r="AE207" s="18">
        <v>2113</v>
      </c>
      <c r="AF207" s="4">
        <v>288</v>
      </c>
      <c r="AG207" s="5">
        <v>0.11995002082465639</v>
      </c>
      <c r="AH207" s="18">
        <f t="shared" si="3"/>
        <v>169</v>
      </c>
      <c r="AI207" s="6">
        <v>0.12520206497366637</v>
      </c>
      <c r="AJ207" s="3">
        <v>0.125</v>
      </c>
      <c r="AK207" s="6">
        <v>0.46111348917512618</v>
      </c>
      <c r="AL207" s="25">
        <v>0.46100000000000002</v>
      </c>
      <c r="AM207" s="6">
        <v>0.13288687181757805</v>
      </c>
      <c r="AN207" s="3">
        <v>0.13300000000000001</v>
      </c>
      <c r="AO207" s="6">
        <v>0.47811486563047434</v>
      </c>
      <c r="AP207" s="6">
        <v>0.11695356174240328</v>
      </c>
      <c r="AQ207" s="6">
        <v>0.11700000000000001</v>
      </c>
      <c r="AR207" s="6">
        <v>0.47211067814509478</v>
      </c>
      <c r="AS207" s="6">
        <v>0.47199999999999998</v>
      </c>
      <c r="AT207" s="6">
        <v>8.2485032312630963E-3</v>
      </c>
      <c r="AU207" s="6">
        <v>-1.0997188969968597E-2</v>
      </c>
      <c r="AV207" s="6">
        <v>1.5933310075174775E-2</v>
      </c>
      <c r="AW207" s="6">
        <v>6.004187485379564E-3</v>
      </c>
      <c r="AX207" s="7">
        <v>203</v>
      </c>
      <c r="AY207" s="7">
        <v>192</v>
      </c>
      <c r="AZ207" s="7">
        <v>191</v>
      </c>
      <c r="BA207" s="26">
        <v>-12</v>
      </c>
      <c r="BB207" s="26">
        <v>-1</v>
      </c>
      <c r="BC207" s="6">
        <v>0.11018407467278511</v>
      </c>
      <c r="BD207" s="6">
        <v>0.11</v>
      </c>
      <c r="BE207" s="11">
        <v>0.45741731423051929</v>
      </c>
      <c r="BF207" s="7">
        <v>207</v>
      </c>
      <c r="BG207" s="26">
        <v>-16</v>
      </c>
      <c r="BH207" s="7">
        <v>4</v>
      </c>
    </row>
    <row r="208" spans="2:60" x14ac:dyDescent="0.25">
      <c r="B208" s="3">
        <v>205</v>
      </c>
      <c r="C208" s="3" t="s">
        <v>417</v>
      </c>
      <c r="D208" s="3" t="s">
        <v>418</v>
      </c>
      <c r="E208" s="3" t="s">
        <v>408</v>
      </c>
      <c r="F208" s="3">
        <v>9203</v>
      </c>
      <c r="G208" s="3">
        <v>9</v>
      </c>
      <c r="H208" s="3">
        <v>0.47199999999999998</v>
      </c>
      <c r="I208" s="4">
        <v>18536</v>
      </c>
      <c r="J208" s="4">
        <v>18211</v>
      </c>
      <c r="K208" s="4">
        <v>18210</v>
      </c>
      <c r="L208" s="4">
        <v>325</v>
      </c>
      <c r="M208" s="4">
        <v>3287</v>
      </c>
      <c r="N208" s="18">
        <v>24</v>
      </c>
      <c r="O208" s="18">
        <v>2625</v>
      </c>
      <c r="P208" s="18">
        <v>0</v>
      </c>
      <c r="Q208" s="18">
        <v>0</v>
      </c>
      <c r="R208" s="18">
        <v>638</v>
      </c>
      <c r="S208" s="18">
        <v>0</v>
      </c>
      <c r="T208" s="18">
        <v>3287</v>
      </c>
      <c r="U208" s="18" t="b">
        <v>1</v>
      </c>
      <c r="V208" s="4">
        <v>2855</v>
      </c>
      <c r="W208" s="4">
        <v>2855</v>
      </c>
      <c r="X208" s="3" t="b">
        <v>1</v>
      </c>
      <c r="Y208" s="18">
        <v>42</v>
      </c>
      <c r="Z208" s="18">
        <v>2348</v>
      </c>
      <c r="AA208" s="18">
        <v>0</v>
      </c>
      <c r="AB208" s="18">
        <v>0</v>
      </c>
      <c r="AC208" s="18">
        <v>465</v>
      </c>
      <c r="AD208" s="18">
        <v>0</v>
      </c>
      <c r="AE208" s="18">
        <v>2855</v>
      </c>
      <c r="AF208" s="4">
        <v>432</v>
      </c>
      <c r="AG208" s="5">
        <v>0.13142683297839974</v>
      </c>
      <c r="AH208" s="18">
        <f t="shared" si="3"/>
        <v>277</v>
      </c>
      <c r="AI208" s="6">
        <v>0.1773305999136815</v>
      </c>
      <c r="AJ208" s="3">
        <v>0.17699999999999999</v>
      </c>
      <c r="AK208" s="6">
        <v>0.51484203478589485</v>
      </c>
      <c r="AL208" s="25">
        <v>0.51500000000000001</v>
      </c>
      <c r="AM208" s="6">
        <v>0.18049530503541816</v>
      </c>
      <c r="AN208" s="3">
        <v>0.18</v>
      </c>
      <c r="AO208" s="6">
        <v>0.53219804610040955</v>
      </c>
      <c r="AP208" s="6">
        <v>0.15678198791872597</v>
      </c>
      <c r="AQ208" s="6">
        <v>0.157</v>
      </c>
      <c r="AR208" s="6">
        <v>0.51851464718475415</v>
      </c>
      <c r="AS208" s="6">
        <v>0.51800000000000002</v>
      </c>
      <c r="AT208" s="6">
        <v>2.0548611994955529E-2</v>
      </c>
      <c r="AU208" s="6">
        <v>-3.6726123988592985E-3</v>
      </c>
      <c r="AV208" s="6">
        <v>2.3713317116692195E-2</v>
      </c>
      <c r="AW208" s="6">
        <v>1.3683398915655398E-2</v>
      </c>
      <c r="AX208" s="7">
        <v>137</v>
      </c>
      <c r="AY208" s="26">
        <v>127</v>
      </c>
      <c r="AZ208" s="7">
        <v>141</v>
      </c>
      <c r="BA208" s="26">
        <v>4</v>
      </c>
      <c r="BB208" s="26">
        <v>14</v>
      </c>
      <c r="BC208" s="6">
        <v>0.15402460077686664</v>
      </c>
      <c r="BD208" s="6">
        <v>0.154</v>
      </c>
      <c r="BE208" s="11">
        <v>0.50451406166667967</v>
      </c>
      <c r="BF208" s="26">
        <v>151</v>
      </c>
      <c r="BG208" s="26">
        <v>-10</v>
      </c>
      <c r="BH208" s="7">
        <v>14</v>
      </c>
    </row>
    <row r="209" spans="2:60" x14ac:dyDescent="0.25">
      <c r="B209" s="3">
        <v>206</v>
      </c>
      <c r="C209" s="3" t="s">
        <v>419</v>
      </c>
      <c r="D209" s="3" t="s">
        <v>420</v>
      </c>
      <c r="E209" s="3" t="s">
        <v>408</v>
      </c>
      <c r="F209" s="3">
        <v>9104</v>
      </c>
      <c r="G209" s="3">
        <v>9</v>
      </c>
      <c r="H209" s="3">
        <v>0.45400000000000001</v>
      </c>
      <c r="I209" s="4">
        <v>7733</v>
      </c>
      <c r="J209" s="4">
        <v>7873</v>
      </c>
      <c r="K209" s="4">
        <v>7860</v>
      </c>
      <c r="L209" s="4">
        <v>-140</v>
      </c>
      <c r="M209" s="4">
        <v>253</v>
      </c>
      <c r="N209" s="18">
        <v>12</v>
      </c>
      <c r="O209" s="18">
        <v>142</v>
      </c>
      <c r="P209" s="18">
        <v>0</v>
      </c>
      <c r="Q209" s="18">
        <v>0</v>
      </c>
      <c r="R209" s="18">
        <v>99</v>
      </c>
      <c r="S209" s="18">
        <v>0</v>
      </c>
      <c r="T209" s="18">
        <v>253</v>
      </c>
      <c r="U209" s="18" t="b">
        <v>1</v>
      </c>
      <c r="V209" s="4">
        <v>265</v>
      </c>
      <c r="W209" s="4">
        <v>265</v>
      </c>
      <c r="X209" s="3" t="b">
        <v>1</v>
      </c>
      <c r="Y209" s="18">
        <v>12</v>
      </c>
      <c r="Z209" s="18">
        <v>171</v>
      </c>
      <c r="AA209" s="18">
        <v>0</v>
      </c>
      <c r="AB209" s="18">
        <v>0</v>
      </c>
      <c r="AC209" s="18">
        <v>82</v>
      </c>
      <c r="AD209" s="18">
        <v>0</v>
      </c>
      <c r="AE209" s="18">
        <v>265</v>
      </c>
      <c r="AF209" s="4">
        <v>-12</v>
      </c>
      <c r="AG209" s="5">
        <v>-4.7430830039525688E-2</v>
      </c>
      <c r="AH209" s="18">
        <f t="shared" si="3"/>
        <v>-29</v>
      </c>
      <c r="AI209" s="6">
        <v>3.2716927453769556E-2</v>
      </c>
      <c r="AJ209" s="3">
        <v>3.3000000000000002E-2</v>
      </c>
      <c r="AK209" s="6">
        <v>0.36578965290629606</v>
      </c>
      <c r="AL209" s="25">
        <v>0.36599999999999999</v>
      </c>
      <c r="AM209" s="6">
        <v>3.2135145433760955E-2</v>
      </c>
      <c r="AN209" s="3">
        <v>3.2000000000000001E-2</v>
      </c>
      <c r="AO209" s="6">
        <v>0.36366090375063587</v>
      </c>
      <c r="AP209" s="6">
        <v>3.3715012722646313E-2</v>
      </c>
      <c r="AQ209" s="6">
        <v>3.4000000000000002E-2</v>
      </c>
      <c r="AR209" s="6">
        <v>0.37582244238780149</v>
      </c>
      <c r="AS209" s="6">
        <v>0.376</v>
      </c>
      <c r="AT209" s="6">
        <v>-9.9808526887675691E-4</v>
      </c>
      <c r="AU209" s="6">
        <v>-1.0032789481505433E-2</v>
      </c>
      <c r="AV209" s="6">
        <v>-1.5798672888853588E-3</v>
      </c>
      <c r="AW209" s="6">
        <v>-1.2161538637165625E-2</v>
      </c>
      <c r="AX209" s="7">
        <v>323</v>
      </c>
      <c r="AY209" s="7">
        <v>320</v>
      </c>
      <c r="AZ209" s="7">
        <v>311</v>
      </c>
      <c r="BA209" s="26">
        <v>-12</v>
      </c>
      <c r="BB209" s="26">
        <v>-9</v>
      </c>
      <c r="BC209" s="6">
        <v>3.4268718479244793E-2</v>
      </c>
      <c r="BD209" s="6">
        <v>3.4000000000000002E-2</v>
      </c>
      <c r="BE209" s="11">
        <v>0.37586340338818441</v>
      </c>
      <c r="BF209" s="7">
        <v>312</v>
      </c>
      <c r="BG209" s="26">
        <v>-1</v>
      </c>
      <c r="BH209" s="7">
        <v>-11</v>
      </c>
    </row>
    <row r="210" spans="2:60" x14ac:dyDescent="0.25">
      <c r="B210" s="3">
        <v>207</v>
      </c>
      <c r="C210" s="3" t="s">
        <v>421</v>
      </c>
      <c r="D210" s="3" t="s">
        <v>422</v>
      </c>
      <c r="E210" s="3" t="s">
        <v>408</v>
      </c>
      <c r="F210" s="3">
        <v>9204</v>
      </c>
      <c r="G210" s="3">
        <v>9</v>
      </c>
      <c r="H210" s="3"/>
      <c r="I210" s="4">
        <v>7730</v>
      </c>
      <c r="J210" s="4">
        <v>8387</v>
      </c>
      <c r="K210" s="4">
        <v>8405</v>
      </c>
      <c r="L210" s="4">
        <v>-657</v>
      </c>
      <c r="M210" s="4">
        <v>877</v>
      </c>
      <c r="N210" s="18">
        <v>0</v>
      </c>
      <c r="O210" s="18">
        <v>829</v>
      </c>
      <c r="P210" s="18">
        <v>0</v>
      </c>
      <c r="Q210" s="18">
        <v>0</v>
      </c>
      <c r="R210" s="18">
        <v>48</v>
      </c>
      <c r="S210" s="18">
        <v>0</v>
      </c>
      <c r="T210" s="18">
        <v>877</v>
      </c>
      <c r="U210" s="18" t="b">
        <v>1</v>
      </c>
      <c r="V210" s="4">
        <v>807</v>
      </c>
      <c r="W210" s="4">
        <v>807</v>
      </c>
      <c r="X210" s="3" t="b">
        <v>1</v>
      </c>
      <c r="Y210" s="18">
        <v>0</v>
      </c>
      <c r="Z210" s="18">
        <v>765</v>
      </c>
      <c r="AA210" s="18">
        <v>0</v>
      </c>
      <c r="AB210" s="18">
        <v>0</v>
      </c>
      <c r="AC210" s="18">
        <v>42</v>
      </c>
      <c r="AD210" s="18">
        <v>0</v>
      </c>
      <c r="AE210" s="18">
        <v>807</v>
      </c>
      <c r="AF210" s="4">
        <v>70</v>
      </c>
      <c r="AG210" s="5">
        <v>7.9817559863169893E-2</v>
      </c>
      <c r="AH210" s="18">
        <f t="shared" si="3"/>
        <v>64</v>
      </c>
      <c r="AI210" s="6">
        <v>0.11345407503234152</v>
      </c>
      <c r="AJ210" s="3">
        <v>0.113</v>
      </c>
      <c r="AK210" s="6">
        <v>0.44900491151945915</v>
      </c>
      <c r="AL210" s="25">
        <v>0.44900000000000001</v>
      </c>
      <c r="AM210" s="6">
        <v>0.10456659115297484</v>
      </c>
      <c r="AN210" s="3">
        <v>0.105</v>
      </c>
      <c r="AO210" s="6">
        <v>0.44594302659652352</v>
      </c>
      <c r="AP210" s="6">
        <v>9.6014277215942898E-2</v>
      </c>
      <c r="AQ210" s="6">
        <v>9.6000000000000002E-2</v>
      </c>
      <c r="AR210" s="6">
        <v>0.44774859439927356</v>
      </c>
      <c r="AS210" s="6">
        <v>0.44800000000000001</v>
      </c>
      <c r="AT210" s="6">
        <v>1.7439797816398622E-2</v>
      </c>
      <c r="AU210" s="6">
        <v>1.2563171201855905E-3</v>
      </c>
      <c r="AV210" s="6">
        <v>8.552313937031944E-3</v>
      </c>
      <c r="AW210" s="6">
        <v>-1.805567802750041E-3</v>
      </c>
      <c r="AX210" s="7">
        <v>221</v>
      </c>
      <c r="AY210" s="26">
        <v>227</v>
      </c>
      <c r="AZ210" s="7">
        <v>223</v>
      </c>
      <c r="BA210" s="26">
        <v>2</v>
      </c>
      <c r="BB210" s="26">
        <v>-4</v>
      </c>
      <c r="BC210" s="6">
        <v>0.10439844760672704</v>
      </c>
      <c r="BD210" s="6">
        <v>0.104</v>
      </c>
      <c r="BE210" s="11">
        <v>0.45120196416735975</v>
      </c>
      <c r="BF210" s="26">
        <v>219</v>
      </c>
      <c r="BG210" s="26">
        <v>4</v>
      </c>
      <c r="BH210" s="7">
        <v>-2</v>
      </c>
    </row>
    <row r="211" spans="2:60" x14ac:dyDescent="0.25">
      <c r="B211" s="3">
        <v>208</v>
      </c>
      <c r="C211" s="3" t="s">
        <v>423</v>
      </c>
      <c r="D211" s="3" t="s">
        <v>424</v>
      </c>
      <c r="E211" s="3" t="s">
        <v>408</v>
      </c>
      <c r="F211" s="3">
        <v>9105</v>
      </c>
      <c r="G211" s="3">
        <v>9</v>
      </c>
      <c r="H211" s="3">
        <v>0.44600000000000001</v>
      </c>
      <c r="I211" s="4">
        <v>26164</v>
      </c>
      <c r="J211" s="4">
        <v>25488</v>
      </c>
      <c r="K211" s="4">
        <v>25487</v>
      </c>
      <c r="L211" s="4">
        <v>676</v>
      </c>
      <c r="M211" s="4">
        <v>2372</v>
      </c>
      <c r="N211" s="18">
        <v>85</v>
      </c>
      <c r="O211" s="18">
        <v>1756</v>
      </c>
      <c r="P211" s="18">
        <v>0</v>
      </c>
      <c r="Q211" s="18">
        <v>0</v>
      </c>
      <c r="R211" s="18">
        <v>531</v>
      </c>
      <c r="S211" s="18">
        <v>0</v>
      </c>
      <c r="T211" s="18">
        <v>2372</v>
      </c>
      <c r="U211" s="18" t="b">
        <v>1</v>
      </c>
      <c r="V211" s="4">
        <v>1940</v>
      </c>
      <c r="W211" s="4">
        <v>1940</v>
      </c>
      <c r="X211" s="3" t="b">
        <v>1</v>
      </c>
      <c r="Y211" s="18">
        <v>98</v>
      </c>
      <c r="Z211" s="18">
        <v>1488</v>
      </c>
      <c r="AA211" s="18">
        <v>0</v>
      </c>
      <c r="AB211" s="18">
        <v>0</v>
      </c>
      <c r="AC211" s="18">
        <v>354</v>
      </c>
      <c r="AD211" s="18">
        <v>0</v>
      </c>
      <c r="AE211" s="18">
        <v>1940</v>
      </c>
      <c r="AF211" s="4">
        <v>432</v>
      </c>
      <c r="AG211" s="5">
        <v>0.1821247892074199</v>
      </c>
      <c r="AH211" s="18">
        <f t="shared" si="3"/>
        <v>268</v>
      </c>
      <c r="AI211" s="6">
        <v>9.0658920654334202E-2</v>
      </c>
      <c r="AJ211" s="3">
        <v>9.0999999999999998E-2</v>
      </c>
      <c r="AK211" s="6">
        <v>0.42551009254722805</v>
      </c>
      <c r="AL211" s="25">
        <v>0.42599999999999999</v>
      </c>
      <c r="AM211" s="6">
        <v>9.3063402385436284E-2</v>
      </c>
      <c r="AN211" s="3">
        <v>9.2999999999999999E-2</v>
      </c>
      <c r="AO211" s="6">
        <v>0.43287540407578506</v>
      </c>
      <c r="AP211" s="6">
        <v>7.6117236238082156E-2</v>
      </c>
      <c r="AQ211" s="6">
        <v>7.5999999999999998E-2</v>
      </c>
      <c r="AR211" s="6">
        <v>0.42454660987944387</v>
      </c>
      <c r="AS211" s="6">
        <v>0.42499999999999999</v>
      </c>
      <c r="AT211" s="6">
        <v>1.4541684416252046E-2</v>
      </c>
      <c r="AU211" s="6">
        <v>9.6348266778417679E-4</v>
      </c>
      <c r="AV211" s="6">
        <v>1.6946166147354128E-2</v>
      </c>
      <c r="AW211" s="6">
        <v>8.3287941963411938E-3</v>
      </c>
      <c r="AX211" s="7">
        <v>248</v>
      </c>
      <c r="AY211" s="7">
        <v>240</v>
      </c>
      <c r="AZ211" s="7">
        <v>245</v>
      </c>
      <c r="BA211" s="26">
        <v>-3</v>
      </c>
      <c r="BB211" s="26">
        <v>5</v>
      </c>
      <c r="BC211" s="6">
        <v>7.4147683840391373E-2</v>
      </c>
      <c r="BD211" s="6">
        <v>7.3999999999999996E-2</v>
      </c>
      <c r="BE211" s="11">
        <v>0.41870434820646413</v>
      </c>
      <c r="BF211" s="7">
        <v>249</v>
      </c>
      <c r="BG211" s="26">
        <v>-4</v>
      </c>
      <c r="BH211" s="7">
        <v>1</v>
      </c>
    </row>
    <row r="212" spans="2:60" x14ac:dyDescent="0.25">
      <c r="B212" s="3">
        <v>209</v>
      </c>
      <c r="C212" s="3" t="s">
        <v>425</v>
      </c>
      <c r="D212" s="3" t="s">
        <v>426</v>
      </c>
      <c r="E212" s="3" t="s">
        <v>408</v>
      </c>
      <c r="F212" s="3">
        <v>9106</v>
      </c>
      <c r="G212" s="3">
        <v>9</v>
      </c>
      <c r="H212" s="3">
        <v>0.496</v>
      </c>
      <c r="I212" s="4">
        <v>12710</v>
      </c>
      <c r="J212" s="4">
        <v>12568</v>
      </c>
      <c r="K212" s="4">
        <v>12588</v>
      </c>
      <c r="L212" s="4">
        <v>142</v>
      </c>
      <c r="M212" s="4">
        <v>737</v>
      </c>
      <c r="N212" s="18">
        <v>22</v>
      </c>
      <c r="O212" s="18">
        <v>656</v>
      </c>
      <c r="P212" s="18">
        <v>0</v>
      </c>
      <c r="Q212" s="18">
        <v>0</v>
      </c>
      <c r="R212" s="18">
        <v>59</v>
      </c>
      <c r="S212" s="18">
        <v>0</v>
      </c>
      <c r="T212" s="18">
        <v>737</v>
      </c>
      <c r="U212" s="18" t="b">
        <v>1</v>
      </c>
      <c r="V212" s="4">
        <v>690</v>
      </c>
      <c r="W212" s="4">
        <v>690</v>
      </c>
      <c r="X212" s="3" t="b">
        <v>1</v>
      </c>
      <c r="Y212" s="18">
        <v>34</v>
      </c>
      <c r="Z212" s="18">
        <v>610</v>
      </c>
      <c r="AA212" s="18">
        <v>0</v>
      </c>
      <c r="AB212" s="18">
        <v>0</v>
      </c>
      <c r="AC212" s="18">
        <v>46</v>
      </c>
      <c r="AD212" s="18">
        <v>0</v>
      </c>
      <c r="AE212" s="18">
        <v>690</v>
      </c>
      <c r="AF212" s="4">
        <v>47</v>
      </c>
      <c r="AG212" s="5">
        <v>6.3772048846675713E-2</v>
      </c>
      <c r="AH212" s="18">
        <f t="shared" si="3"/>
        <v>46</v>
      </c>
      <c r="AI212" s="6">
        <v>5.7985837922895356E-2</v>
      </c>
      <c r="AJ212" s="3">
        <v>5.8000000000000003E-2</v>
      </c>
      <c r="AK212" s="6">
        <v>0.3918341563675411</v>
      </c>
      <c r="AL212" s="25">
        <v>0.39200000000000002</v>
      </c>
      <c r="AM212" s="6">
        <v>5.8640992998090391E-2</v>
      </c>
      <c r="AN212" s="3">
        <v>5.8999999999999997E-2</v>
      </c>
      <c r="AO212" s="6">
        <v>0.39377154676992854</v>
      </c>
      <c r="AP212" s="6">
        <v>5.4814108674928502E-2</v>
      </c>
      <c r="AQ212" s="6">
        <v>5.5E-2</v>
      </c>
      <c r="AR212" s="6">
        <v>0.40018452613362265</v>
      </c>
      <c r="AS212" s="6">
        <v>0.4</v>
      </c>
      <c r="AT212" s="6">
        <v>3.1717292479668535E-3</v>
      </c>
      <c r="AU212" s="6">
        <v>-8.3503697660815557E-3</v>
      </c>
      <c r="AV212" s="6">
        <v>3.8268843231618888E-3</v>
      </c>
      <c r="AW212" s="6">
        <v>-6.4129793636941157E-3</v>
      </c>
      <c r="AX212" s="7">
        <v>294</v>
      </c>
      <c r="AY212" s="26">
        <v>292</v>
      </c>
      <c r="AZ212" s="7">
        <v>279</v>
      </c>
      <c r="BA212" s="26">
        <v>-15</v>
      </c>
      <c r="BB212" s="26">
        <v>-13</v>
      </c>
      <c r="BC212" s="6">
        <v>5.4287962234461057E-2</v>
      </c>
      <c r="BD212" s="6">
        <v>5.3999999999999999E-2</v>
      </c>
      <c r="BE212" s="11">
        <v>0.39736956106439381</v>
      </c>
      <c r="BF212" s="26">
        <v>283</v>
      </c>
      <c r="BG212" s="26">
        <v>-4</v>
      </c>
      <c r="BH212" s="7">
        <v>-11</v>
      </c>
    </row>
    <row r="213" spans="2:60" x14ac:dyDescent="0.25">
      <c r="B213" s="3">
        <v>210</v>
      </c>
      <c r="C213" s="3" t="s">
        <v>427</v>
      </c>
      <c r="D213" s="3" t="s">
        <v>428</v>
      </c>
      <c r="E213" s="3" t="s">
        <v>408</v>
      </c>
      <c r="F213" s="3">
        <v>9107</v>
      </c>
      <c r="G213" s="3">
        <v>9</v>
      </c>
      <c r="H213" s="3">
        <v>0.50800000000000001</v>
      </c>
      <c r="I213" s="4">
        <v>14148</v>
      </c>
      <c r="J213" s="4">
        <v>15076</v>
      </c>
      <c r="K213" s="4">
        <v>15098</v>
      </c>
      <c r="L213" s="4">
        <v>-928</v>
      </c>
      <c r="M213" s="4">
        <v>1639</v>
      </c>
      <c r="N213" s="18">
        <v>36</v>
      </c>
      <c r="O213" s="18">
        <v>1460</v>
      </c>
      <c r="P213" s="18">
        <v>0</v>
      </c>
      <c r="Q213" s="18">
        <v>0</v>
      </c>
      <c r="R213" s="18">
        <v>143</v>
      </c>
      <c r="S213" s="18">
        <v>0</v>
      </c>
      <c r="T213" s="18">
        <v>1639</v>
      </c>
      <c r="U213" s="18" t="b">
        <v>1</v>
      </c>
      <c r="V213" s="4">
        <v>1566</v>
      </c>
      <c r="W213" s="4">
        <v>1566</v>
      </c>
      <c r="X213" s="3" t="b">
        <v>1</v>
      </c>
      <c r="Y213" s="18">
        <v>90</v>
      </c>
      <c r="Z213" s="18">
        <v>1368</v>
      </c>
      <c r="AA213" s="18">
        <v>0</v>
      </c>
      <c r="AB213" s="18">
        <v>0</v>
      </c>
      <c r="AC213" s="18">
        <v>108</v>
      </c>
      <c r="AD213" s="18">
        <v>0</v>
      </c>
      <c r="AE213" s="18">
        <v>1566</v>
      </c>
      <c r="AF213" s="4">
        <v>73</v>
      </c>
      <c r="AG213" s="5">
        <v>4.4539353264185476E-2</v>
      </c>
      <c r="AH213" s="18">
        <f t="shared" si="3"/>
        <v>92</v>
      </c>
      <c r="AI213" s="6">
        <v>0.11584676279332767</v>
      </c>
      <c r="AJ213" s="3">
        <v>0.11600000000000001</v>
      </c>
      <c r="AK213" s="6">
        <v>0.45147103940213229</v>
      </c>
      <c r="AL213" s="25">
        <v>0.45100000000000001</v>
      </c>
      <c r="AM213" s="6">
        <v>0.10871583974529053</v>
      </c>
      <c r="AN213" s="3">
        <v>0.109</v>
      </c>
      <c r="AO213" s="6">
        <v>0.45065657302654427</v>
      </c>
      <c r="AP213" s="6">
        <v>0.10372234733077229</v>
      </c>
      <c r="AQ213" s="6">
        <v>0.104</v>
      </c>
      <c r="AR213" s="6">
        <v>0.45702938820720546</v>
      </c>
      <c r="AS213" s="6">
        <v>0.45700000000000002</v>
      </c>
      <c r="AT213" s="6">
        <v>1.2124415462555382E-2</v>
      </c>
      <c r="AU213" s="6">
        <v>-5.5583488050731655E-3</v>
      </c>
      <c r="AV213" s="6">
        <v>4.9934924145182413E-3</v>
      </c>
      <c r="AW213" s="6">
        <v>-6.3728151806611844E-3</v>
      </c>
      <c r="AX213" s="7">
        <v>219</v>
      </c>
      <c r="AY213" s="7">
        <v>219</v>
      </c>
      <c r="AZ213" s="7">
        <v>209</v>
      </c>
      <c r="BA213" s="26">
        <v>-10</v>
      </c>
      <c r="BB213" s="26">
        <v>-10</v>
      </c>
      <c r="BC213" s="6">
        <v>0.11068702290076336</v>
      </c>
      <c r="BD213" s="6">
        <v>0.111</v>
      </c>
      <c r="BE213" s="11">
        <v>0.45795761855100853</v>
      </c>
      <c r="BF213" s="7">
        <v>206</v>
      </c>
      <c r="BG213" s="26">
        <v>3</v>
      </c>
      <c r="BH213" s="7">
        <v>-13</v>
      </c>
    </row>
    <row r="214" spans="2:60" x14ac:dyDescent="0.25">
      <c r="B214" s="3">
        <v>211</v>
      </c>
      <c r="C214" s="3" t="s">
        <v>429</v>
      </c>
      <c r="D214" s="3" t="s">
        <v>430</v>
      </c>
      <c r="E214" s="3" t="s">
        <v>408</v>
      </c>
      <c r="F214" s="3">
        <v>9108</v>
      </c>
      <c r="G214" s="3">
        <v>9</v>
      </c>
      <c r="H214" s="3">
        <v>0.57799999999999996</v>
      </c>
      <c r="I214" s="4">
        <v>41936</v>
      </c>
      <c r="J214" s="4">
        <v>41884</v>
      </c>
      <c r="K214" s="4">
        <v>41624</v>
      </c>
      <c r="L214" s="4">
        <v>52</v>
      </c>
      <c r="M214" s="4">
        <v>7697</v>
      </c>
      <c r="N214" s="18">
        <v>4</v>
      </c>
      <c r="O214" s="18">
        <v>7313</v>
      </c>
      <c r="P214" s="18">
        <v>64</v>
      </c>
      <c r="Q214" s="18">
        <v>0</v>
      </c>
      <c r="R214" s="18">
        <v>316</v>
      </c>
      <c r="S214" s="18">
        <v>0</v>
      </c>
      <c r="T214" s="18">
        <v>7697</v>
      </c>
      <c r="U214" s="18" t="b">
        <v>1</v>
      </c>
      <c r="V214" s="4">
        <v>7347</v>
      </c>
      <c r="W214" s="4">
        <v>7347</v>
      </c>
      <c r="X214" s="3" t="b">
        <v>1</v>
      </c>
      <c r="Y214" s="18">
        <v>50</v>
      </c>
      <c r="Z214" s="18">
        <v>7060</v>
      </c>
      <c r="AA214" s="18">
        <v>0</v>
      </c>
      <c r="AB214" s="18">
        <v>0</v>
      </c>
      <c r="AC214" s="18">
        <v>237</v>
      </c>
      <c r="AD214" s="18">
        <v>0</v>
      </c>
      <c r="AE214" s="18">
        <v>7347</v>
      </c>
      <c r="AF214" s="4">
        <v>350</v>
      </c>
      <c r="AG214" s="5">
        <v>4.5472261920228657E-2</v>
      </c>
      <c r="AH214" s="18">
        <f t="shared" si="3"/>
        <v>253</v>
      </c>
      <c r="AI214" s="6">
        <v>0.18354158718046548</v>
      </c>
      <c r="AJ214" s="3">
        <v>0.184</v>
      </c>
      <c r="AK214" s="6">
        <v>0.52124365940541095</v>
      </c>
      <c r="AL214" s="25">
        <v>0.52100000000000002</v>
      </c>
      <c r="AM214" s="6">
        <v>0.18376945850444085</v>
      </c>
      <c r="AN214" s="3">
        <v>0.184</v>
      </c>
      <c r="AO214" s="6">
        <v>0.53591748446422161</v>
      </c>
      <c r="AP214" s="6">
        <v>0.17650874495483376</v>
      </c>
      <c r="AQ214" s="6">
        <v>0.17699999999999999</v>
      </c>
      <c r="AR214" s="6">
        <v>0.54171663170458384</v>
      </c>
      <c r="AS214" s="6">
        <v>0.54100000000000004</v>
      </c>
      <c r="AT214" s="6">
        <v>7.0328422256317191E-3</v>
      </c>
      <c r="AU214" s="6">
        <v>-2.0472972299172887E-2</v>
      </c>
      <c r="AV214" s="6">
        <v>7.260713549607084E-3</v>
      </c>
      <c r="AW214" s="6">
        <v>-5.7991472403622346E-3</v>
      </c>
      <c r="AX214" s="7">
        <v>133</v>
      </c>
      <c r="AY214" s="26">
        <v>123</v>
      </c>
      <c r="AZ214" s="7">
        <v>122</v>
      </c>
      <c r="BA214" s="26">
        <v>-11</v>
      </c>
      <c r="BB214" s="26">
        <v>-1</v>
      </c>
      <c r="BC214" s="6">
        <v>0.17519553605494087</v>
      </c>
      <c r="BD214" s="6">
        <v>0.17499999999999999</v>
      </c>
      <c r="BE214" s="11">
        <v>0.52725745186714379</v>
      </c>
      <c r="BF214" s="26">
        <v>128</v>
      </c>
      <c r="BG214" s="26">
        <v>-6</v>
      </c>
      <c r="BH214" s="7">
        <v>-5</v>
      </c>
    </row>
    <row r="215" spans="2:60" x14ac:dyDescent="0.25">
      <c r="B215" s="3">
        <v>212</v>
      </c>
      <c r="C215" s="3" t="s">
        <v>431</v>
      </c>
      <c r="D215" s="3" t="s">
        <v>432</v>
      </c>
      <c r="E215" s="3" t="s">
        <v>408</v>
      </c>
      <c r="F215" s="3">
        <v>9109</v>
      </c>
      <c r="G215" s="3">
        <v>9</v>
      </c>
      <c r="H215" s="3">
        <v>0.52400000000000002</v>
      </c>
      <c r="I215" s="4">
        <v>25158</v>
      </c>
      <c r="J215" s="4">
        <v>24785</v>
      </c>
      <c r="K215" s="4">
        <v>24784</v>
      </c>
      <c r="L215" s="4">
        <v>373</v>
      </c>
      <c r="M215" s="4">
        <v>4401</v>
      </c>
      <c r="N215" s="18">
        <v>48</v>
      </c>
      <c r="O215" s="18">
        <v>3982</v>
      </c>
      <c r="P215" s="18">
        <v>47</v>
      </c>
      <c r="Q215" s="18">
        <v>0</v>
      </c>
      <c r="R215" s="18">
        <v>324</v>
      </c>
      <c r="S215" s="18">
        <v>0</v>
      </c>
      <c r="T215" s="18">
        <v>4401</v>
      </c>
      <c r="U215" s="18" t="b">
        <v>1</v>
      </c>
      <c r="V215" s="4">
        <v>4102</v>
      </c>
      <c r="W215" s="4">
        <v>4102</v>
      </c>
      <c r="X215" s="3" t="b">
        <v>1</v>
      </c>
      <c r="Y215" s="18">
        <v>96</v>
      </c>
      <c r="Z215" s="18">
        <v>3783</v>
      </c>
      <c r="AA215" s="18">
        <v>0</v>
      </c>
      <c r="AB215" s="18">
        <v>0</v>
      </c>
      <c r="AC215" s="18">
        <v>223</v>
      </c>
      <c r="AD215" s="18">
        <v>0</v>
      </c>
      <c r="AE215" s="18">
        <v>4102</v>
      </c>
      <c r="AF215" s="4">
        <v>299</v>
      </c>
      <c r="AG215" s="5">
        <v>6.7939104748920703E-2</v>
      </c>
      <c r="AH215" s="18">
        <f t="shared" si="3"/>
        <v>199</v>
      </c>
      <c r="AI215" s="6">
        <v>0.17493441450035774</v>
      </c>
      <c r="AJ215" s="3">
        <v>0.17499999999999999</v>
      </c>
      <c r="AK215" s="6">
        <v>0.51237230189545835</v>
      </c>
      <c r="AL215" s="25">
        <v>0.51200000000000001</v>
      </c>
      <c r="AM215" s="6">
        <v>0.17756707686100465</v>
      </c>
      <c r="AN215" s="3">
        <v>0.17799999999999999</v>
      </c>
      <c r="AO215" s="6">
        <v>0.52887157887370373</v>
      </c>
      <c r="AP215" s="6">
        <v>0.16551000645577793</v>
      </c>
      <c r="AQ215" s="6">
        <v>0.16600000000000001</v>
      </c>
      <c r="AR215" s="6">
        <v>0.52895554021867752</v>
      </c>
      <c r="AS215" s="6">
        <v>0.52800000000000002</v>
      </c>
      <c r="AT215" s="6">
        <v>9.4244080445798073E-3</v>
      </c>
      <c r="AU215" s="6">
        <v>-1.6583238323219174E-2</v>
      </c>
      <c r="AV215" s="6">
        <v>1.2057070405226716E-2</v>
      </c>
      <c r="AW215" s="6">
        <v>-8.396134497379304E-5</v>
      </c>
      <c r="AX215" s="7">
        <v>142</v>
      </c>
      <c r="AY215" s="7">
        <v>131</v>
      </c>
      <c r="AZ215" s="7">
        <v>130</v>
      </c>
      <c r="BA215" s="26">
        <v>-12</v>
      </c>
      <c r="BB215" s="26">
        <v>-1</v>
      </c>
      <c r="BC215" s="6">
        <v>0.16304952698942682</v>
      </c>
      <c r="BD215" s="6">
        <v>0.16300000000000001</v>
      </c>
      <c r="BE215" s="11">
        <v>0.51420930732714076</v>
      </c>
      <c r="BF215" s="7">
        <v>141</v>
      </c>
      <c r="BG215" s="26">
        <v>-11</v>
      </c>
      <c r="BH215" s="7">
        <v>-1</v>
      </c>
    </row>
    <row r="216" spans="2:60" x14ac:dyDescent="0.25">
      <c r="B216" s="3">
        <v>213</v>
      </c>
      <c r="C216" s="3" t="s">
        <v>433</v>
      </c>
      <c r="D216" s="3" t="s">
        <v>434</v>
      </c>
      <c r="E216" s="3" t="s">
        <v>408</v>
      </c>
      <c r="F216" s="3">
        <v>9205</v>
      </c>
      <c r="G216" s="3">
        <v>9</v>
      </c>
      <c r="H216" s="3">
        <v>0.47</v>
      </c>
      <c r="I216" s="4">
        <v>10247</v>
      </c>
      <c r="J216" s="4">
        <v>11109</v>
      </c>
      <c r="K216" s="4">
        <v>11101</v>
      </c>
      <c r="L216" s="4">
        <v>-862</v>
      </c>
      <c r="M216" s="4">
        <v>246</v>
      </c>
      <c r="N216" s="18">
        <v>0</v>
      </c>
      <c r="O216" s="18">
        <v>0</v>
      </c>
      <c r="P216" s="18">
        <v>0</v>
      </c>
      <c r="Q216" s="18">
        <v>0</v>
      </c>
      <c r="R216" s="18">
        <v>246</v>
      </c>
      <c r="S216" s="18">
        <v>0</v>
      </c>
      <c r="T216" s="18">
        <v>246</v>
      </c>
      <c r="U216" s="18" t="b">
        <v>1</v>
      </c>
      <c r="V216" s="4">
        <v>196</v>
      </c>
      <c r="W216" s="4">
        <v>196</v>
      </c>
      <c r="X216" s="3" t="b">
        <v>1</v>
      </c>
      <c r="Y216" s="18">
        <v>4</v>
      </c>
      <c r="Z216" s="18">
        <v>0</v>
      </c>
      <c r="AA216" s="18">
        <v>0</v>
      </c>
      <c r="AB216" s="18">
        <v>0</v>
      </c>
      <c r="AC216" s="18">
        <v>192</v>
      </c>
      <c r="AD216" s="18">
        <v>0</v>
      </c>
      <c r="AE216" s="18">
        <v>196</v>
      </c>
      <c r="AF216" s="4">
        <v>50</v>
      </c>
      <c r="AG216" s="5">
        <v>0.2032520325203252</v>
      </c>
      <c r="AH216" s="18">
        <f t="shared" si="3"/>
        <v>0</v>
      </c>
      <c r="AI216" s="6">
        <v>2.4007026446764907E-2</v>
      </c>
      <c r="AJ216" s="3">
        <v>2.4E-2</v>
      </c>
      <c r="AK216" s="6">
        <v>0.35681241397067998</v>
      </c>
      <c r="AL216" s="25">
        <v>0.35699999999999998</v>
      </c>
      <c r="AM216" s="6">
        <v>2.2144207399405886E-2</v>
      </c>
      <c r="AN216" s="3">
        <v>2.1999999999999999E-2</v>
      </c>
      <c r="AO216" s="6">
        <v>0.35231119807341804</v>
      </c>
      <c r="AP216" s="6">
        <v>1.76560670209891E-2</v>
      </c>
      <c r="AQ216" s="6">
        <v>1.7999999999999999E-2</v>
      </c>
      <c r="AR216" s="6">
        <v>0.3572608547719377</v>
      </c>
      <c r="AS216" s="6">
        <v>0.35699999999999998</v>
      </c>
      <c r="AT216" s="6">
        <v>6.3509594257758067E-3</v>
      </c>
      <c r="AU216" s="6">
        <v>-4.4844080125772123E-4</v>
      </c>
      <c r="AV216" s="6">
        <v>4.4881403784167856E-3</v>
      </c>
      <c r="AW216" s="6">
        <v>-4.9496566985196555E-3</v>
      </c>
      <c r="AX216" s="7">
        <v>335</v>
      </c>
      <c r="AY216" s="26">
        <v>335</v>
      </c>
      <c r="AZ216" s="7">
        <v>335</v>
      </c>
      <c r="BA216" s="26">
        <v>0</v>
      </c>
      <c r="BB216" s="26">
        <v>0</v>
      </c>
      <c r="BC216" s="6">
        <v>1.912754952669074E-2</v>
      </c>
      <c r="BD216" s="6">
        <v>1.9E-2</v>
      </c>
      <c r="BE216" s="11">
        <v>0.35959763576592307</v>
      </c>
      <c r="BF216" s="26">
        <v>333</v>
      </c>
      <c r="BG216" s="26">
        <v>2</v>
      </c>
      <c r="BH216" s="7">
        <v>-2</v>
      </c>
    </row>
    <row r="217" spans="2:60" x14ac:dyDescent="0.25">
      <c r="B217" s="3">
        <v>214</v>
      </c>
      <c r="C217" s="3" t="s">
        <v>435</v>
      </c>
      <c r="D217" s="3" t="s">
        <v>436</v>
      </c>
      <c r="E217" s="3" t="s">
        <v>408</v>
      </c>
      <c r="F217" s="3">
        <v>9206</v>
      </c>
      <c r="G217" s="3">
        <v>9</v>
      </c>
      <c r="H217" s="3">
        <v>0.502</v>
      </c>
      <c r="I217" s="4">
        <v>7348</v>
      </c>
      <c r="J217" s="4">
        <v>7468</v>
      </c>
      <c r="K217" s="4">
        <v>7484</v>
      </c>
      <c r="L217" s="4">
        <v>-120</v>
      </c>
      <c r="M217" s="4">
        <v>1049</v>
      </c>
      <c r="N217" s="18">
        <v>0</v>
      </c>
      <c r="O217" s="18">
        <v>1011</v>
      </c>
      <c r="P217" s="18">
        <v>0</v>
      </c>
      <c r="Q217" s="18">
        <v>0</v>
      </c>
      <c r="R217" s="18">
        <v>38</v>
      </c>
      <c r="S217" s="18">
        <v>0</v>
      </c>
      <c r="T217" s="18">
        <v>1049</v>
      </c>
      <c r="U217" s="18" t="b">
        <v>1</v>
      </c>
      <c r="V217" s="4">
        <v>965</v>
      </c>
      <c r="W217" s="4">
        <v>965</v>
      </c>
      <c r="X217" s="3" t="b">
        <v>1</v>
      </c>
      <c r="Y217" s="18">
        <v>0</v>
      </c>
      <c r="Z217" s="18">
        <v>941</v>
      </c>
      <c r="AA217" s="18">
        <v>0</v>
      </c>
      <c r="AB217" s="18">
        <v>0</v>
      </c>
      <c r="AC217" s="18">
        <v>24</v>
      </c>
      <c r="AD217" s="18">
        <v>0</v>
      </c>
      <c r="AE217" s="18">
        <v>965</v>
      </c>
      <c r="AF217" s="4">
        <v>84</v>
      </c>
      <c r="AG217" s="5">
        <v>8.0076263107721646E-2</v>
      </c>
      <c r="AH217" s="18">
        <f t="shared" si="3"/>
        <v>70</v>
      </c>
      <c r="AI217" s="6">
        <v>0.14275993467610235</v>
      </c>
      <c r="AJ217" s="3">
        <v>0.14299999999999999</v>
      </c>
      <c r="AK217" s="6">
        <v>0.47921027252460641</v>
      </c>
      <c r="AL217" s="25">
        <v>0.47899999999999998</v>
      </c>
      <c r="AM217" s="6">
        <v>0.14046598821638992</v>
      </c>
      <c r="AN217" s="3">
        <v>0.14000000000000001</v>
      </c>
      <c r="AO217" s="6">
        <v>0.48672474191277104</v>
      </c>
      <c r="AP217" s="6">
        <v>0.128941742383752</v>
      </c>
      <c r="AQ217" s="6">
        <v>0.129</v>
      </c>
      <c r="AR217" s="6">
        <v>0.48603186885699257</v>
      </c>
      <c r="AS217" s="6">
        <v>0.48599999999999999</v>
      </c>
      <c r="AT217" s="6">
        <v>1.3818192292350345E-2</v>
      </c>
      <c r="AU217" s="6">
        <v>-6.8215963323861595E-3</v>
      </c>
      <c r="AV217" s="6">
        <v>1.1524245832637919E-2</v>
      </c>
      <c r="AW217" s="6">
        <v>6.9287305577847569E-4</v>
      </c>
      <c r="AX217" s="7">
        <v>188</v>
      </c>
      <c r="AY217" s="7">
        <v>181</v>
      </c>
      <c r="AZ217" s="7">
        <v>183</v>
      </c>
      <c r="BA217" s="26">
        <v>-5</v>
      </c>
      <c r="BB217" s="26">
        <v>2</v>
      </c>
      <c r="BC217" s="6">
        <v>0.1313282525857376</v>
      </c>
      <c r="BD217" s="6">
        <v>0.13100000000000001</v>
      </c>
      <c r="BE217" s="11">
        <v>0.48013195968316258</v>
      </c>
      <c r="BF217" s="7">
        <v>185</v>
      </c>
      <c r="BG217" s="26">
        <v>-2</v>
      </c>
      <c r="BH217" s="7">
        <v>-3</v>
      </c>
    </row>
    <row r="218" spans="2:60" x14ac:dyDescent="0.25">
      <c r="B218" s="3">
        <v>215</v>
      </c>
      <c r="C218" s="3" t="s">
        <v>437</v>
      </c>
      <c r="D218" s="3" t="s">
        <v>438</v>
      </c>
      <c r="E218" s="3" t="s">
        <v>408</v>
      </c>
      <c r="F218" s="3">
        <v>9207</v>
      </c>
      <c r="G218" s="3">
        <v>9</v>
      </c>
      <c r="H218" s="3">
        <v>0.4</v>
      </c>
      <c r="I218" s="4">
        <v>9253</v>
      </c>
      <c r="J218" s="4">
        <v>9916</v>
      </c>
      <c r="K218" s="4">
        <v>9947</v>
      </c>
      <c r="L218" s="4">
        <v>-663</v>
      </c>
      <c r="M218" s="4">
        <v>223</v>
      </c>
      <c r="N218" s="18">
        <v>11</v>
      </c>
      <c r="O218" s="18">
        <v>0</v>
      </c>
      <c r="P218" s="18">
        <v>0</v>
      </c>
      <c r="Q218" s="18">
        <v>0</v>
      </c>
      <c r="R218" s="18">
        <v>212</v>
      </c>
      <c r="S218" s="18">
        <v>0</v>
      </c>
      <c r="T218" s="18">
        <v>223</v>
      </c>
      <c r="U218" s="18" t="b">
        <v>1</v>
      </c>
      <c r="V218" s="4">
        <v>200</v>
      </c>
      <c r="W218" s="4">
        <v>200</v>
      </c>
      <c r="X218" s="3" t="b">
        <v>1</v>
      </c>
      <c r="Y218" s="18">
        <v>36</v>
      </c>
      <c r="Z218" s="18">
        <v>0</v>
      </c>
      <c r="AA218" s="18">
        <v>0</v>
      </c>
      <c r="AB218" s="18">
        <v>0</v>
      </c>
      <c r="AC218" s="18">
        <v>164</v>
      </c>
      <c r="AD218" s="18">
        <v>0</v>
      </c>
      <c r="AE218" s="18">
        <v>200</v>
      </c>
      <c r="AF218" s="4">
        <v>23</v>
      </c>
      <c r="AG218" s="5">
        <v>0.1031390134529148</v>
      </c>
      <c r="AH218" s="18">
        <f t="shared" si="3"/>
        <v>0</v>
      </c>
      <c r="AI218" s="6">
        <v>2.4100291797254945E-2</v>
      </c>
      <c r="AJ218" s="3">
        <v>2.4E-2</v>
      </c>
      <c r="AK218" s="6">
        <v>0.35690854196743788</v>
      </c>
      <c r="AL218" s="25">
        <v>0.35699999999999998</v>
      </c>
      <c r="AM218" s="6">
        <v>2.2488906817265026E-2</v>
      </c>
      <c r="AN218" s="3">
        <v>2.1999999999999999E-2</v>
      </c>
      <c r="AO218" s="6">
        <v>0.35270277661452765</v>
      </c>
      <c r="AP218" s="6">
        <v>2.0106564793405047E-2</v>
      </c>
      <c r="AQ218" s="6">
        <v>0.02</v>
      </c>
      <c r="AR218" s="6">
        <v>0.3595810532239207</v>
      </c>
      <c r="AS218" s="6">
        <v>0.36</v>
      </c>
      <c r="AT218" s="6">
        <v>3.9937270038498986E-3</v>
      </c>
      <c r="AU218" s="6">
        <v>-2.6725112564828235E-3</v>
      </c>
      <c r="AV218" s="6">
        <v>2.3823420238599791E-3</v>
      </c>
      <c r="AW218" s="6">
        <v>-6.8782766093930525E-3</v>
      </c>
      <c r="AX218" s="7">
        <v>333</v>
      </c>
      <c r="AY218" s="26">
        <v>334</v>
      </c>
      <c r="AZ218" s="7">
        <v>331</v>
      </c>
      <c r="BA218" s="26">
        <v>-2</v>
      </c>
      <c r="BB218" s="26">
        <v>-3</v>
      </c>
      <c r="BC218" s="6">
        <v>2.1614611477358693E-2</v>
      </c>
      <c r="BD218" s="6">
        <v>2.1999999999999999E-2</v>
      </c>
      <c r="BE218" s="11">
        <v>0.36226942232867121</v>
      </c>
      <c r="BF218" s="26">
        <v>331</v>
      </c>
      <c r="BG218" s="26">
        <v>0</v>
      </c>
      <c r="BH218" s="7">
        <v>-2</v>
      </c>
    </row>
    <row r="219" spans="2:60" x14ac:dyDescent="0.25">
      <c r="B219" s="3">
        <v>216</v>
      </c>
      <c r="C219" s="3" t="s">
        <v>439</v>
      </c>
      <c r="D219" s="3" t="s">
        <v>440</v>
      </c>
      <c r="E219" s="3" t="s">
        <v>408</v>
      </c>
      <c r="F219" s="3">
        <v>9110</v>
      </c>
      <c r="G219" s="3">
        <v>9</v>
      </c>
      <c r="H219" s="3">
        <v>0.44700000000000001</v>
      </c>
      <c r="I219" s="4">
        <v>6796</v>
      </c>
      <c r="J219" s="4">
        <v>6319</v>
      </c>
      <c r="K219" s="4">
        <v>6309</v>
      </c>
      <c r="L219" s="4">
        <v>477</v>
      </c>
      <c r="M219" s="4">
        <v>162</v>
      </c>
      <c r="N219" s="18">
        <v>2</v>
      </c>
      <c r="O219" s="18">
        <v>0</v>
      </c>
      <c r="P219" s="18">
        <v>0</v>
      </c>
      <c r="Q219" s="18">
        <v>0</v>
      </c>
      <c r="R219" s="18">
        <v>160</v>
      </c>
      <c r="S219" s="18">
        <v>0</v>
      </c>
      <c r="T219" s="18">
        <v>162</v>
      </c>
      <c r="U219" s="18" t="b">
        <v>1</v>
      </c>
      <c r="V219" s="4">
        <v>137</v>
      </c>
      <c r="W219" s="4">
        <v>137</v>
      </c>
      <c r="X219" s="3" t="b">
        <v>1</v>
      </c>
      <c r="Y219" s="18">
        <v>2</v>
      </c>
      <c r="Z219" s="18">
        <v>0</v>
      </c>
      <c r="AA219" s="18">
        <v>0</v>
      </c>
      <c r="AB219" s="18">
        <v>0</v>
      </c>
      <c r="AC219" s="18">
        <v>135</v>
      </c>
      <c r="AD219" s="18">
        <v>0</v>
      </c>
      <c r="AE219" s="18">
        <v>137</v>
      </c>
      <c r="AF219" s="4">
        <v>25</v>
      </c>
      <c r="AG219" s="5">
        <v>0.15432098765432098</v>
      </c>
      <c r="AH219" s="18">
        <f t="shared" si="3"/>
        <v>0</v>
      </c>
      <c r="AI219" s="6">
        <v>2.3837551500882872E-2</v>
      </c>
      <c r="AJ219" s="3">
        <v>2.4E-2</v>
      </c>
      <c r="AK219" s="6">
        <v>0.3566377372342211</v>
      </c>
      <c r="AL219" s="25">
        <v>0.35699999999999998</v>
      </c>
      <c r="AM219" s="6">
        <v>2.5636967874663713E-2</v>
      </c>
      <c r="AN219" s="3">
        <v>2.5999999999999999E-2</v>
      </c>
      <c r="AO219" s="6">
        <v>0.35627897399784902</v>
      </c>
      <c r="AP219" s="6">
        <v>2.1715010302742116E-2</v>
      </c>
      <c r="AQ219" s="6">
        <v>2.1999999999999999E-2</v>
      </c>
      <c r="AR219" s="6">
        <v>0.36190125167590365</v>
      </c>
      <c r="AS219" s="6">
        <v>0.36199999999999999</v>
      </c>
      <c r="AT219" s="6">
        <v>2.1225411981407559E-3</v>
      </c>
      <c r="AU219" s="6">
        <v>-5.2635144416825486E-3</v>
      </c>
      <c r="AV219" s="6">
        <v>3.9219575719215971E-3</v>
      </c>
      <c r="AW219" s="6">
        <v>-5.6222776780546213E-3</v>
      </c>
      <c r="AX219" s="7">
        <v>336</v>
      </c>
      <c r="AY219" s="7">
        <v>331</v>
      </c>
      <c r="AZ219" s="7">
        <v>328</v>
      </c>
      <c r="BA219" s="26">
        <v>-8</v>
      </c>
      <c r="BB219" s="26">
        <v>-3</v>
      </c>
      <c r="BC219" s="6">
        <v>2.0158917010005887E-2</v>
      </c>
      <c r="BD219" s="6">
        <v>0.02</v>
      </c>
      <c r="BE219" s="11">
        <v>0.36070560727521206</v>
      </c>
      <c r="BF219" s="7">
        <v>332</v>
      </c>
      <c r="BG219" s="26">
        <v>-4</v>
      </c>
      <c r="BH219" s="7">
        <v>-4</v>
      </c>
    </row>
    <row r="220" spans="2:60" x14ac:dyDescent="0.25">
      <c r="B220" s="3">
        <v>217</v>
      </c>
      <c r="C220" s="3" t="s">
        <v>441</v>
      </c>
      <c r="D220" s="3" t="s">
        <v>442</v>
      </c>
      <c r="E220" s="3" t="s">
        <v>408</v>
      </c>
      <c r="F220" s="3">
        <v>9111</v>
      </c>
      <c r="G220" s="3">
        <v>9</v>
      </c>
      <c r="H220" s="3">
        <v>0.49399999999999999</v>
      </c>
      <c r="I220" s="4">
        <v>33988</v>
      </c>
      <c r="J220" s="4">
        <v>34151</v>
      </c>
      <c r="K220" s="4">
        <v>34077</v>
      </c>
      <c r="L220" s="4">
        <v>-163</v>
      </c>
      <c r="M220" s="4">
        <v>4177</v>
      </c>
      <c r="N220" s="18">
        <v>37</v>
      </c>
      <c r="O220" s="18">
        <v>3801</v>
      </c>
      <c r="P220" s="18">
        <v>64</v>
      </c>
      <c r="Q220" s="18">
        <v>0</v>
      </c>
      <c r="R220" s="18">
        <v>275</v>
      </c>
      <c r="S220" s="18">
        <v>0</v>
      </c>
      <c r="T220" s="18">
        <v>4177</v>
      </c>
      <c r="U220" s="18" t="b">
        <v>1</v>
      </c>
      <c r="V220" s="4">
        <v>3869</v>
      </c>
      <c r="W220" s="4">
        <v>3869</v>
      </c>
      <c r="X220" s="3" t="b">
        <v>1</v>
      </c>
      <c r="Y220" s="18">
        <v>87</v>
      </c>
      <c r="Z220" s="18">
        <v>3535</v>
      </c>
      <c r="AA220" s="18">
        <v>0</v>
      </c>
      <c r="AB220" s="18">
        <v>0</v>
      </c>
      <c r="AC220" s="18">
        <v>247</v>
      </c>
      <c r="AD220" s="18">
        <v>0</v>
      </c>
      <c r="AE220" s="18">
        <v>3869</v>
      </c>
      <c r="AF220" s="4">
        <v>308</v>
      </c>
      <c r="AG220" s="5">
        <v>7.3737131912856121E-2</v>
      </c>
      <c r="AH220" s="18">
        <f t="shared" si="3"/>
        <v>266</v>
      </c>
      <c r="AI220" s="6">
        <v>0.12289631634694598</v>
      </c>
      <c r="AJ220" s="3">
        <v>0.123</v>
      </c>
      <c r="AK220" s="6">
        <v>0.45873696889884624</v>
      </c>
      <c r="AL220" s="25">
        <v>0.45900000000000002</v>
      </c>
      <c r="AM220" s="6">
        <v>0.12230974202805189</v>
      </c>
      <c r="AN220" s="3">
        <v>0.122</v>
      </c>
      <c r="AO220" s="6">
        <v>0.46609924611526399</v>
      </c>
      <c r="AP220" s="6">
        <v>0.11353698975848812</v>
      </c>
      <c r="AQ220" s="6">
        <v>0.114</v>
      </c>
      <c r="AR220" s="6">
        <v>0.4686303804671203</v>
      </c>
      <c r="AS220" s="6">
        <v>0.46800000000000003</v>
      </c>
      <c r="AT220" s="6">
        <v>9.359326588457853E-3</v>
      </c>
      <c r="AU220" s="6">
        <v>-9.8934115682740575E-3</v>
      </c>
      <c r="AV220" s="6">
        <v>8.7727522695637689E-3</v>
      </c>
      <c r="AW220" s="6">
        <v>-2.5311343518563123E-3</v>
      </c>
      <c r="AX220" s="7">
        <v>205</v>
      </c>
      <c r="AY220" s="26">
        <v>201</v>
      </c>
      <c r="AZ220" s="7">
        <v>195</v>
      </c>
      <c r="BA220" s="26">
        <v>-10</v>
      </c>
      <c r="BB220" s="26">
        <v>-6</v>
      </c>
      <c r="BC220" s="6">
        <v>0.11383429445686713</v>
      </c>
      <c r="BD220" s="6">
        <v>0.114</v>
      </c>
      <c r="BE220" s="11">
        <v>0.4613386512794691</v>
      </c>
      <c r="BF220" s="26">
        <v>202</v>
      </c>
      <c r="BG220" s="26">
        <v>-7</v>
      </c>
      <c r="BH220" s="7">
        <v>-3</v>
      </c>
    </row>
    <row r="221" spans="2:60" x14ac:dyDescent="0.25">
      <c r="B221" s="3">
        <v>218</v>
      </c>
      <c r="C221" s="3" t="s">
        <v>443</v>
      </c>
      <c r="D221" s="3" t="s">
        <v>444</v>
      </c>
      <c r="E221" s="3" t="s">
        <v>408</v>
      </c>
      <c r="F221" s="3">
        <v>9112</v>
      </c>
      <c r="G221" s="3">
        <v>9</v>
      </c>
      <c r="H221" s="3">
        <v>0.51200000000000001</v>
      </c>
      <c r="I221" s="4">
        <v>80656</v>
      </c>
      <c r="J221" s="4">
        <v>85373</v>
      </c>
      <c r="K221" s="4">
        <v>84619</v>
      </c>
      <c r="L221" s="4">
        <v>-4717</v>
      </c>
      <c r="M221" s="4">
        <v>9032</v>
      </c>
      <c r="N221" s="18">
        <v>101</v>
      </c>
      <c r="O221" s="18">
        <v>6578</v>
      </c>
      <c r="P221" s="18">
        <v>1694</v>
      </c>
      <c r="Q221" s="18">
        <v>0</v>
      </c>
      <c r="R221" s="18">
        <v>659</v>
      </c>
      <c r="S221" s="18">
        <v>0</v>
      </c>
      <c r="T221" s="18">
        <v>9032</v>
      </c>
      <c r="U221" s="18" t="b">
        <v>1</v>
      </c>
      <c r="V221" s="4">
        <v>8412</v>
      </c>
      <c r="W221" s="4">
        <v>8412</v>
      </c>
      <c r="X221" s="3" t="b">
        <v>1</v>
      </c>
      <c r="Y221" s="18">
        <v>275</v>
      </c>
      <c r="Z221" s="18">
        <v>5850</v>
      </c>
      <c r="AA221" s="18">
        <v>1652</v>
      </c>
      <c r="AB221" s="18">
        <v>0</v>
      </c>
      <c r="AC221" s="18">
        <v>635</v>
      </c>
      <c r="AD221" s="18">
        <v>0</v>
      </c>
      <c r="AE221" s="18">
        <v>8412</v>
      </c>
      <c r="AF221" s="4">
        <v>620</v>
      </c>
      <c r="AG221" s="5">
        <v>6.8644818423383519E-2</v>
      </c>
      <c r="AH221" s="18">
        <f t="shared" si="3"/>
        <v>728</v>
      </c>
      <c r="AI221" s="6">
        <v>0.11198174965284666</v>
      </c>
      <c r="AJ221" s="3">
        <v>0.112</v>
      </c>
      <c r="AK221" s="6">
        <v>0.44748739522253833</v>
      </c>
      <c r="AL221" s="25">
        <v>0.44700000000000001</v>
      </c>
      <c r="AM221" s="6">
        <v>0.10579457205439659</v>
      </c>
      <c r="AN221" s="3">
        <v>0.106</v>
      </c>
      <c r="AO221" s="6">
        <v>0.44733801290916569</v>
      </c>
      <c r="AP221" s="6">
        <v>9.9410297923634178E-2</v>
      </c>
      <c r="AQ221" s="6">
        <v>9.9000000000000005E-2</v>
      </c>
      <c r="AR221" s="6">
        <v>0.45122889207724803</v>
      </c>
      <c r="AS221" s="6">
        <v>0.45200000000000001</v>
      </c>
      <c r="AT221" s="6">
        <v>1.2571451729212479E-2</v>
      </c>
      <c r="AU221" s="6">
        <v>-3.7414968547097027E-3</v>
      </c>
      <c r="AV221" s="6">
        <v>6.3842741307624101E-3</v>
      </c>
      <c r="AW221" s="6">
        <v>-3.8908791680823396E-3</v>
      </c>
      <c r="AX221" s="7">
        <v>223</v>
      </c>
      <c r="AY221" s="7">
        <v>225</v>
      </c>
      <c r="AZ221" s="7">
        <v>218</v>
      </c>
      <c r="BA221" s="26">
        <v>-5</v>
      </c>
      <c r="BB221" s="26">
        <v>-7</v>
      </c>
      <c r="BC221" s="6">
        <v>0.10429478278119421</v>
      </c>
      <c r="BD221" s="6">
        <v>0.104</v>
      </c>
      <c r="BE221" s="11">
        <v>0.4510905997167019</v>
      </c>
      <c r="BF221" s="7">
        <v>220</v>
      </c>
      <c r="BG221" s="26">
        <v>-2</v>
      </c>
      <c r="BH221" s="7">
        <v>-3</v>
      </c>
    </row>
    <row r="222" spans="2:60" x14ac:dyDescent="0.25">
      <c r="B222" s="3">
        <v>219</v>
      </c>
      <c r="C222" s="3" t="s">
        <v>445</v>
      </c>
      <c r="D222" s="3" t="s">
        <v>446</v>
      </c>
      <c r="E222" s="3" t="s">
        <v>408</v>
      </c>
      <c r="F222" s="3">
        <v>9113</v>
      </c>
      <c r="G222" s="3">
        <v>9</v>
      </c>
      <c r="H222" s="3">
        <v>0.48199999999999998</v>
      </c>
      <c r="I222" s="4">
        <v>7438</v>
      </c>
      <c r="J222" s="4">
        <v>7269</v>
      </c>
      <c r="K222" s="4">
        <v>7262</v>
      </c>
      <c r="L222" s="4">
        <v>169</v>
      </c>
      <c r="M222" s="4">
        <v>791</v>
      </c>
      <c r="N222" s="18">
        <v>27</v>
      </c>
      <c r="O222" s="18">
        <v>711</v>
      </c>
      <c r="P222" s="18">
        <v>0</v>
      </c>
      <c r="Q222" s="18">
        <v>0</v>
      </c>
      <c r="R222" s="18">
        <v>53</v>
      </c>
      <c r="S222" s="18">
        <v>0</v>
      </c>
      <c r="T222" s="18">
        <v>791</v>
      </c>
      <c r="U222" s="18" t="b">
        <v>1</v>
      </c>
      <c r="V222" s="4">
        <v>713</v>
      </c>
      <c r="W222" s="4">
        <v>713</v>
      </c>
      <c r="X222" s="3" t="b">
        <v>1</v>
      </c>
      <c r="Y222" s="18">
        <v>25</v>
      </c>
      <c r="Z222" s="18">
        <v>647</v>
      </c>
      <c r="AA222" s="18">
        <v>0</v>
      </c>
      <c r="AB222" s="18">
        <v>0</v>
      </c>
      <c r="AC222" s="18">
        <v>41</v>
      </c>
      <c r="AD222" s="18">
        <v>0</v>
      </c>
      <c r="AE222" s="18">
        <v>713</v>
      </c>
      <c r="AF222" s="4">
        <v>78</v>
      </c>
      <c r="AG222" s="5">
        <v>9.8609355246523395E-2</v>
      </c>
      <c r="AH222" s="18">
        <f t="shared" si="3"/>
        <v>64</v>
      </c>
      <c r="AI222" s="6">
        <v>0.10634579187953751</v>
      </c>
      <c r="AJ222" s="3">
        <v>0.106</v>
      </c>
      <c r="AK222" s="6">
        <v>0.44167844980268223</v>
      </c>
      <c r="AL222" s="25">
        <v>0.442</v>
      </c>
      <c r="AM222" s="6">
        <v>0.10881826936304856</v>
      </c>
      <c r="AN222" s="3">
        <v>0.109</v>
      </c>
      <c r="AO222" s="6">
        <v>0.45077293307303701</v>
      </c>
      <c r="AP222" s="6">
        <v>9.8182318920407602E-2</v>
      </c>
      <c r="AQ222" s="6">
        <v>9.8000000000000004E-2</v>
      </c>
      <c r="AR222" s="6">
        <v>0.45006879285125656</v>
      </c>
      <c r="AS222" s="6">
        <v>0.45</v>
      </c>
      <c r="AT222" s="6">
        <v>8.1634729591299054E-3</v>
      </c>
      <c r="AU222" s="6">
        <v>-8.3903430485743336E-3</v>
      </c>
      <c r="AV222" s="6">
        <v>1.0635950442640957E-2</v>
      </c>
      <c r="AW222" s="6">
        <v>7.0414022178044711E-4</v>
      </c>
      <c r="AX222" s="7">
        <v>230</v>
      </c>
      <c r="AY222" s="26">
        <v>218</v>
      </c>
      <c r="AZ222" s="7">
        <v>222</v>
      </c>
      <c r="BA222" s="26">
        <v>-8</v>
      </c>
      <c r="BB222" s="26">
        <v>4</v>
      </c>
      <c r="BC222" s="6">
        <v>9.5859101909115355E-2</v>
      </c>
      <c r="BD222" s="6">
        <v>9.6000000000000002E-2</v>
      </c>
      <c r="BE222" s="11">
        <v>0.44202836514084082</v>
      </c>
      <c r="BF222" s="26">
        <v>228</v>
      </c>
      <c r="BG222" s="26">
        <v>-6</v>
      </c>
      <c r="BH222" s="7">
        <v>-2</v>
      </c>
    </row>
    <row r="223" spans="2:60" x14ac:dyDescent="0.25">
      <c r="B223" s="3">
        <v>220</v>
      </c>
      <c r="C223" s="3" t="s">
        <v>447</v>
      </c>
      <c r="D223" s="3" t="s">
        <v>448</v>
      </c>
      <c r="E223" s="3" t="s">
        <v>408</v>
      </c>
      <c r="F223" s="3">
        <v>9114</v>
      </c>
      <c r="G223" s="3">
        <v>9</v>
      </c>
      <c r="H223" s="3">
        <v>0.57399999999999995</v>
      </c>
      <c r="I223" s="4">
        <v>27041</v>
      </c>
      <c r="J223" s="4">
        <v>26617</v>
      </c>
      <c r="K223" s="4">
        <v>26499</v>
      </c>
      <c r="L223" s="4">
        <v>424</v>
      </c>
      <c r="M223" s="4">
        <v>5031</v>
      </c>
      <c r="N223" s="18">
        <v>11</v>
      </c>
      <c r="O223" s="18">
        <v>4618</v>
      </c>
      <c r="P223" s="18">
        <v>71</v>
      </c>
      <c r="Q223" s="18">
        <v>0</v>
      </c>
      <c r="R223" s="18">
        <v>331</v>
      </c>
      <c r="S223" s="18">
        <v>0</v>
      </c>
      <c r="T223" s="18">
        <v>5031</v>
      </c>
      <c r="U223" s="18" t="b">
        <v>1</v>
      </c>
      <c r="V223" s="4">
        <v>4770</v>
      </c>
      <c r="W223" s="4">
        <v>4770</v>
      </c>
      <c r="X223" s="3" t="b">
        <v>1</v>
      </c>
      <c r="Y223" s="18">
        <v>63</v>
      </c>
      <c r="Z223" s="18">
        <v>4452</v>
      </c>
      <c r="AA223" s="18">
        <v>0</v>
      </c>
      <c r="AB223" s="18">
        <v>0</v>
      </c>
      <c r="AC223" s="18">
        <v>255</v>
      </c>
      <c r="AD223" s="18">
        <v>0</v>
      </c>
      <c r="AE223" s="18">
        <v>4770</v>
      </c>
      <c r="AF223" s="4">
        <v>261</v>
      </c>
      <c r="AG223" s="5">
        <v>5.1878354203935599E-2</v>
      </c>
      <c r="AH223" s="18">
        <f t="shared" si="3"/>
        <v>166</v>
      </c>
      <c r="AI223" s="6">
        <v>0.18605081173033541</v>
      </c>
      <c r="AJ223" s="3">
        <v>0.186</v>
      </c>
      <c r="AK223" s="6">
        <v>0.52382990100668525</v>
      </c>
      <c r="AL223" s="25">
        <v>0.52400000000000002</v>
      </c>
      <c r="AM223" s="6">
        <v>0.18901453957996769</v>
      </c>
      <c r="AN223" s="3">
        <v>0.189</v>
      </c>
      <c r="AO223" s="6">
        <v>0.54187589660286894</v>
      </c>
      <c r="AP223" s="6">
        <v>0.18000679270915884</v>
      </c>
      <c r="AQ223" s="6">
        <v>0.18</v>
      </c>
      <c r="AR223" s="6">
        <v>0.54519692938255837</v>
      </c>
      <c r="AS223" s="6">
        <v>0.54500000000000004</v>
      </c>
      <c r="AT223" s="6">
        <v>6.0440190211765721E-3</v>
      </c>
      <c r="AU223" s="6">
        <v>-2.1367028375873121E-2</v>
      </c>
      <c r="AV223" s="6">
        <v>9.0077468708088526E-3</v>
      </c>
      <c r="AW223" s="6">
        <v>-3.3210327796894257E-3</v>
      </c>
      <c r="AX223" s="7">
        <v>132</v>
      </c>
      <c r="AY223" s="7">
        <v>116</v>
      </c>
      <c r="AZ223" s="7">
        <v>119</v>
      </c>
      <c r="BA223" s="26">
        <v>-13</v>
      </c>
      <c r="BB223" s="26">
        <v>3</v>
      </c>
      <c r="BC223" s="6">
        <v>0.17639880181945933</v>
      </c>
      <c r="BD223" s="6">
        <v>0.17599999999999999</v>
      </c>
      <c r="BE223" s="11">
        <v>0.52855008927016134</v>
      </c>
      <c r="BF223" s="7">
        <v>126</v>
      </c>
      <c r="BG223" s="26">
        <v>-7</v>
      </c>
      <c r="BH223" s="7">
        <v>-6</v>
      </c>
    </row>
    <row r="224" spans="2:60" x14ac:dyDescent="0.25">
      <c r="B224" s="3">
        <v>221</v>
      </c>
      <c r="C224" s="3" t="s">
        <v>449</v>
      </c>
      <c r="D224" s="3" t="s">
        <v>450</v>
      </c>
      <c r="E224" s="3" t="s">
        <v>408</v>
      </c>
      <c r="F224" s="3">
        <v>9115</v>
      </c>
      <c r="G224" s="3">
        <v>9</v>
      </c>
      <c r="H224" s="3">
        <v>0.53400000000000003</v>
      </c>
      <c r="I224" s="4">
        <v>32321</v>
      </c>
      <c r="J224" s="4">
        <v>30712</v>
      </c>
      <c r="K224" s="4">
        <v>30508</v>
      </c>
      <c r="L224" s="4">
        <v>1609</v>
      </c>
      <c r="M224" s="4">
        <v>6828</v>
      </c>
      <c r="N224" s="18">
        <v>10</v>
      </c>
      <c r="O224" s="18">
        <v>5818</v>
      </c>
      <c r="P224" s="18">
        <v>24</v>
      </c>
      <c r="Q224" s="18">
        <v>0</v>
      </c>
      <c r="R224" s="18">
        <v>976</v>
      </c>
      <c r="S224" s="18">
        <v>0</v>
      </c>
      <c r="T224" s="18">
        <v>6828</v>
      </c>
      <c r="U224" s="18" t="b">
        <v>1</v>
      </c>
      <c r="V224" s="4">
        <v>6406</v>
      </c>
      <c r="W224" s="4">
        <v>6406</v>
      </c>
      <c r="X224" s="3" t="b">
        <v>1</v>
      </c>
      <c r="Y224" s="18">
        <v>64</v>
      </c>
      <c r="Z224" s="18">
        <v>5572</v>
      </c>
      <c r="AA224" s="18">
        <v>0</v>
      </c>
      <c r="AB224" s="18">
        <v>0</v>
      </c>
      <c r="AC224" s="18">
        <v>770</v>
      </c>
      <c r="AD224" s="18">
        <v>0</v>
      </c>
      <c r="AE224" s="18">
        <v>6406</v>
      </c>
      <c r="AF224" s="4">
        <v>422</v>
      </c>
      <c r="AG224" s="5">
        <v>6.1804335090802576E-2</v>
      </c>
      <c r="AH224" s="18">
        <f t="shared" si="3"/>
        <v>246</v>
      </c>
      <c r="AI224" s="6">
        <v>0.21125583985644009</v>
      </c>
      <c r="AJ224" s="3">
        <v>0.21099999999999999</v>
      </c>
      <c r="AK224" s="6">
        <v>0.54980856134794465</v>
      </c>
      <c r="AL224" s="25">
        <v>0.55000000000000004</v>
      </c>
      <c r="AM224" s="6">
        <v>0.22232352175045586</v>
      </c>
      <c r="AN224" s="3">
        <v>0.222</v>
      </c>
      <c r="AO224" s="6">
        <v>0.57971490058255282</v>
      </c>
      <c r="AP224" s="6">
        <v>0.20997771076438967</v>
      </c>
      <c r="AQ224" s="6">
        <v>0.21</v>
      </c>
      <c r="AR224" s="6">
        <v>0.5799999061623029</v>
      </c>
      <c r="AS224" s="6">
        <v>0.57999999999999996</v>
      </c>
      <c r="AT224" s="6">
        <v>1.2781290920504118E-3</v>
      </c>
      <c r="AU224" s="6">
        <v>-3.0191344814358256E-2</v>
      </c>
      <c r="AV224" s="6">
        <v>1.2345810986066186E-2</v>
      </c>
      <c r="AW224" s="6">
        <v>-2.8500557975008611E-4</v>
      </c>
      <c r="AX224" s="7">
        <v>110</v>
      </c>
      <c r="AY224" s="26">
        <v>74</v>
      </c>
      <c r="AZ224" s="7">
        <v>80</v>
      </c>
      <c r="BA224" s="26">
        <v>-30</v>
      </c>
      <c r="BB224" s="26">
        <v>6</v>
      </c>
      <c r="BC224" s="6">
        <v>0.19819931314006373</v>
      </c>
      <c r="BD224" s="6">
        <v>0.19800000000000001</v>
      </c>
      <c r="BE224" s="11">
        <v>0.55196981678912638</v>
      </c>
      <c r="BF224" s="26">
        <v>110</v>
      </c>
      <c r="BG224" s="26">
        <v>-30</v>
      </c>
      <c r="BH224" s="7">
        <v>0</v>
      </c>
    </row>
    <row r="225" spans="2:60" x14ac:dyDescent="0.25">
      <c r="B225" s="3">
        <v>222</v>
      </c>
      <c r="C225" s="3" t="s">
        <v>451</v>
      </c>
      <c r="D225" s="3" t="s">
        <v>452</v>
      </c>
      <c r="E225" s="3" t="s">
        <v>408</v>
      </c>
      <c r="F225" s="3">
        <v>9208</v>
      </c>
      <c r="G225" s="3">
        <v>9</v>
      </c>
      <c r="H225" s="3">
        <v>0.45900000000000002</v>
      </c>
      <c r="I225" s="4">
        <v>12184</v>
      </c>
      <c r="J225" s="4">
        <v>12103</v>
      </c>
      <c r="K225" s="4">
        <v>12118</v>
      </c>
      <c r="L225" s="4">
        <v>81</v>
      </c>
      <c r="M225" s="4">
        <v>1697</v>
      </c>
      <c r="N225" s="18">
        <v>17</v>
      </c>
      <c r="O225" s="18">
        <v>1635</v>
      </c>
      <c r="P225" s="18">
        <v>0</v>
      </c>
      <c r="Q225" s="18">
        <v>0</v>
      </c>
      <c r="R225" s="18">
        <v>45</v>
      </c>
      <c r="S225" s="18">
        <v>0</v>
      </c>
      <c r="T225" s="18">
        <v>1697</v>
      </c>
      <c r="U225" s="18" t="b">
        <v>1</v>
      </c>
      <c r="V225" s="4">
        <v>1570</v>
      </c>
      <c r="W225" s="4">
        <v>1570</v>
      </c>
      <c r="X225" s="3" t="b">
        <v>1</v>
      </c>
      <c r="Y225" s="18">
        <v>51</v>
      </c>
      <c r="Z225" s="18">
        <v>1478</v>
      </c>
      <c r="AA225" s="18">
        <v>0</v>
      </c>
      <c r="AB225" s="18">
        <v>0</v>
      </c>
      <c r="AC225" s="18">
        <v>41</v>
      </c>
      <c r="AD225" s="18">
        <v>0</v>
      </c>
      <c r="AE225" s="18">
        <v>1570</v>
      </c>
      <c r="AF225" s="4">
        <v>127</v>
      </c>
      <c r="AG225" s="5">
        <v>7.4837949322333536E-2</v>
      </c>
      <c r="AH225" s="18">
        <f t="shared" si="3"/>
        <v>157</v>
      </c>
      <c r="AI225" s="6">
        <v>0.13928102429415626</v>
      </c>
      <c r="AJ225" s="3">
        <v>0.13900000000000001</v>
      </c>
      <c r="AK225" s="6">
        <v>0.47562458197436835</v>
      </c>
      <c r="AL225" s="25">
        <v>0.47599999999999998</v>
      </c>
      <c r="AM225" s="6">
        <v>0.14021317028835825</v>
      </c>
      <c r="AN225" s="3">
        <v>0.14000000000000001</v>
      </c>
      <c r="AO225" s="6">
        <v>0.48643754074475093</v>
      </c>
      <c r="AP225" s="6">
        <v>0.12955933322330418</v>
      </c>
      <c r="AQ225" s="6">
        <v>0.13</v>
      </c>
      <c r="AR225" s="6">
        <v>0.48719196808298409</v>
      </c>
      <c r="AS225" s="6">
        <v>0.48699999999999999</v>
      </c>
      <c r="AT225" s="6">
        <v>9.7216910708520787E-3</v>
      </c>
      <c r="AU225" s="6">
        <v>-1.156738610861574E-2</v>
      </c>
      <c r="AV225" s="6">
        <v>1.0653837065054073E-2</v>
      </c>
      <c r="AW225" s="6">
        <v>-7.5442733823316566E-4</v>
      </c>
      <c r="AX225" s="7">
        <v>193</v>
      </c>
      <c r="AY225" s="7">
        <v>183</v>
      </c>
      <c r="AZ225" s="7">
        <v>180</v>
      </c>
      <c r="BA225" s="26">
        <v>-13</v>
      </c>
      <c r="BB225" s="26">
        <v>-3</v>
      </c>
      <c r="BC225" s="6">
        <v>0.1288575180564675</v>
      </c>
      <c r="BD225" s="6">
        <v>0.129</v>
      </c>
      <c r="BE225" s="11">
        <v>0.47747771324846933</v>
      </c>
      <c r="BF225" s="7">
        <v>191</v>
      </c>
      <c r="BG225" s="26">
        <v>-11</v>
      </c>
      <c r="BH225" s="7">
        <v>-2</v>
      </c>
    </row>
    <row r="226" spans="2:60" x14ac:dyDescent="0.25">
      <c r="B226" s="3">
        <v>223</v>
      </c>
      <c r="C226" s="3" t="s">
        <v>453</v>
      </c>
      <c r="D226" s="3" t="s">
        <v>454</v>
      </c>
      <c r="E226" s="3" t="s">
        <v>408</v>
      </c>
      <c r="F226" s="3">
        <v>9209</v>
      </c>
      <c r="G226" s="3">
        <v>9</v>
      </c>
      <c r="H226" s="3">
        <v>0.41799999999999998</v>
      </c>
      <c r="I226" s="4">
        <v>10686</v>
      </c>
      <c r="J226" s="4">
        <v>11002</v>
      </c>
      <c r="K226" s="4">
        <v>10964</v>
      </c>
      <c r="L226" s="4">
        <v>-316</v>
      </c>
      <c r="M226" s="4">
        <v>1092</v>
      </c>
      <c r="N226" s="18">
        <v>50</v>
      </c>
      <c r="O226" s="18">
        <v>971</v>
      </c>
      <c r="P226" s="18">
        <v>0</v>
      </c>
      <c r="Q226" s="18">
        <v>0</v>
      </c>
      <c r="R226" s="18">
        <v>71</v>
      </c>
      <c r="S226" s="18">
        <v>0</v>
      </c>
      <c r="T226" s="18">
        <v>1092</v>
      </c>
      <c r="U226" s="18" t="b">
        <v>1</v>
      </c>
      <c r="V226" s="4">
        <v>888</v>
      </c>
      <c r="W226" s="4">
        <v>888</v>
      </c>
      <c r="X226" s="3" t="b">
        <v>1</v>
      </c>
      <c r="Y226" s="18">
        <v>76</v>
      </c>
      <c r="Z226" s="18">
        <v>767</v>
      </c>
      <c r="AA226" s="18">
        <v>0</v>
      </c>
      <c r="AB226" s="18">
        <v>0</v>
      </c>
      <c r="AC226" s="18">
        <v>45</v>
      </c>
      <c r="AD226" s="18">
        <v>0</v>
      </c>
      <c r="AE226" s="18">
        <v>888</v>
      </c>
      <c r="AF226" s="4">
        <v>204</v>
      </c>
      <c r="AG226" s="5">
        <v>0.18681318681318682</v>
      </c>
      <c r="AH226" s="18">
        <f t="shared" si="3"/>
        <v>204</v>
      </c>
      <c r="AI226" s="6">
        <v>0.10218978102189781</v>
      </c>
      <c r="AJ226" s="3">
        <v>0.10199999999999999</v>
      </c>
      <c r="AK226" s="6">
        <v>0.43739487614805156</v>
      </c>
      <c r="AL226" s="25">
        <v>0.437</v>
      </c>
      <c r="AM226" s="6">
        <v>9.9254680967096887E-2</v>
      </c>
      <c r="AN226" s="3">
        <v>9.9000000000000005E-2</v>
      </c>
      <c r="AO226" s="6">
        <v>0.43990869658804777</v>
      </c>
      <c r="AP226" s="6">
        <v>8.0992338562568406E-2</v>
      </c>
      <c r="AQ226" s="6">
        <v>8.1000000000000003E-2</v>
      </c>
      <c r="AR226" s="6">
        <v>0.43034710600940129</v>
      </c>
      <c r="AS226" s="6">
        <v>0.43099999999999999</v>
      </c>
      <c r="AT226" s="6">
        <v>2.1197442459329405E-2</v>
      </c>
      <c r="AU226" s="6">
        <v>7.0477701386502667E-3</v>
      </c>
      <c r="AV226" s="6">
        <v>1.8262342404528481E-2</v>
      </c>
      <c r="AW226" s="6">
        <v>9.5615905786464728E-3</v>
      </c>
      <c r="AX226" s="7">
        <v>235</v>
      </c>
      <c r="AY226" s="26">
        <v>234</v>
      </c>
      <c r="AZ226" s="7">
        <v>240</v>
      </c>
      <c r="BA226" s="26">
        <v>5</v>
      </c>
      <c r="BB226" s="26">
        <v>6</v>
      </c>
      <c r="BC226" s="6">
        <v>8.3099382369455368E-2</v>
      </c>
      <c r="BD226" s="6">
        <v>8.3000000000000004E-2</v>
      </c>
      <c r="BE226" s="11">
        <v>0.42832092725360116</v>
      </c>
      <c r="BF226" s="26">
        <v>240</v>
      </c>
      <c r="BG226" s="26">
        <v>0</v>
      </c>
      <c r="BH226" s="7">
        <v>5</v>
      </c>
    </row>
    <row r="227" spans="2:60" x14ac:dyDescent="0.25">
      <c r="B227" s="3">
        <v>224</v>
      </c>
      <c r="C227" s="3" t="s">
        <v>455</v>
      </c>
      <c r="D227" s="3" t="s">
        <v>456</v>
      </c>
      <c r="E227" s="3" t="s">
        <v>408</v>
      </c>
      <c r="F227" s="3">
        <v>9116</v>
      </c>
      <c r="G227" s="3">
        <v>9</v>
      </c>
      <c r="H227" s="3">
        <v>0.47399999999999998</v>
      </c>
      <c r="I227" s="4">
        <v>12877</v>
      </c>
      <c r="J227" s="4">
        <v>12660</v>
      </c>
      <c r="K227" s="4">
        <v>12693</v>
      </c>
      <c r="L227" s="4">
        <v>217</v>
      </c>
      <c r="M227" s="4">
        <v>473</v>
      </c>
      <c r="N227" s="18">
        <v>2</v>
      </c>
      <c r="O227" s="18">
        <v>428</v>
      </c>
      <c r="P227" s="18">
        <v>0</v>
      </c>
      <c r="Q227" s="18">
        <v>0</v>
      </c>
      <c r="R227" s="18">
        <v>43</v>
      </c>
      <c r="S227" s="18">
        <v>0</v>
      </c>
      <c r="T227" s="18">
        <v>473</v>
      </c>
      <c r="U227" s="18" t="b">
        <v>1</v>
      </c>
      <c r="V227" s="4">
        <v>430</v>
      </c>
      <c r="W227" s="4">
        <v>430</v>
      </c>
      <c r="X227" s="3" t="b">
        <v>1</v>
      </c>
      <c r="Y227" s="18">
        <v>7</v>
      </c>
      <c r="Z227" s="18">
        <v>404</v>
      </c>
      <c r="AA227" s="18">
        <v>0</v>
      </c>
      <c r="AB227" s="18">
        <v>0</v>
      </c>
      <c r="AC227" s="18">
        <v>19</v>
      </c>
      <c r="AD227" s="18">
        <v>0</v>
      </c>
      <c r="AE227" s="18">
        <v>430</v>
      </c>
      <c r="AF227" s="4">
        <v>43</v>
      </c>
      <c r="AG227" s="5">
        <v>9.0909090909090912E-2</v>
      </c>
      <c r="AH227" s="18">
        <f t="shared" si="3"/>
        <v>24</v>
      </c>
      <c r="AI227" s="6">
        <v>3.6732158111361345E-2</v>
      </c>
      <c r="AJ227" s="3">
        <v>3.6999999999999998E-2</v>
      </c>
      <c r="AK227" s="6">
        <v>0.36992812531440084</v>
      </c>
      <c r="AL227" s="25">
        <v>0.37</v>
      </c>
      <c r="AM227" s="6">
        <v>3.7361769352290679E-2</v>
      </c>
      <c r="AN227" s="3">
        <v>3.6999999999999998E-2</v>
      </c>
      <c r="AO227" s="6">
        <v>0.3695983485588048</v>
      </c>
      <c r="AP227" s="6">
        <v>3.3876940045694477E-2</v>
      </c>
      <c r="AQ227" s="6">
        <v>3.4000000000000002E-2</v>
      </c>
      <c r="AR227" s="6">
        <v>0.37582244238780149</v>
      </c>
      <c r="AS227" s="6">
        <v>0.376</v>
      </c>
      <c r="AT227" s="6">
        <v>2.8552180656668674E-3</v>
      </c>
      <c r="AU227" s="6">
        <v>-5.8943170734006567E-3</v>
      </c>
      <c r="AV227" s="6">
        <v>3.4848293065962016E-3</v>
      </c>
      <c r="AW227" s="6">
        <v>-6.2240938289966907E-3</v>
      </c>
      <c r="AX227" s="7">
        <v>317</v>
      </c>
      <c r="AY227" s="7">
        <v>316</v>
      </c>
      <c r="AZ227" s="7">
        <v>312</v>
      </c>
      <c r="BA227" s="26">
        <v>-5</v>
      </c>
      <c r="BB227" s="26">
        <v>-4</v>
      </c>
      <c r="BC227" s="6">
        <v>3.3392871010328493E-2</v>
      </c>
      <c r="BD227" s="6">
        <v>3.3000000000000002E-2</v>
      </c>
      <c r="BE227" s="11">
        <v>0.37492250302265911</v>
      </c>
      <c r="BF227" s="7">
        <v>316</v>
      </c>
      <c r="BG227" s="26">
        <v>-4</v>
      </c>
      <c r="BH227" s="7">
        <v>-1</v>
      </c>
    </row>
    <row r="228" spans="2:60" x14ac:dyDescent="0.25">
      <c r="B228" s="3">
        <v>225</v>
      </c>
      <c r="C228" s="3" t="s">
        <v>457</v>
      </c>
      <c r="D228" s="3" t="s">
        <v>458</v>
      </c>
      <c r="E228" s="3" t="s">
        <v>408</v>
      </c>
      <c r="F228" s="3">
        <v>9101</v>
      </c>
      <c r="G228" s="3">
        <v>9</v>
      </c>
      <c r="H228" s="3">
        <v>0.63700000000000001</v>
      </c>
      <c r="I228" s="4">
        <v>292518</v>
      </c>
      <c r="J228" s="4">
        <v>309696</v>
      </c>
      <c r="K228" s="4">
        <v>308175</v>
      </c>
      <c r="L228" s="4">
        <v>-17178</v>
      </c>
      <c r="M228" s="4">
        <v>88619</v>
      </c>
      <c r="N228" s="18">
        <v>321</v>
      </c>
      <c r="O228" s="18">
        <v>68651</v>
      </c>
      <c r="P228" s="18">
        <v>18604</v>
      </c>
      <c r="Q228" s="18">
        <v>0</v>
      </c>
      <c r="R228" s="18">
        <v>1043</v>
      </c>
      <c r="S228" s="18">
        <v>0</v>
      </c>
      <c r="T228" s="18">
        <v>88619</v>
      </c>
      <c r="U228" s="18" t="b">
        <v>1</v>
      </c>
      <c r="V228" s="4">
        <v>85431</v>
      </c>
      <c r="W228" s="4">
        <v>85431</v>
      </c>
      <c r="X228" s="3" t="b">
        <v>1</v>
      </c>
      <c r="Y228" s="18">
        <v>967</v>
      </c>
      <c r="Z228" s="18">
        <v>65362</v>
      </c>
      <c r="AA228" s="18">
        <v>18151</v>
      </c>
      <c r="AB228" s="18">
        <v>2</v>
      </c>
      <c r="AC228" s="18">
        <v>949</v>
      </c>
      <c r="AD228" s="18">
        <v>0</v>
      </c>
      <c r="AE228" s="18">
        <v>85431</v>
      </c>
      <c r="AF228" s="4">
        <v>3188</v>
      </c>
      <c r="AG228" s="5">
        <v>3.5974226745957412E-2</v>
      </c>
      <c r="AH228" s="18">
        <f t="shared" si="3"/>
        <v>3289</v>
      </c>
      <c r="AI228" s="6">
        <v>0.30295229695266618</v>
      </c>
      <c r="AJ228" s="3">
        <v>0.30299999999999999</v>
      </c>
      <c r="AK228" s="6">
        <v>0.64431950977781516</v>
      </c>
      <c r="AL228" s="25">
        <v>0.64400000000000002</v>
      </c>
      <c r="AM228" s="6">
        <v>0.28614835193221738</v>
      </c>
      <c r="AN228" s="3">
        <v>0.28599999999999998</v>
      </c>
      <c r="AO228" s="6">
        <v>0.65221990811742958</v>
      </c>
      <c r="AP228" s="6">
        <v>0.27721586760769046</v>
      </c>
      <c r="AQ228" s="6">
        <v>0.27700000000000002</v>
      </c>
      <c r="AR228" s="6">
        <v>0.65772655430373239</v>
      </c>
      <c r="AS228" s="6">
        <v>0.65800000000000003</v>
      </c>
      <c r="AT228" s="6">
        <v>2.573642934497572E-2</v>
      </c>
      <c r="AU228" s="6">
        <v>-1.3407044525917233E-2</v>
      </c>
      <c r="AV228" s="6">
        <v>8.9324843245269236E-3</v>
      </c>
      <c r="AW228" s="6">
        <v>-5.5066461863028104E-3</v>
      </c>
      <c r="AX228" s="7">
        <v>29</v>
      </c>
      <c r="AY228" s="26">
        <v>23</v>
      </c>
      <c r="AZ228" s="7">
        <v>21</v>
      </c>
      <c r="BA228" s="26">
        <v>-8</v>
      </c>
      <c r="BB228" s="26">
        <v>-2</v>
      </c>
      <c r="BC228" s="6">
        <v>0.29205382232888233</v>
      </c>
      <c r="BD228" s="6">
        <v>0.29199999999999998</v>
      </c>
      <c r="BE228" s="11">
        <v>0.6527952974075959</v>
      </c>
      <c r="BF228" s="26">
        <v>25</v>
      </c>
      <c r="BG228" s="26">
        <v>-4</v>
      </c>
      <c r="BH228" s="7">
        <v>-4</v>
      </c>
    </row>
    <row r="229" spans="2:60" x14ac:dyDescent="0.25">
      <c r="B229" s="3">
        <v>226</v>
      </c>
      <c r="C229" s="3" t="s">
        <v>459</v>
      </c>
      <c r="D229" s="3" t="s">
        <v>460</v>
      </c>
      <c r="E229" s="3" t="s">
        <v>408</v>
      </c>
      <c r="F229" s="3">
        <v>9117</v>
      </c>
      <c r="G229" s="3">
        <v>9</v>
      </c>
      <c r="H229" s="3"/>
      <c r="I229" s="4">
        <v>15639</v>
      </c>
      <c r="J229" s="4">
        <v>15744</v>
      </c>
      <c r="K229" s="4">
        <v>15759</v>
      </c>
      <c r="L229" s="4">
        <v>-105</v>
      </c>
      <c r="M229" s="4">
        <v>1236</v>
      </c>
      <c r="N229" s="18">
        <v>30</v>
      </c>
      <c r="O229" s="18">
        <v>1066</v>
      </c>
      <c r="P229" s="18">
        <v>0</v>
      </c>
      <c r="Q229" s="18">
        <v>0</v>
      </c>
      <c r="R229" s="18">
        <v>140</v>
      </c>
      <c r="S229" s="18">
        <v>0</v>
      </c>
      <c r="T229" s="18">
        <v>1236</v>
      </c>
      <c r="U229" s="18" t="b">
        <v>1</v>
      </c>
      <c r="V229" s="4">
        <v>1066</v>
      </c>
      <c r="W229" s="4">
        <v>1066</v>
      </c>
      <c r="X229" s="3" t="b">
        <v>1</v>
      </c>
      <c r="Y229" s="18">
        <v>35</v>
      </c>
      <c r="Z229" s="18">
        <v>924</v>
      </c>
      <c r="AA229" s="18">
        <v>0</v>
      </c>
      <c r="AB229" s="18">
        <v>0</v>
      </c>
      <c r="AC229" s="18">
        <v>107</v>
      </c>
      <c r="AD229" s="18">
        <v>0</v>
      </c>
      <c r="AE229" s="18">
        <v>1066</v>
      </c>
      <c r="AF229" s="4">
        <v>170</v>
      </c>
      <c r="AG229" s="5">
        <v>0.13754045307443366</v>
      </c>
      <c r="AH229" s="18">
        <f t="shared" si="3"/>
        <v>142</v>
      </c>
      <c r="AI229" s="6">
        <v>7.903318626510647E-2</v>
      </c>
      <c r="AJ229" s="3">
        <v>7.9000000000000001E-2</v>
      </c>
      <c r="AK229" s="6">
        <v>0.41352752290261641</v>
      </c>
      <c r="AL229" s="25">
        <v>0.41399999999999998</v>
      </c>
      <c r="AM229" s="6">
        <v>7.850609756097561E-2</v>
      </c>
      <c r="AN229" s="3">
        <v>7.9000000000000001E-2</v>
      </c>
      <c r="AO229" s="6">
        <v>0.41633830569292668</v>
      </c>
      <c r="AP229" s="6">
        <v>6.7643886033377759E-2</v>
      </c>
      <c r="AQ229" s="6">
        <v>6.8000000000000005E-2</v>
      </c>
      <c r="AR229" s="6">
        <v>0.41526581607151197</v>
      </c>
      <c r="AS229" s="6">
        <v>0.41499999999999998</v>
      </c>
      <c r="AT229" s="6">
        <v>1.1389300231728711E-2</v>
      </c>
      <c r="AU229" s="6">
        <v>-1.7382931688955661E-3</v>
      </c>
      <c r="AV229" s="6">
        <v>1.0862211527597851E-2</v>
      </c>
      <c r="AW229" s="6">
        <v>1.0724896214147073E-3</v>
      </c>
      <c r="AX229" s="7">
        <v>265</v>
      </c>
      <c r="AY229" s="7">
        <v>256</v>
      </c>
      <c r="AZ229" s="7">
        <v>260</v>
      </c>
      <c r="BA229" s="26">
        <v>-5</v>
      </c>
      <c r="BB229" s="26">
        <v>4</v>
      </c>
      <c r="BC229" s="6">
        <v>6.816292601828762E-2</v>
      </c>
      <c r="BD229" s="6">
        <v>6.8000000000000005E-2</v>
      </c>
      <c r="BE229" s="11">
        <v>0.41227507710362565</v>
      </c>
      <c r="BF229" s="7">
        <v>257</v>
      </c>
      <c r="BG229" s="26">
        <v>3</v>
      </c>
      <c r="BH229" s="7">
        <v>-8</v>
      </c>
    </row>
    <row r="230" spans="2:60" x14ac:dyDescent="0.25">
      <c r="B230" s="3">
        <v>227</v>
      </c>
      <c r="C230" s="3" t="s">
        <v>461</v>
      </c>
      <c r="D230" s="3" t="s">
        <v>462</v>
      </c>
      <c r="E230" s="3" t="s">
        <v>408</v>
      </c>
      <c r="F230" s="3">
        <v>9118</v>
      </c>
      <c r="G230" s="3">
        <v>9</v>
      </c>
      <c r="H230" s="3">
        <v>0.39700000000000002</v>
      </c>
      <c r="I230" s="4">
        <v>10041</v>
      </c>
      <c r="J230" s="4">
        <v>9937</v>
      </c>
      <c r="K230" s="4">
        <v>9966</v>
      </c>
      <c r="L230" s="4">
        <v>104</v>
      </c>
      <c r="M230" s="4">
        <v>595</v>
      </c>
      <c r="N230" s="18">
        <v>37</v>
      </c>
      <c r="O230" s="18">
        <v>459</v>
      </c>
      <c r="P230" s="18">
        <v>0</v>
      </c>
      <c r="Q230" s="18">
        <v>0</v>
      </c>
      <c r="R230" s="18">
        <v>99</v>
      </c>
      <c r="S230" s="18">
        <v>0</v>
      </c>
      <c r="T230" s="18">
        <v>595</v>
      </c>
      <c r="U230" s="18" t="b">
        <v>1</v>
      </c>
      <c r="V230" s="4">
        <v>507</v>
      </c>
      <c r="W230" s="4">
        <v>507</v>
      </c>
      <c r="X230" s="3" t="b">
        <v>1</v>
      </c>
      <c r="Y230" s="18">
        <v>40</v>
      </c>
      <c r="Z230" s="18">
        <v>405</v>
      </c>
      <c r="AA230" s="18">
        <v>0</v>
      </c>
      <c r="AB230" s="18">
        <v>0</v>
      </c>
      <c r="AC230" s="18">
        <v>62</v>
      </c>
      <c r="AD230" s="18">
        <v>0</v>
      </c>
      <c r="AE230" s="18">
        <v>507</v>
      </c>
      <c r="AF230" s="4">
        <v>88</v>
      </c>
      <c r="AG230" s="5">
        <v>0.14789915966386555</v>
      </c>
      <c r="AH230" s="18">
        <f t="shared" si="3"/>
        <v>54</v>
      </c>
      <c r="AI230" s="6">
        <v>5.9257046110945122E-2</v>
      </c>
      <c r="AJ230" s="3">
        <v>5.8999999999999997E-2</v>
      </c>
      <c r="AK230" s="6">
        <v>0.3931443824690613</v>
      </c>
      <c r="AL230" s="25">
        <v>0.39300000000000002</v>
      </c>
      <c r="AM230" s="6">
        <v>5.987722652712086E-2</v>
      </c>
      <c r="AN230" s="3">
        <v>0.06</v>
      </c>
      <c r="AO230" s="6">
        <v>0.39517590806759223</v>
      </c>
      <c r="AP230" s="6">
        <v>5.0872968091511137E-2</v>
      </c>
      <c r="AQ230" s="6">
        <v>5.0999999999999997E-2</v>
      </c>
      <c r="AR230" s="6">
        <v>0.3955441292296567</v>
      </c>
      <c r="AS230" s="6">
        <v>0.39600000000000002</v>
      </c>
      <c r="AT230" s="6">
        <v>8.3840780194339853E-3</v>
      </c>
      <c r="AU230" s="6">
        <v>-2.3997467605954004E-3</v>
      </c>
      <c r="AV230" s="6">
        <v>9.004258435609723E-3</v>
      </c>
      <c r="AW230" s="6">
        <v>-3.6822116206447486E-4</v>
      </c>
      <c r="AX230" s="7">
        <v>292</v>
      </c>
      <c r="AY230" s="26">
        <v>290</v>
      </c>
      <c r="AZ230" s="7">
        <v>288</v>
      </c>
      <c r="BA230" s="26">
        <v>-4</v>
      </c>
      <c r="BB230" s="26">
        <v>-2</v>
      </c>
      <c r="BC230" s="6">
        <v>5.0492978786973411E-2</v>
      </c>
      <c r="BD230" s="6">
        <v>0.05</v>
      </c>
      <c r="BE230" s="11">
        <v>0.39329270814236428</v>
      </c>
      <c r="BF230" s="26">
        <v>290</v>
      </c>
      <c r="BG230" s="26">
        <v>-2</v>
      </c>
      <c r="BH230" s="7">
        <v>-2</v>
      </c>
    </row>
    <row r="231" spans="2:60" x14ac:dyDescent="0.25">
      <c r="B231" s="3">
        <v>228</v>
      </c>
      <c r="C231" s="3" t="s">
        <v>463</v>
      </c>
      <c r="D231" s="3" t="s">
        <v>464</v>
      </c>
      <c r="E231" s="3" t="s">
        <v>408</v>
      </c>
      <c r="F231" s="3">
        <v>9210</v>
      </c>
      <c r="G231" s="3">
        <v>9</v>
      </c>
      <c r="H231" s="3">
        <v>0.55200000000000005</v>
      </c>
      <c r="I231" s="4">
        <v>18873</v>
      </c>
      <c r="J231" s="4">
        <v>19260</v>
      </c>
      <c r="K231" s="4">
        <v>19287</v>
      </c>
      <c r="L231" s="4">
        <v>-387</v>
      </c>
      <c r="M231" s="4">
        <v>3035</v>
      </c>
      <c r="N231" s="18">
        <v>63</v>
      </c>
      <c r="O231" s="18">
        <v>2882</v>
      </c>
      <c r="P231" s="18">
        <v>0</v>
      </c>
      <c r="Q231" s="18">
        <v>0</v>
      </c>
      <c r="R231" s="18">
        <v>90</v>
      </c>
      <c r="S231" s="18">
        <v>0</v>
      </c>
      <c r="T231" s="18">
        <v>3035</v>
      </c>
      <c r="U231" s="18" t="b">
        <v>1</v>
      </c>
      <c r="V231" s="4">
        <v>2877</v>
      </c>
      <c r="W231" s="4">
        <v>2877</v>
      </c>
      <c r="X231" s="3" t="b">
        <v>1</v>
      </c>
      <c r="Y231" s="18">
        <v>170</v>
      </c>
      <c r="Z231" s="18">
        <v>2634</v>
      </c>
      <c r="AA231" s="18">
        <v>0</v>
      </c>
      <c r="AB231" s="18">
        <v>0</v>
      </c>
      <c r="AC231" s="18">
        <v>73</v>
      </c>
      <c r="AD231" s="18">
        <v>0</v>
      </c>
      <c r="AE231" s="18">
        <v>2877</v>
      </c>
      <c r="AF231" s="4">
        <v>158</v>
      </c>
      <c r="AG231" s="5">
        <v>5.2059308072487646E-2</v>
      </c>
      <c r="AH231" s="18">
        <f t="shared" si="3"/>
        <v>248</v>
      </c>
      <c r="AI231" s="6">
        <v>0.16081174164149845</v>
      </c>
      <c r="AJ231" s="3">
        <v>0.161</v>
      </c>
      <c r="AK231" s="6">
        <v>0.49781615383343558</v>
      </c>
      <c r="AL231" s="25">
        <v>0.498</v>
      </c>
      <c r="AM231" s="6">
        <v>0.15758047767393563</v>
      </c>
      <c r="AN231" s="3">
        <v>0.158</v>
      </c>
      <c r="AO231" s="6">
        <v>0.50616680205677933</v>
      </c>
      <c r="AP231" s="6">
        <v>0.14916783325556074</v>
      </c>
      <c r="AQ231" s="6">
        <v>0.14899999999999999</v>
      </c>
      <c r="AR231" s="6">
        <v>0.50923385337682225</v>
      </c>
      <c r="AS231" s="6">
        <v>0.50900000000000001</v>
      </c>
      <c r="AT231" s="6">
        <v>1.1643908385937707E-2</v>
      </c>
      <c r="AU231" s="6">
        <v>-1.1417699543386672E-2</v>
      </c>
      <c r="AV231" s="6">
        <v>8.4126444183748872E-3</v>
      </c>
      <c r="AW231" s="6">
        <v>-3.0670513200429239E-3</v>
      </c>
      <c r="AX231" s="7">
        <v>165</v>
      </c>
      <c r="AY231" s="7">
        <v>153</v>
      </c>
      <c r="AZ231" s="7">
        <v>152</v>
      </c>
      <c r="BA231" s="26">
        <v>-13</v>
      </c>
      <c r="BB231" s="26">
        <v>-1</v>
      </c>
      <c r="BC231" s="6">
        <v>0.15243999364171038</v>
      </c>
      <c r="BD231" s="6">
        <v>0.152</v>
      </c>
      <c r="BE231" s="11">
        <v>0.50281175905624076</v>
      </c>
      <c r="BF231" s="7">
        <v>154</v>
      </c>
      <c r="BG231" s="26">
        <v>-2</v>
      </c>
      <c r="BH231" s="7">
        <v>-11</v>
      </c>
    </row>
    <row r="232" spans="2:60" x14ac:dyDescent="0.25">
      <c r="B232" s="3">
        <v>229</v>
      </c>
      <c r="C232" s="3" t="s">
        <v>465</v>
      </c>
      <c r="D232" s="3" t="s">
        <v>466</v>
      </c>
      <c r="E232" s="3" t="s">
        <v>408</v>
      </c>
      <c r="F232" s="3">
        <v>9211</v>
      </c>
      <c r="G232" s="3">
        <v>9</v>
      </c>
      <c r="H232" s="3">
        <v>0.54600000000000004</v>
      </c>
      <c r="I232" s="4">
        <v>34464</v>
      </c>
      <c r="J232" s="4">
        <v>35554</v>
      </c>
      <c r="K232" s="4">
        <v>35541</v>
      </c>
      <c r="L232" s="4">
        <v>-1090</v>
      </c>
      <c r="M232" s="4">
        <v>7531</v>
      </c>
      <c r="N232" s="18">
        <v>12</v>
      </c>
      <c r="O232" s="18">
        <v>7129</v>
      </c>
      <c r="P232" s="18">
        <v>84</v>
      </c>
      <c r="Q232" s="18">
        <v>0</v>
      </c>
      <c r="R232" s="18">
        <v>306</v>
      </c>
      <c r="S232" s="18">
        <v>0</v>
      </c>
      <c r="T232" s="18">
        <v>7531</v>
      </c>
      <c r="U232" s="18" t="b">
        <v>1</v>
      </c>
      <c r="V232" s="4">
        <v>7267</v>
      </c>
      <c r="W232" s="4">
        <v>7267</v>
      </c>
      <c r="X232" s="3" t="b">
        <v>1</v>
      </c>
      <c r="Y232" s="18">
        <v>88</v>
      </c>
      <c r="Z232" s="18">
        <v>6916</v>
      </c>
      <c r="AA232" s="18">
        <v>0</v>
      </c>
      <c r="AB232" s="18">
        <v>0</v>
      </c>
      <c r="AC232" s="18">
        <v>263</v>
      </c>
      <c r="AD232" s="18">
        <v>0</v>
      </c>
      <c r="AE232" s="18">
        <v>7267</v>
      </c>
      <c r="AF232" s="4">
        <v>264</v>
      </c>
      <c r="AG232" s="5">
        <v>3.5055105563670162E-2</v>
      </c>
      <c r="AH232" s="18">
        <f t="shared" si="3"/>
        <v>213</v>
      </c>
      <c r="AI232" s="6">
        <v>0.21851787372330547</v>
      </c>
      <c r="AJ232" s="3">
        <v>0.219</v>
      </c>
      <c r="AK232" s="6">
        <v>0.55729349293659958</v>
      </c>
      <c r="AL232" s="25">
        <v>0.55700000000000005</v>
      </c>
      <c r="AM232" s="6">
        <v>0.21181864206559037</v>
      </c>
      <c r="AN232" s="3">
        <v>0.21199999999999999</v>
      </c>
      <c r="AO232" s="6">
        <v>0.5677813571867445</v>
      </c>
      <c r="AP232" s="6">
        <v>0.20446807911988971</v>
      </c>
      <c r="AQ232" s="6">
        <v>0.20399999999999999</v>
      </c>
      <c r="AR232" s="6">
        <v>0.57303931080635395</v>
      </c>
      <c r="AS232" s="6">
        <v>0.57399999999999995</v>
      </c>
      <c r="AT232" s="6">
        <v>1.4049794603415766E-2</v>
      </c>
      <c r="AU232" s="6">
        <v>-1.5745817869754375E-2</v>
      </c>
      <c r="AV232" s="6">
        <v>7.3505629457006616E-3</v>
      </c>
      <c r="AW232" s="6">
        <v>-5.2579536196094567E-3</v>
      </c>
      <c r="AX232" s="7">
        <v>104</v>
      </c>
      <c r="AY232" s="26">
        <v>95</v>
      </c>
      <c r="AZ232" s="7">
        <v>90</v>
      </c>
      <c r="BA232" s="26">
        <v>-14</v>
      </c>
      <c r="BB232" s="26">
        <v>-5</v>
      </c>
      <c r="BC232" s="6">
        <v>0.21085770659238626</v>
      </c>
      <c r="BD232" s="6">
        <v>0.21099999999999999</v>
      </c>
      <c r="BE232" s="11">
        <v>0.5655684026718828</v>
      </c>
      <c r="BF232" s="26">
        <v>97</v>
      </c>
      <c r="BG232" s="26">
        <v>-7</v>
      </c>
      <c r="BH232" s="7">
        <v>-7</v>
      </c>
    </row>
    <row r="233" spans="2:60" x14ac:dyDescent="0.25">
      <c r="B233" s="3">
        <v>230</v>
      </c>
      <c r="C233" s="3" t="s">
        <v>467</v>
      </c>
      <c r="D233" s="3" t="s">
        <v>468</v>
      </c>
      <c r="E233" s="3" t="s">
        <v>408</v>
      </c>
      <c r="F233" s="3">
        <v>9119</v>
      </c>
      <c r="G233" s="3">
        <v>9</v>
      </c>
      <c r="H233" s="3">
        <v>0.45700000000000002</v>
      </c>
      <c r="I233" s="4">
        <v>31575</v>
      </c>
      <c r="J233" s="4">
        <v>32742</v>
      </c>
      <c r="K233" s="4">
        <v>32238</v>
      </c>
      <c r="L233" s="4">
        <v>-1167</v>
      </c>
      <c r="M233" s="4">
        <v>3255</v>
      </c>
      <c r="N233" s="18">
        <v>60</v>
      </c>
      <c r="O233" s="18">
        <v>2383</v>
      </c>
      <c r="P233" s="18">
        <v>521</v>
      </c>
      <c r="Q233" s="18">
        <v>0</v>
      </c>
      <c r="R233" s="18">
        <v>291</v>
      </c>
      <c r="S233" s="18">
        <v>0</v>
      </c>
      <c r="T233" s="18">
        <v>3255</v>
      </c>
      <c r="U233" s="18" t="b">
        <v>1</v>
      </c>
      <c r="V233" s="4">
        <v>2953</v>
      </c>
      <c r="W233" s="4">
        <v>2953</v>
      </c>
      <c r="X233" s="3" t="b">
        <v>1</v>
      </c>
      <c r="Y233" s="18">
        <v>64</v>
      </c>
      <c r="Z233" s="18">
        <v>2195</v>
      </c>
      <c r="AA233" s="18">
        <v>471</v>
      </c>
      <c r="AB233" s="18">
        <v>0</v>
      </c>
      <c r="AC233" s="18">
        <v>223</v>
      </c>
      <c r="AD233" s="18">
        <v>0</v>
      </c>
      <c r="AE233" s="18">
        <v>2953</v>
      </c>
      <c r="AF233" s="4">
        <v>302</v>
      </c>
      <c r="AG233" s="5">
        <v>9.2780337941628266E-2</v>
      </c>
      <c r="AH233" s="18">
        <f t="shared" si="3"/>
        <v>188</v>
      </c>
      <c r="AI233" s="6">
        <v>0.10308788598574822</v>
      </c>
      <c r="AJ233" s="3">
        <v>0.10299999999999999</v>
      </c>
      <c r="AK233" s="6">
        <v>0.43832054715662722</v>
      </c>
      <c r="AL233" s="25">
        <v>0.438</v>
      </c>
      <c r="AM233" s="6">
        <v>9.9413597214586771E-2</v>
      </c>
      <c r="AN233" s="3">
        <v>9.9000000000000005E-2</v>
      </c>
      <c r="AO233" s="6">
        <v>0.44008922544631274</v>
      </c>
      <c r="AP233" s="6">
        <v>9.1599975184564794E-2</v>
      </c>
      <c r="AQ233" s="6">
        <v>9.1999999999999998E-2</v>
      </c>
      <c r="AR233" s="6">
        <v>0.44310819749530761</v>
      </c>
      <c r="AS233" s="6">
        <v>0.443</v>
      </c>
      <c r="AT233" s="6">
        <v>1.1487910801183429E-2</v>
      </c>
      <c r="AU233" s="6">
        <v>-4.7876503386803937E-3</v>
      </c>
      <c r="AV233" s="6">
        <v>7.8136220300219772E-3</v>
      </c>
      <c r="AW233" s="6">
        <v>-3.0189720489948724E-3</v>
      </c>
      <c r="AX233" s="7">
        <v>234</v>
      </c>
      <c r="AY233" s="7">
        <v>233</v>
      </c>
      <c r="AZ233" s="7">
        <v>230</v>
      </c>
      <c r="BA233" s="26">
        <v>-4</v>
      </c>
      <c r="BB233" s="26">
        <v>-3</v>
      </c>
      <c r="BC233" s="6">
        <v>9.3523357086302453E-2</v>
      </c>
      <c r="BD233" s="6">
        <v>9.4E-2</v>
      </c>
      <c r="BE233" s="11">
        <v>0.43951913466914955</v>
      </c>
      <c r="BF233" s="7">
        <v>234</v>
      </c>
      <c r="BG233" s="26">
        <v>-4</v>
      </c>
      <c r="BH233" s="7">
        <v>0</v>
      </c>
    </row>
    <row r="234" spans="2:60" x14ac:dyDescent="0.25">
      <c r="B234" s="3">
        <v>231</v>
      </c>
      <c r="C234" s="3" t="s">
        <v>469</v>
      </c>
      <c r="D234" s="3" t="s">
        <v>470</v>
      </c>
      <c r="E234" s="3" t="s">
        <v>408</v>
      </c>
      <c r="F234" s="3">
        <v>9120</v>
      </c>
      <c r="G234" s="3">
        <v>9</v>
      </c>
      <c r="H234" s="3">
        <v>0.56599999999999995</v>
      </c>
      <c r="I234" s="4">
        <v>67737</v>
      </c>
      <c r="J234" s="4">
        <v>60675</v>
      </c>
      <c r="K234" s="4">
        <v>60327</v>
      </c>
      <c r="L234" s="4">
        <v>7062</v>
      </c>
      <c r="M234" s="4">
        <v>15431</v>
      </c>
      <c r="N234" s="18">
        <v>67</v>
      </c>
      <c r="O234" s="18">
        <v>13977</v>
      </c>
      <c r="P234" s="18">
        <v>84</v>
      </c>
      <c r="Q234" s="18">
        <v>0</v>
      </c>
      <c r="R234" s="18">
        <v>1303</v>
      </c>
      <c r="S234" s="18">
        <v>0</v>
      </c>
      <c r="T234" s="18">
        <v>15431</v>
      </c>
      <c r="U234" s="18" t="b">
        <v>1</v>
      </c>
      <c r="V234" s="4">
        <v>14363</v>
      </c>
      <c r="W234" s="4">
        <v>14363</v>
      </c>
      <c r="X234" s="3" t="b">
        <v>1</v>
      </c>
      <c r="Y234" s="18">
        <v>171</v>
      </c>
      <c r="Z234" s="18">
        <v>13184</v>
      </c>
      <c r="AA234" s="18">
        <v>0</v>
      </c>
      <c r="AB234" s="18">
        <v>0</v>
      </c>
      <c r="AC234" s="18">
        <v>1008</v>
      </c>
      <c r="AD234" s="18">
        <v>0</v>
      </c>
      <c r="AE234" s="18">
        <v>14363</v>
      </c>
      <c r="AF234" s="4">
        <v>1068</v>
      </c>
      <c r="AG234" s="5">
        <v>6.9211327846542672E-2</v>
      </c>
      <c r="AH234" s="18">
        <f t="shared" si="3"/>
        <v>793</v>
      </c>
      <c r="AI234" s="6">
        <v>0.22780754978815124</v>
      </c>
      <c r="AJ234" s="3">
        <v>0.22800000000000001</v>
      </c>
      <c r="AK234" s="6">
        <v>0.56686830229453911</v>
      </c>
      <c r="AL234" s="25">
        <v>0.56699999999999995</v>
      </c>
      <c r="AM234" s="6">
        <v>0.25432220848784509</v>
      </c>
      <c r="AN234" s="3">
        <v>0.254</v>
      </c>
      <c r="AO234" s="6">
        <v>0.6160654089410309</v>
      </c>
      <c r="AP234" s="6">
        <v>0.23808576590912858</v>
      </c>
      <c r="AQ234" s="6">
        <v>0.23799999999999999</v>
      </c>
      <c r="AR234" s="6">
        <v>0.61248268449006449</v>
      </c>
      <c r="AS234" s="6">
        <v>0.61299999999999999</v>
      </c>
      <c r="AT234" s="6">
        <v>-1.0278216120977346E-2</v>
      </c>
      <c r="AU234" s="6">
        <v>-4.5614382195525383E-2</v>
      </c>
      <c r="AV234" s="6">
        <v>1.6236442578716509E-2</v>
      </c>
      <c r="AW234" s="6">
        <v>3.5827244509664125E-3</v>
      </c>
      <c r="AX234" s="7">
        <v>94</v>
      </c>
      <c r="AY234" s="26">
        <v>45</v>
      </c>
      <c r="AZ234" s="7">
        <v>50</v>
      </c>
      <c r="BA234" s="26">
        <v>-44</v>
      </c>
      <c r="BB234" s="26">
        <v>5</v>
      </c>
      <c r="BC234" s="6">
        <v>0.21204068677384591</v>
      </c>
      <c r="BD234" s="6">
        <v>0.21199999999999999</v>
      </c>
      <c r="BE234" s="11">
        <v>0.56683924779577377</v>
      </c>
      <c r="BF234" s="26">
        <v>95</v>
      </c>
      <c r="BG234" s="26">
        <v>-45</v>
      </c>
      <c r="BH234" s="7">
        <v>1</v>
      </c>
    </row>
    <row r="235" spans="2:60" x14ac:dyDescent="0.25">
      <c r="B235" s="3">
        <v>232</v>
      </c>
      <c r="C235" s="3" t="s">
        <v>471</v>
      </c>
      <c r="D235" s="3" t="s">
        <v>472</v>
      </c>
      <c r="E235" s="3" t="s">
        <v>473</v>
      </c>
      <c r="F235" s="3">
        <v>14102</v>
      </c>
      <c r="G235" s="3">
        <v>14</v>
      </c>
      <c r="H235" s="3">
        <v>0.375</v>
      </c>
      <c r="I235" s="4">
        <v>5501</v>
      </c>
      <c r="J235" s="4">
        <v>5424</v>
      </c>
      <c r="K235" s="4">
        <v>5432</v>
      </c>
      <c r="L235" s="4">
        <v>77</v>
      </c>
      <c r="M235" s="4">
        <v>359</v>
      </c>
      <c r="N235" s="18">
        <v>10</v>
      </c>
      <c r="O235" s="18">
        <v>311</v>
      </c>
      <c r="P235" s="18">
        <v>0</v>
      </c>
      <c r="Q235" s="18">
        <v>0</v>
      </c>
      <c r="R235" s="18">
        <v>38</v>
      </c>
      <c r="S235" s="18">
        <v>0</v>
      </c>
      <c r="T235" s="18">
        <v>359</v>
      </c>
      <c r="U235" s="18" t="b">
        <v>1</v>
      </c>
      <c r="V235" s="4">
        <v>355</v>
      </c>
      <c r="W235" s="4">
        <v>355</v>
      </c>
      <c r="X235" s="3" t="b">
        <v>1</v>
      </c>
      <c r="Y235" s="18">
        <v>22</v>
      </c>
      <c r="Z235" s="18">
        <v>307</v>
      </c>
      <c r="AA235" s="18">
        <v>0</v>
      </c>
      <c r="AB235" s="18">
        <v>0</v>
      </c>
      <c r="AC235" s="18">
        <v>26</v>
      </c>
      <c r="AD235" s="18">
        <v>0</v>
      </c>
      <c r="AE235" s="18">
        <v>355</v>
      </c>
      <c r="AF235" s="4">
        <v>4</v>
      </c>
      <c r="AG235" s="5">
        <v>1.1142061281337047E-2</v>
      </c>
      <c r="AH235" s="18">
        <f t="shared" si="3"/>
        <v>4</v>
      </c>
      <c r="AI235" s="6">
        <v>6.5260861661516081E-2</v>
      </c>
      <c r="AJ235" s="3">
        <v>6.5000000000000002E-2</v>
      </c>
      <c r="AK235" s="6">
        <v>0.39933247653344822</v>
      </c>
      <c r="AL235" s="25">
        <v>0.39900000000000002</v>
      </c>
      <c r="AM235" s="6">
        <v>6.6187315634218286E-2</v>
      </c>
      <c r="AN235" s="3">
        <v>6.6000000000000003E-2</v>
      </c>
      <c r="AO235" s="6">
        <v>0.40234416933758588</v>
      </c>
      <c r="AP235" s="6">
        <v>6.5353460972017677E-2</v>
      </c>
      <c r="AQ235" s="6">
        <v>6.5000000000000002E-2</v>
      </c>
      <c r="AR235" s="6">
        <v>0.4117855183935375</v>
      </c>
      <c r="AS235" s="6">
        <v>0.41199999999999998</v>
      </c>
      <c r="AT235" s="6">
        <v>-9.2599310501595422E-5</v>
      </c>
      <c r="AU235" s="6">
        <v>-1.2453041860089276E-2</v>
      </c>
      <c r="AV235" s="6">
        <v>8.3385466220060878E-4</v>
      </c>
      <c r="AW235" s="6">
        <v>-9.44134905595162E-3</v>
      </c>
      <c r="AX235" s="7">
        <v>287</v>
      </c>
      <c r="AY235" s="7">
        <v>281</v>
      </c>
      <c r="AZ235" s="7">
        <v>263</v>
      </c>
      <c r="BA235" s="26">
        <v>-24</v>
      </c>
      <c r="BB235" s="26">
        <v>-18</v>
      </c>
      <c r="BC235" s="6">
        <v>6.4533721141610614E-2</v>
      </c>
      <c r="BD235" s="6">
        <v>6.5000000000000002E-2</v>
      </c>
      <c r="BE235" s="11">
        <v>0.40837631582815309</v>
      </c>
      <c r="BF235" s="7">
        <v>262</v>
      </c>
      <c r="BG235" s="26">
        <v>1</v>
      </c>
      <c r="BH235" s="7">
        <v>-25</v>
      </c>
    </row>
    <row r="236" spans="2:60" x14ac:dyDescent="0.25">
      <c r="B236" s="3">
        <v>233</v>
      </c>
      <c r="C236" s="3" t="s">
        <v>474</v>
      </c>
      <c r="D236" s="3" t="s">
        <v>475</v>
      </c>
      <c r="E236" s="3" t="s">
        <v>473</v>
      </c>
      <c r="F236" s="3">
        <v>14202</v>
      </c>
      <c r="G236" s="3">
        <v>14</v>
      </c>
      <c r="H236" s="3">
        <v>0.51100000000000001</v>
      </c>
      <c r="I236" s="4">
        <v>15635</v>
      </c>
      <c r="J236" s="4">
        <v>15188</v>
      </c>
      <c r="K236" s="4">
        <v>15211</v>
      </c>
      <c r="L236" s="4">
        <v>447</v>
      </c>
      <c r="M236" s="4">
        <v>1075</v>
      </c>
      <c r="N236" s="18">
        <v>16</v>
      </c>
      <c r="O236" s="18">
        <v>739</v>
      </c>
      <c r="P236" s="18">
        <v>0</v>
      </c>
      <c r="Q236" s="18">
        <v>0</v>
      </c>
      <c r="R236" s="18">
        <v>320</v>
      </c>
      <c r="S236" s="18">
        <v>0</v>
      </c>
      <c r="T236" s="18">
        <v>1075</v>
      </c>
      <c r="U236" s="18" t="b">
        <v>1</v>
      </c>
      <c r="V236" s="4">
        <v>974</v>
      </c>
      <c r="W236" s="4">
        <v>974</v>
      </c>
      <c r="X236" s="3" t="b">
        <v>1</v>
      </c>
      <c r="Y236" s="18">
        <v>23</v>
      </c>
      <c r="Z236" s="18">
        <v>752</v>
      </c>
      <c r="AA236" s="18">
        <v>0</v>
      </c>
      <c r="AB236" s="18">
        <v>0</v>
      </c>
      <c r="AC236" s="18">
        <v>199</v>
      </c>
      <c r="AD236" s="18">
        <v>0</v>
      </c>
      <c r="AE236" s="18">
        <v>974</v>
      </c>
      <c r="AF236" s="4">
        <v>101</v>
      </c>
      <c r="AG236" s="5">
        <v>9.3953488372093025E-2</v>
      </c>
      <c r="AH236" s="18">
        <f t="shared" si="3"/>
        <v>-13</v>
      </c>
      <c r="AI236" s="6">
        <v>6.8755996162456035E-2</v>
      </c>
      <c r="AJ236" s="3">
        <v>6.9000000000000006E-2</v>
      </c>
      <c r="AK236" s="6">
        <v>0.40293488917876069</v>
      </c>
      <c r="AL236" s="25">
        <v>0.40300000000000002</v>
      </c>
      <c r="AM236" s="6">
        <v>7.0779562812746902E-2</v>
      </c>
      <c r="AN236" s="3">
        <v>7.0999999999999994E-2</v>
      </c>
      <c r="AO236" s="6">
        <v>0.40756096216465676</v>
      </c>
      <c r="AP236" s="6">
        <v>6.4032607981066331E-2</v>
      </c>
      <c r="AQ236" s="6">
        <v>6.4000000000000001E-2</v>
      </c>
      <c r="AR236" s="6">
        <v>0.41062541916754602</v>
      </c>
      <c r="AS236" s="6">
        <v>0.41099999999999998</v>
      </c>
      <c r="AT236" s="6">
        <v>4.7233881813897038E-3</v>
      </c>
      <c r="AU236" s="6">
        <v>-7.6905299887853329E-3</v>
      </c>
      <c r="AV236" s="6">
        <v>6.7469548316805711E-3</v>
      </c>
      <c r="AW236" s="6">
        <v>-3.0644570028892648E-3</v>
      </c>
      <c r="AX236" s="7">
        <v>280</v>
      </c>
      <c r="AY236" s="26">
        <v>273</v>
      </c>
      <c r="AZ236" s="7">
        <v>264</v>
      </c>
      <c r="BA236" s="26">
        <v>-16</v>
      </c>
      <c r="BB236" s="26">
        <v>-9</v>
      </c>
      <c r="BC236" s="6">
        <v>6.2296130476495043E-2</v>
      </c>
      <c r="BD236" s="6">
        <v>6.2E-2</v>
      </c>
      <c r="BE236" s="11">
        <v>0.40597252983867227</v>
      </c>
      <c r="BF236" s="26">
        <v>269</v>
      </c>
      <c r="BG236" s="26">
        <v>-5</v>
      </c>
      <c r="BH236" s="7">
        <v>-11</v>
      </c>
    </row>
    <row r="237" spans="2:60" x14ac:dyDescent="0.25">
      <c r="B237" s="3">
        <v>234</v>
      </c>
      <c r="C237" s="3" t="s">
        <v>476</v>
      </c>
      <c r="D237" s="3" t="s">
        <v>477</v>
      </c>
      <c r="E237" s="3" t="s">
        <v>473</v>
      </c>
      <c r="F237" s="3">
        <v>14201</v>
      </c>
      <c r="G237" s="3">
        <v>14</v>
      </c>
      <c r="H237" s="3">
        <v>0.56699999999999995</v>
      </c>
      <c r="I237" s="4">
        <v>38907</v>
      </c>
      <c r="J237" s="4">
        <v>39705</v>
      </c>
      <c r="K237" s="4">
        <v>39668</v>
      </c>
      <c r="L237" s="4">
        <v>-798</v>
      </c>
      <c r="M237" s="4">
        <v>8226</v>
      </c>
      <c r="N237" s="18">
        <v>6</v>
      </c>
      <c r="O237" s="18">
        <v>7712</v>
      </c>
      <c r="P237" s="18">
        <v>71</v>
      </c>
      <c r="Q237" s="18">
        <v>0</v>
      </c>
      <c r="R237" s="18">
        <v>437</v>
      </c>
      <c r="S237" s="18">
        <v>0</v>
      </c>
      <c r="T237" s="18">
        <v>8226</v>
      </c>
      <c r="U237" s="18" t="b">
        <v>1</v>
      </c>
      <c r="V237" s="4">
        <v>7900</v>
      </c>
      <c r="W237" s="4">
        <v>7900</v>
      </c>
      <c r="X237" s="3" t="b">
        <v>1</v>
      </c>
      <c r="Y237" s="18">
        <v>20</v>
      </c>
      <c r="Z237" s="18">
        <v>7536</v>
      </c>
      <c r="AA237" s="18">
        <v>14</v>
      </c>
      <c r="AB237" s="18">
        <v>0</v>
      </c>
      <c r="AC237" s="18">
        <v>330</v>
      </c>
      <c r="AD237" s="18">
        <v>0</v>
      </c>
      <c r="AE237" s="18">
        <v>7900</v>
      </c>
      <c r="AF237" s="4">
        <v>326</v>
      </c>
      <c r="AG237" s="5">
        <v>3.9630440068076832E-2</v>
      </c>
      <c r="AH237" s="18">
        <f t="shared" si="3"/>
        <v>176</v>
      </c>
      <c r="AI237" s="6">
        <v>0.21142724959518852</v>
      </c>
      <c r="AJ237" s="3">
        <v>0.21099999999999999</v>
      </c>
      <c r="AK237" s="6">
        <v>0.54998523226296403</v>
      </c>
      <c r="AL237" s="25">
        <v>0.55000000000000004</v>
      </c>
      <c r="AM237" s="6">
        <v>0.20717793728749528</v>
      </c>
      <c r="AN237" s="3">
        <v>0.20699999999999999</v>
      </c>
      <c r="AO237" s="6">
        <v>0.56250951652622561</v>
      </c>
      <c r="AP237" s="6">
        <v>0.19915296964807905</v>
      </c>
      <c r="AQ237" s="6">
        <v>0.19900000000000001</v>
      </c>
      <c r="AR237" s="6">
        <v>0.56723881467639659</v>
      </c>
      <c r="AS237" s="6">
        <v>0.56699999999999995</v>
      </c>
      <c r="AT237" s="6">
        <v>1.2274279947109473E-2</v>
      </c>
      <c r="AU237" s="6">
        <v>-1.7253582413432555E-2</v>
      </c>
      <c r="AV237" s="6">
        <v>8.0249676394162361E-3</v>
      </c>
      <c r="AW237" s="6">
        <v>-4.7292981501709797E-3</v>
      </c>
      <c r="AX237" s="7">
        <v>109</v>
      </c>
      <c r="AY237" s="7">
        <v>102</v>
      </c>
      <c r="AZ237" s="7">
        <v>96</v>
      </c>
      <c r="BA237" s="26">
        <v>-13</v>
      </c>
      <c r="BB237" s="26">
        <v>-6</v>
      </c>
      <c r="BC237" s="6">
        <v>0.20304829465134808</v>
      </c>
      <c r="BD237" s="6">
        <v>0.20300000000000001</v>
      </c>
      <c r="BE237" s="11">
        <v>0.55717895266987272</v>
      </c>
      <c r="BF237" s="7">
        <v>105</v>
      </c>
      <c r="BG237" s="26">
        <v>-9</v>
      </c>
      <c r="BH237" s="7">
        <v>-4</v>
      </c>
    </row>
    <row r="238" spans="2:60" x14ac:dyDescent="0.25">
      <c r="B238" s="3">
        <v>235</v>
      </c>
      <c r="C238" s="3" t="s">
        <v>478</v>
      </c>
      <c r="D238" s="3" t="s">
        <v>479</v>
      </c>
      <c r="E238" s="3" t="s">
        <v>473</v>
      </c>
      <c r="F238" s="3">
        <v>14203</v>
      </c>
      <c r="G238" s="3">
        <v>14</v>
      </c>
      <c r="H238" s="3">
        <v>0.47199999999999998</v>
      </c>
      <c r="I238" s="4">
        <v>10527</v>
      </c>
      <c r="J238" s="4">
        <v>10272</v>
      </c>
      <c r="K238" s="4">
        <v>10280</v>
      </c>
      <c r="L238" s="4">
        <v>255</v>
      </c>
      <c r="M238" s="4">
        <v>557</v>
      </c>
      <c r="N238" s="18">
        <v>4</v>
      </c>
      <c r="O238" s="18">
        <v>272</v>
      </c>
      <c r="P238" s="18">
        <v>0</v>
      </c>
      <c r="Q238" s="18">
        <v>0</v>
      </c>
      <c r="R238" s="18">
        <v>281</v>
      </c>
      <c r="S238" s="18">
        <v>0</v>
      </c>
      <c r="T238" s="18">
        <v>557</v>
      </c>
      <c r="U238" s="18" t="b">
        <v>1</v>
      </c>
      <c r="V238" s="4">
        <v>451</v>
      </c>
      <c r="W238" s="4">
        <v>451</v>
      </c>
      <c r="X238" s="3" t="b">
        <v>1</v>
      </c>
      <c r="Y238" s="18">
        <v>5</v>
      </c>
      <c r="Z238" s="18">
        <v>278</v>
      </c>
      <c r="AA238" s="18">
        <v>0</v>
      </c>
      <c r="AB238" s="18">
        <v>0</v>
      </c>
      <c r="AC238" s="18">
        <v>168</v>
      </c>
      <c r="AD238" s="18">
        <v>0</v>
      </c>
      <c r="AE238" s="18">
        <v>451</v>
      </c>
      <c r="AF238" s="4">
        <v>106</v>
      </c>
      <c r="AG238" s="5">
        <v>0.19030520646319568</v>
      </c>
      <c r="AH238" s="18">
        <f t="shared" si="3"/>
        <v>-6</v>
      </c>
      <c r="AI238" s="6">
        <v>5.2911560748551342E-2</v>
      </c>
      <c r="AJ238" s="3">
        <v>5.2999999999999999E-2</v>
      </c>
      <c r="AK238" s="6">
        <v>0.38660413152764972</v>
      </c>
      <c r="AL238" s="25">
        <v>0.38700000000000001</v>
      </c>
      <c r="AM238" s="6">
        <v>5.422507788161994E-2</v>
      </c>
      <c r="AN238" s="3">
        <v>5.3999999999999999E-2</v>
      </c>
      <c r="AO238" s="6">
        <v>0.38875506716659453</v>
      </c>
      <c r="AP238" s="6">
        <v>4.3871595330739296E-2</v>
      </c>
      <c r="AQ238" s="6">
        <v>4.3999999999999997E-2</v>
      </c>
      <c r="AR238" s="6">
        <v>0.38742343464771634</v>
      </c>
      <c r="AS238" s="6">
        <v>0.38800000000000001</v>
      </c>
      <c r="AT238" s="6">
        <v>9.0399654178120459E-3</v>
      </c>
      <c r="AU238" s="6">
        <v>-8.1930312006661676E-4</v>
      </c>
      <c r="AV238" s="6">
        <v>1.0353482550880644E-2</v>
      </c>
      <c r="AW238" s="6">
        <v>1.3316325188781897E-3</v>
      </c>
      <c r="AX238" s="7">
        <v>301</v>
      </c>
      <c r="AY238" s="26">
        <v>296</v>
      </c>
      <c r="AZ238" s="7">
        <v>295</v>
      </c>
      <c r="BA238" s="26">
        <v>-6</v>
      </c>
      <c r="BB238" s="26">
        <v>-1</v>
      </c>
      <c r="BC238" s="6">
        <v>4.2842215256008356E-2</v>
      </c>
      <c r="BD238" s="6">
        <v>4.2999999999999997E-2</v>
      </c>
      <c r="BE238" s="11">
        <v>0.38507369003897296</v>
      </c>
      <c r="BF238" s="26">
        <v>302</v>
      </c>
      <c r="BG238" s="26">
        <v>-7</v>
      </c>
      <c r="BH238" s="7">
        <v>1</v>
      </c>
    </row>
    <row r="239" spans="2:60" x14ac:dyDescent="0.25">
      <c r="B239" s="3">
        <v>236</v>
      </c>
      <c r="C239" s="3" t="s">
        <v>480</v>
      </c>
      <c r="D239" s="3" t="s">
        <v>481</v>
      </c>
      <c r="E239" s="3" t="s">
        <v>473</v>
      </c>
      <c r="F239" s="3">
        <v>14103</v>
      </c>
      <c r="G239" s="3">
        <v>14</v>
      </c>
      <c r="H239" s="3">
        <v>0.54200000000000004</v>
      </c>
      <c r="I239" s="4">
        <v>16876</v>
      </c>
      <c r="J239" s="4">
        <v>18050</v>
      </c>
      <c r="K239" s="4">
        <v>17957</v>
      </c>
      <c r="L239" s="4">
        <v>-1174</v>
      </c>
      <c r="M239" s="4">
        <v>2531</v>
      </c>
      <c r="N239" s="18">
        <v>6</v>
      </c>
      <c r="O239" s="18">
        <v>2427</v>
      </c>
      <c r="P239" s="18">
        <v>0</v>
      </c>
      <c r="Q239" s="18">
        <v>0</v>
      </c>
      <c r="R239" s="18">
        <v>98</v>
      </c>
      <c r="S239" s="18">
        <v>0</v>
      </c>
      <c r="T239" s="18">
        <v>2531</v>
      </c>
      <c r="U239" s="18" t="b">
        <v>1</v>
      </c>
      <c r="V239" s="4">
        <v>2381</v>
      </c>
      <c r="W239" s="4">
        <v>2381</v>
      </c>
      <c r="X239" s="3" t="b">
        <v>1</v>
      </c>
      <c r="Y239" s="18">
        <v>15</v>
      </c>
      <c r="Z239" s="18">
        <v>2302</v>
      </c>
      <c r="AA239" s="18">
        <v>0</v>
      </c>
      <c r="AB239" s="18">
        <v>0</v>
      </c>
      <c r="AC239" s="18">
        <v>64</v>
      </c>
      <c r="AD239" s="18">
        <v>0</v>
      </c>
      <c r="AE239" s="18">
        <v>2381</v>
      </c>
      <c r="AF239" s="4">
        <v>150</v>
      </c>
      <c r="AG239" s="5">
        <v>5.9265112603713949E-2</v>
      </c>
      <c r="AH239" s="18">
        <f t="shared" si="3"/>
        <v>125</v>
      </c>
      <c r="AI239" s="6">
        <v>0.14997629770087698</v>
      </c>
      <c r="AJ239" s="3">
        <v>0.15</v>
      </c>
      <c r="AK239" s="6">
        <v>0.48664813147012692</v>
      </c>
      <c r="AL239" s="25">
        <v>0.48699999999999999</v>
      </c>
      <c r="AM239" s="6">
        <v>0.14022160664819944</v>
      </c>
      <c r="AN239" s="3">
        <v>0.14000000000000001</v>
      </c>
      <c r="AO239" s="6">
        <v>0.48644712444958976</v>
      </c>
      <c r="AP239" s="6">
        <v>0.13259453138052013</v>
      </c>
      <c r="AQ239" s="6">
        <v>0.13300000000000001</v>
      </c>
      <c r="AR239" s="6">
        <v>0.49067226576095851</v>
      </c>
      <c r="AS239" s="6">
        <v>0.49</v>
      </c>
      <c r="AT239" s="6">
        <v>1.7381766320356845E-2</v>
      </c>
      <c r="AU239" s="6">
        <v>-4.0241342908315936E-3</v>
      </c>
      <c r="AV239" s="6">
        <v>7.6270752676793063E-3</v>
      </c>
      <c r="AW239" s="6">
        <v>-4.2251413113687519E-3</v>
      </c>
      <c r="AX239" s="7">
        <v>181</v>
      </c>
      <c r="AY239" s="7">
        <v>182</v>
      </c>
      <c r="AZ239" s="7">
        <v>174</v>
      </c>
      <c r="BA239" s="26">
        <v>-7</v>
      </c>
      <c r="BB239" s="26">
        <v>-8</v>
      </c>
      <c r="BC239" s="6">
        <v>0.14108793552974638</v>
      </c>
      <c r="BD239" s="6">
        <v>0.14099999999999999</v>
      </c>
      <c r="BE239" s="11">
        <v>0.49061653556575424</v>
      </c>
      <c r="BF239" s="7">
        <v>168</v>
      </c>
      <c r="BG239" s="26">
        <v>6</v>
      </c>
      <c r="BH239" s="7">
        <v>-13</v>
      </c>
    </row>
    <row r="240" spans="2:60" x14ac:dyDescent="0.25">
      <c r="B240" s="3">
        <v>237</v>
      </c>
      <c r="C240" s="3" t="s">
        <v>482</v>
      </c>
      <c r="D240" s="3" t="s">
        <v>483</v>
      </c>
      <c r="E240" s="3" t="s">
        <v>473</v>
      </c>
      <c r="F240" s="3">
        <v>14104</v>
      </c>
      <c r="G240" s="3">
        <v>14</v>
      </c>
      <c r="H240" s="3">
        <v>0.47599999999999998</v>
      </c>
      <c r="I240" s="4">
        <v>21431</v>
      </c>
      <c r="J240" s="4">
        <v>20520</v>
      </c>
      <c r="K240" s="4">
        <v>20523</v>
      </c>
      <c r="L240" s="4">
        <v>911</v>
      </c>
      <c r="M240" s="4">
        <v>2141</v>
      </c>
      <c r="N240" s="18">
        <v>3</v>
      </c>
      <c r="O240" s="18">
        <v>1742</v>
      </c>
      <c r="P240" s="18">
        <v>0</v>
      </c>
      <c r="Q240" s="18">
        <v>0</v>
      </c>
      <c r="R240" s="18">
        <v>396</v>
      </c>
      <c r="S240" s="18">
        <v>0</v>
      </c>
      <c r="T240" s="18">
        <v>2141</v>
      </c>
      <c r="U240" s="18" t="b">
        <v>1</v>
      </c>
      <c r="V240" s="4">
        <v>2007</v>
      </c>
      <c r="W240" s="4">
        <v>2007</v>
      </c>
      <c r="X240" s="3" t="b">
        <v>1</v>
      </c>
      <c r="Y240" s="18">
        <v>7</v>
      </c>
      <c r="Z240" s="18">
        <v>1711</v>
      </c>
      <c r="AA240" s="18">
        <v>0</v>
      </c>
      <c r="AB240" s="18">
        <v>1</v>
      </c>
      <c r="AC240" s="18">
        <v>288</v>
      </c>
      <c r="AD240" s="18">
        <v>0</v>
      </c>
      <c r="AE240" s="18">
        <v>2007</v>
      </c>
      <c r="AF240" s="4">
        <v>134</v>
      </c>
      <c r="AG240" s="5">
        <v>6.2587575899112569E-2</v>
      </c>
      <c r="AH240" s="18">
        <f t="shared" si="3"/>
        <v>31</v>
      </c>
      <c r="AI240" s="6">
        <v>9.9902011105408056E-2</v>
      </c>
      <c r="AJ240" s="3">
        <v>0.1</v>
      </c>
      <c r="AK240" s="6">
        <v>0.43503688641274618</v>
      </c>
      <c r="AL240" s="25">
        <v>0.435</v>
      </c>
      <c r="AM240" s="6">
        <v>0.10433723196881092</v>
      </c>
      <c r="AN240" s="3">
        <v>0.104</v>
      </c>
      <c r="AO240" s="6">
        <v>0.44568247456170196</v>
      </c>
      <c r="AP240" s="6">
        <v>9.7792720362520097E-2</v>
      </c>
      <c r="AQ240" s="6">
        <v>9.8000000000000004E-2</v>
      </c>
      <c r="AR240" s="6">
        <v>0.45006879285125656</v>
      </c>
      <c r="AS240" s="6">
        <v>0.45</v>
      </c>
      <c r="AT240" s="6">
        <v>2.1092907428879593E-3</v>
      </c>
      <c r="AU240" s="6">
        <v>-1.5031906438510378E-2</v>
      </c>
      <c r="AV240" s="6">
        <v>6.544511606290826E-3</v>
      </c>
      <c r="AW240" s="6">
        <v>-4.3863182895546027E-3</v>
      </c>
      <c r="AX240" s="7">
        <v>238</v>
      </c>
      <c r="AY240" s="26">
        <v>228</v>
      </c>
      <c r="AZ240" s="7">
        <v>221</v>
      </c>
      <c r="BA240" s="26">
        <v>-17</v>
      </c>
      <c r="BB240" s="26">
        <v>-7</v>
      </c>
      <c r="BC240" s="6">
        <v>9.3649386402874346E-2</v>
      </c>
      <c r="BD240" s="6">
        <v>9.4E-2</v>
      </c>
      <c r="BE240" s="11">
        <v>0.43965452471620436</v>
      </c>
      <c r="BF240" s="26">
        <v>232</v>
      </c>
      <c r="BG240" s="26">
        <v>-11</v>
      </c>
      <c r="BH240" s="7">
        <v>-6</v>
      </c>
    </row>
    <row r="241" spans="2:60" x14ac:dyDescent="0.25">
      <c r="B241" s="3">
        <v>238</v>
      </c>
      <c r="C241" s="3" t="s">
        <v>484</v>
      </c>
      <c r="D241" s="3" t="s">
        <v>485</v>
      </c>
      <c r="E241" s="3" t="s">
        <v>473</v>
      </c>
      <c r="F241" s="3">
        <v>14105</v>
      </c>
      <c r="G241" s="3">
        <v>14</v>
      </c>
      <c r="H241" s="3">
        <v>0.45200000000000001</v>
      </c>
      <c r="I241" s="4">
        <v>8074</v>
      </c>
      <c r="J241" s="4">
        <v>7375</v>
      </c>
      <c r="K241" s="4">
        <v>7381</v>
      </c>
      <c r="L241" s="4">
        <v>699</v>
      </c>
      <c r="M241" s="4">
        <v>1137</v>
      </c>
      <c r="N241" s="18">
        <v>0</v>
      </c>
      <c r="O241" s="18">
        <v>1033</v>
      </c>
      <c r="P241" s="18">
        <v>0</v>
      </c>
      <c r="Q241" s="18">
        <v>0</v>
      </c>
      <c r="R241" s="18">
        <v>104</v>
      </c>
      <c r="S241" s="18">
        <v>0</v>
      </c>
      <c r="T241" s="18">
        <v>1137</v>
      </c>
      <c r="U241" s="18" t="b">
        <v>1</v>
      </c>
      <c r="V241" s="4">
        <v>1048</v>
      </c>
      <c r="W241" s="4">
        <v>1048</v>
      </c>
      <c r="X241" s="3" t="b">
        <v>1</v>
      </c>
      <c r="Y241" s="18">
        <v>1</v>
      </c>
      <c r="Z241" s="18">
        <v>985</v>
      </c>
      <c r="AA241" s="18">
        <v>0</v>
      </c>
      <c r="AB241" s="18">
        <v>0</v>
      </c>
      <c r="AC241" s="18">
        <v>62</v>
      </c>
      <c r="AD241" s="18">
        <v>0</v>
      </c>
      <c r="AE241" s="18">
        <v>1048</v>
      </c>
      <c r="AF241" s="4">
        <v>89</v>
      </c>
      <c r="AG241" s="5">
        <v>7.8276165347405446E-2</v>
      </c>
      <c r="AH241" s="18">
        <f t="shared" si="3"/>
        <v>48</v>
      </c>
      <c r="AI241" s="6">
        <v>0.1408223928659896</v>
      </c>
      <c r="AJ241" s="3">
        <v>0.14099999999999999</v>
      </c>
      <c r="AK241" s="6">
        <v>0.47721326064546565</v>
      </c>
      <c r="AL241" s="25">
        <v>0.47699999999999998</v>
      </c>
      <c r="AM241" s="6">
        <v>0.15416949152542372</v>
      </c>
      <c r="AN241" s="3">
        <v>0.154</v>
      </c>
      <c r="AO241" s="6">
        <v>0.50229192176810622</v>
      </c>
      <c r="AP241" s="6">
        <v>0.14198618073431785</v>
      </c>
      <c r="AQ241" s="6">
        <v>0.14199999999999999</v>
      </c>
      <c r="AR241" s="6">
        <v>0.50111315879488183</v>
      </c>
      <c r="AS241" s="6">
        <v>0.501</v>
      </c>
      <c r="AT241" s="6">
        <v>-1.1637878683282421E-3</v>
      </c>
      <c r="AU241" s="6">
        <v>-2.3899898149416177E-2</v>
      </c>
      <c r="AV241" s="6">
        <v>1.2183310791105878E-2</v>
      </c>
      <c r="AW241" s="6">
        <v>1.1787629732243898E-3</v>
      </c>
      <c r="AX241" s="7">
        <v>190</v>
      </c>
      <c r="AY241" s="7">
        <v>160</v>
      </c>
      <c r="AZ241" s="7">
        <v>159</v>
      </c>
      <c r="BA241" s="26">
        <v>-31</v>
      </c>
      <c r="BB241" s="26">
        <v>-1</v>
      </c>
      <c r="BC241" s="6">
        <v>0.12979935595739411</v>
      </c>
      <c r="BD241" s="6">
        <v>0.13</v>
      </c>
      <c r="BE241" s="11">
        <v>0.47848950543454927</v>
      </c>
      <c r="BF241" s="7">
        <v>188</v>
      </c>
      <c r="BG241" s="26">
        <v>-29</v>
      </c>
      <c r="BH241" s="7">
        <v>-2</v>
      </c>
    </row>
    <row r="242" spans="2:60" x14ac:dyDescent="0.25">
      <c r="B242" s="3">
        <v>239</v>
      </c>
      <c r="C242" s="3" t="s">
        <v>486</v>
      </c>
      <c r="D242" s="3" t="s">
        <v>487</v>
      </c>
      <c r="E242" s="3" t="s">
        <v>473</v>
      </c>
      <c r="F242" s="3">
        <v>14106</v>
      </c>
      <c r="G242" s="3">
        <v>14</v>
      </c>
      <c r="H242" s="3">
        <v>0.496</v>
      </c>
      <c r="I242" s="4">
        <v>22973</v>
      </c>
      <c r="J242" s="4">
        <v>24006</v>
      </c>
      <c r="K242" s="4">
        <v>23830</v>
      </c>
      <c r="L242" s="4">
        <v>-1033</v>
      </c>
      <c r="M242" s="4">
        <v>3236</v>
      </c>
      <c r="N242" s="18">
        <v>7</v>
      </c>
      <c r="O242" s="18">
        <v>2896</v>
      </c>
      <c r="P242" s="18">
        <v>26</v>
      </c>
      <c r="Q242" s="18">
        <v>0</v>
      </c>
      <c r="R242" s="18">
        <v>307</v>
      </c>
      <c r="S242" s="18">
        <v>0</v>
      </c>
      <c r="T242" s="18">
        <v>3236</v>
      </c>
      <c r="U242" s="18" t="b">
        <v>1</v>
      </c>
      <c r="V242" s="4">
        <v>3192</v>
      </c>
      <c r="W242" s="4">
        <v>3192</v>
      </c>
      <c r="X242" s="3" t="b">
        <v>1</v>
      </c>
      <c r="Y242" s="18">
        <v>16</v>
      </c>
      <c r="Z242" s="18">
        <v>2916</v>
      </c>
      <c r="AA242" s="18">
        <v>0</v>
      </c>
      <c r="AB242" s="18">
        <v>0</v>
      </c>
      <c r="AC242" s="18">
        <v>260</v>
      </c>
      <c r="AD242" s="18">
        <v>0</v>
      </c>
      <c r="AE242" s="18">
        <v>3192</v>
      </c>
      <c r="AF242" s="4">
        <v>44</v>
      </c>
      <c r="AG242" s="5">
        <v>1.3597033374536464E-2</v>
      </c>
      <c r="AH242" s="18">
        <f t="shared" si="3"/>
        <v>-20</v>
      </c>
      <c r="AI242" s="6">
        <v>0.14086101075175206</v>
      </c>
      <c r="AJ242" s="3">
        <v>0.14099999999999999</v>
      </c>
      <c r="AK242" s="6">
        <v>0.47725306385188548</v>
      </c>
      <c r="AL242" s="25">
        <v>0.47699999999999998</v>
      </c>
      <c r="AM242" s="6">
        <v>0.13479963342497708</v>
      </c>
      <c r="AN242" s="3">
        <v>0.13500000000000001</v>
      </c>
      <c r="AO242" s="6">
        <v>0.48028776282991759</v>
      </c>
      <c r="AP242" s="6">
        <v>0.13394880402853546</v>
      </c>
      <c r="AQ242" s="6">
        <v>0.13400000000000001</v>
      </c>
      <c r="AR242" s="6">
        <v>0.49183236498695004</v>
      </c>
      <c r="AS242" s="6">
        <v>0.49199999999999999</v>
      </c>
      <c r="AT242" s="6">
        <v>6.9122067232166018E-3</v>
      </c>
      <c r="AU242" s="6">
        <v>-1.457930113506456E-2</v>
      </c>
      <c r="AV242" s="6">
        <v>8.5082939644162692E-4</v>
      </c>
      <c r="AW242" s="6">
        <v>-1.1544602157032458E-2</v>
      </c>
      <c r="AX242" s="7">
        <v>189</v>
      </c>
      <c r="AY242" s="26">
        <v>188</v>
      </c>
      <c r="AZ242" s="7">
        <v>172</v>
      </c>
      <c r="BA242" s="26">
        <v>-17</v>
      </c>
      <c r="BB242" s="26">
        <v>-16</v>
      </c>
      <c r="BC242" s="6">
        <v>0.13894571888738955</v>
      </c>
      <c r="BD242" s="6">
        <v>0.13900000000000001</v>
      </c>
      <c r="BE242" s="11">
        <v>0.48831520743116263</v>
      </c>
      <c r="BF242" s="26">
        <v>174</v>
      </c>
      <c r="BG242" s="26">
        <v>-2</v>
      </c>
      <c r="BH242" s="7">
        <v>-15</v>
      </c>
    </row>
    <row r="243" spans="2:60" x14ac:dyDescent="0.25">
      <c r="B243" s="3">
        <v>240</v>
      </c>
      <c r="C243" s="3" t="s">
        <v>488</v>
      </c>
      <c r="D243" s="3" t="s">
        <v>489</v>
      </c>
      <c r="E243" s="3" t="s">
        <v>473</v>
      </c>
      <c r="F243" s="3">
        <v>14107</v>
      </c>
      <c r="G243" s="3">
        <v>14</v>
      </c>
      <c r="H243" s="3">
        <v>0.50900000000000001</v>
      </c>
      <c r="I243" s="4">
        <v>19802</v>
      </c>
      <c r="J243" s="4">
        <v>20942</v>
      </c>
      <c r="K243" s="4">
        <v>20915</v>
      </c>
      <c r="L243" s="4">
        <v>-1140</v>
      </c>
      <c r="M243" s="4">
        <v>2681</v>
      </c>
      <c r="N243" s="18">
        <v>3</v>
      </c>
      <c r="O243" s="18">
        <v>2472</v>
      </c>
      <c r="P243" s="18">
        <v>0</v>
      </c>
      <c r="Q243" s="18">
        <v>0</v>
      </c>
      <c r="R243" s="18">
        <v>206</v>
      </c>
      <c r="S243" s="18">
        <v>0</v>
      </c>
      <c r="T243" s="18">
        <v>2681</v>
      </c>
      <c r="U243" s="18" t="b">
        <v>1</v>
      </c>
      <c r="V243" s="4">
        <v>2629</v>
      </c>
      <c r="W243" s="4">
        <v>2629</v>
      </c>
      <c r="X243" s="3" t="b">
        <v>1</v>
      </c>
      <c r="Y243" s="18">
        <v>8</v>
      </c>
      <c r="Z243" s="18">
        <v>2471</v>
      </c>
      <c r="AA243" s="18">
        <v>0</v>
      </c>
      <c r="AB243" s="18">
        <v>0</v>
      </c>
      <c r="AC243" s="18">
        <v>150</v>
      </c>
      <c r="AD243" s="18">
        <v>0</v>
      </c>
      <c r="AE243" s="18">
        <v>2629</v>
      </c>
      <c r="AF243" s="4">
        <v>52</v>
      </c>
      <c r="AG243" s="5">
        <v>1.9395747855277881E-2</v>
      </c>
      <c r="AH243" s="18">
        <f t="shared" si="3"/>
        <v>1</v>
      </c>
      <c r="AI243" s="6">
        <v>0.13539036460963538</v>
      </c>
      <c r="AJ243" s="3">
        <v>0.13500000000000001</v>
      </c>
      <c r="AK243" s="6">
        <v>0.47161450406682115</v>
      </c>
      <c r="AL243" s="25">
        <v>0.47199999999999998</v>
      </c>
      <c r="AM243" s="6">
        <v>0.12802024639480469</v>
      </c>
      <c r="AN243" s="3">
        <v>0.128</v>
      </c>
      <c r="AO243" s="6">
        <v>0.47258637911601376</v>
      </c>
      <c r="AP243" s="6">
        <v>0.12569925890509204</v>
      </c>
      <c r="AQ243" s="6">
        <v>0.126</v>
      </c>
      <c r="AR243" s="6">
        <v>0.48255157117901815</v>
      </c>
      <c r="AS243" s="6">
        <v>0.48199999999999998</v>
      </c>
      <c r="AT243" s="6">
        <v>9.6911057045433457E-3</v>
      </c>
      <c r="AU243" s="6">
        <v>-1.0937067112196996E-2</v>
      </c>
      <c r="AV243" s="6">
        <v>2.3209874897126559E-3</v>
      </c>
      <c r="AW243" s="6">
        <v>-9.9651920630043911E-3</v>
      </c>
      <c r="AX243" s="7">
        <v>196</v>
      </c>
      <c r="AY243" s="7">
        <v>195</v>
      </c>
      <c r="AZ243" s="7">
        <v>185</v>
      </c>
      <c r="BA243" s="26">
        <v>-11</v>
      </c>
      <c r="BB243" s="26">
        <v>-10</v>
      </c>
      <c r="BC243" s="6">
        <v>0.13276436723563276</v>
      </c>
      <c r="BD243" s="6">
        <v>0.13300000000000001</v>
      </c>
      <c r="BE243" s="11">
        <v>0.48167474064329308</v>
      </c>
      <c r="BF243" s="7">
        <v>184</v>
      </c>
      <c r="BG243" s="26">
        <v>1</v>
      </c>
      <c r="BH243" s="7">
        <v>-12</v>
      </c>
    </row>
    <row r="244" spans="2:60" x14ac:dyDescent="0.25">
      <c r="B244" s="3">
        <v>241</v>
      </c>
      <c r="C244" s="3" t="s">
        <v>490</v>
      </c>
      <c r="D244" s="3" t="s">
        <v>491</v>
      </c>
      <c r="E244" s="3" t="s">
        <v>473</v>
      </c>
      <c r="F244" s="3">
        <v>14108</v>
      </c>
      <c r="G244" s="3">
        <v>14</v>
      </c>
      <c r="H244" s="3">
        <v>0.52400000000000002</v>
      </c>
      <c r="I244" s="4">
        <v>35098</v>
      </c>
      <c r="J244" s="4">
        <v>36220</v>
      </c>
      <c r="K244" s="4">
        <v>36178</v>
      </c>
      <c r="L244" s="4">
        <v>-1122</v>
      </c>
      <c r="M244" s="4">
        <v>4034</v>
      </c>
      <c r="N244" s="18">
        <v>51</v>
      </c>
      <c r="O244" s="18">
        <v>3225</v>
      </c>
      <c r="P244" s="18">
        <v>24</v>
      </c>
      <c r="Q244" s="18">
        <v>0</v>
      </c>
      <c r="R244" s="18">
        <v>734</v>
      </c>
      <c r="S244" s="18">
        <v>0</v>
      </c>
      <c r="T244" s="18">
        <v>4034</v>
      </c>
      <c r="U244" s="18" t="b">
        <v>1</v>
      </c>
      <c r="V244" s="4">
        <v>3684</v>
      </c>
      <c r="W244" s="4">
        <v>3684</v>
      </c>
      <c r="X244" s="3" t="b">
        <v>1</v>
      </c>
      <c r="Y244" s="18">
        <v>62</v>
      </c>
      <c r="Z244" s="18">
        <v>3124</v>
      </c>
      <c r="AA244" s="18">
        <v>0</v>
      </c>
      <c r="AB244" s="18">
        <v>0</v>
      </c>
      <c r="AC244" s="18">
        <v>498</v>
      </c>
      <c r="AD244" s="18">
        <v>0</v>
      </c>
      <c r="AE244" s="18">
        <v>3684</v>
      </c>
      <c r="AF244" s="4">
        <v>350</v>
      </c>
      <c r="AG244" s="5">
        <v>8.6762518591968263E-2</v>
      </c>
      <c r="AH244" s="18">
        <f t="shared" si="3"/>
        <v>101</v>
      </c>
      <c r="AI244" s="6">
        <v>0.11493532395008263</v>
      </c>
      <c r="AJ244" s="3">
        <v>0.115</v>
      </c>
      <c r="AK244" s="6">
        <v>0.4505316252498438</v>
      </c>
      <c r="AL244" s="25">
        <v>0.45100000000000001</v>
      </c>
      <c r="AM244" s="6">
        <v>0.11137493097736058</v>
      </c>
      <c r="AN244" s="3">
        <v>0.111</v>
      </c>
      <c r="AO244" s="6">
        <v>0.45367730068485707</v>
      </c>
      <c r="AP244" s="6">
        <v>0.1018298413400409</v>
      </c>
      <c r="AQ244" s="6">
        <v>0.10199999999999999</v>
      </c>
      <c r="AR244" s="6">
        <v>0.45470918975522245</v>
      </c>
      <c r="AS244" s="6">
        <v>0.45500000000000002</v>
      </c>
      <c r="AT244" s="6">
        <v>1.3105482610041727E-2</v>
      </c>
      <c r="AU244" s="6">
        <v>-4.1775645053786503E-3</v>
      </c>
      <c r="AV244" s="6">
        <v>9.5450896373196759E-3</v>
      </c>
      <c r="AW244" s="6">
        <v>-1.0318890703653882E-3</v>
      </c>
      <c r="AX244" s="7">
        <v>220</v>
      </c>
      <c r="AY244" s="26">
        <v>216</v>
      </c>
      <c r="AZ244" s="7">
        <v>211</v>
      </c>
      <c r="BA244" s="26">
        <v>-9</v>
      </c>
      <c r="BB244" s="26">
        <v>-5</v>
      </c>
      <c r="BC244" s="6">
        <v>0.10496324576898969</v>
      </c>
      <c r="BD244" s="6">
        <v>0.105</v>
      </c>
      <c r="BE244" s="11">
        <v>0.45180871227839614</v>
      </c>
      <c r="BF244" s="26">
        <v>215</v>
      </c>
      <c r="BG244" s="26">
        <v>-4</v>
      </c>
      <c r="BH244" s="7">
        <v>-5</v>
      </c>
    </row>
    <row r="245" spans="2:60" x14ac:dyDescent="0.25">
      <c r="B245" s="3">
        <v>242</v>
      </c>
      <c r="C245" s="3" t="s">
        <v>492</v>
      </c>
      <c r="D245" s="3" t="s">
        <v>493</v>
      </c>
      <c r="E245" s="3" t="s">
        <v>473</v>
      </c>
      <c r="F245" s="3">
        <v>14204</v>
      </c>
      <c r="G245" s="3">
        <v>14</v>
      </c>
      <c r="H245" s="3">
        <v>0.53</v>
      </c>
      <c r="I245" s="4">
        <v>33363</v>
      </c>
      <c r="J245" s="4">
        <v>32998</v>
      </c>
      <c r="K245" s="4">
        <v>32982</v>
      </c>
      <c r="L245" s="4">
        <v>365</v>
      </c>
      <c r="M245" s="4">
        <v>5137</v>
      </c>
      <c r="N245" s="18">
        <v>5</v>
      </c>
      <c r="O245" s="18">
        <v>4646</v>
      </c>
      <c r="P245" s="18">
        <v>41</v>
      </c>
      <c r="Q245" s="18">
        <v>0</v>
      </c>
      <c r="R245" s="18">
        <v>445</v>
      </c>
      <c r="S245" s="18">
        <v>0</v>
      </c>
      <c r="T245" s="18">
        <v>5137</v>
      </c>
      <c r="U245" s="18" t="b">
        <v>1</v>
      </c>
      <c r="V245" s="4">
        <v>5036</v>
      </c>
      <c r="W245" s="4">
        <v>5036</v>
      </c>
      <c r="X245" s="3" t="b">
        <v>1</v>
      </c>
      <c r="Y245" s="18">
        <v>9</v>
      </c>
      <c r="Z245" s="18">
        <v>4693</v>
      </c>
      <c r="AA245" s="18">
        <v>0</v>
      </c>
      <c r="AB245" s="18">
        <v>0</v>
      </c>
      <c r="AC245" s="18">
        <v>334</v>
      </c>
      <c r="AD245" s="18">
        <v>0</v>
      </c>
      <c r="AE245" s="18">
        <v>5036</v>
      </c>
      <c r="AF245" s="4">
        <v>101</v>
      </c>
      <c r="AG245" s="5">
        <v>1.9661280903250925E-2</v>
      </c>
      <c r="AH245" s="18">
        <f t="shared" si="3"/>
        <v>-47</v>
      </c>
      <c r="AI245" s="6">
        <v>0.15397296406198482</v>
      </c>
      <c r="AJ245" s="3">
        <v>0.154</v>
      </c>
      <c r="AK245" s="6">
        <v>0.49076746977727298</v>
      </c>
      <c r="AL245" s="25">
        <v>0.49099999999999999</v>
      </c>
      <c r="AM245" s="6">
        <v>0.15567610158191406</v>
      </c>
      <c r="AN245" s="3">
        <v>0.156</v>
      </c>
      <c r="AO245" s="6">
        <v>0.50400343080286381</v>
      </c>
      <c r="AP245" s="6">
        <v>0.15268934570371717</v>
      </c>
      <c r="AQ245" s="6">
        <v>0.153</v>
      </c>
      <c r="AR245" s="6">
        <v>0.51387425028078826</v>
      </c>
      <c r="AS245" s="6">
        <v>0.51400000000000001</v>
      </c>
      <c r="AT245" s="6">
        <v>1.2836183582676519E-3</v>
      </c>
      <c r="AU245" s="6">
        <v>-2.3106780503515278E-2</v>
      </c>
      <c r="AV245" s="6">
        <v>2.9867558781968839E-3</v>
      </c>
      <c r="AW245" s="6">
        <v>-9.8708194779244529E-3</v>
      </c>
      <c r="AX245" s="7">
        <v>174</v>
      </c>
      <c r="AY245" s="7">
        <v>156</v>
      </c>
      <c r="AZ245" s="7">
        <v>146</v>
      </c>
      <c r="BA245" s="26">
        <v>-28</v>
      </c>
      <c r="BB245" s="26">
        <v>-10</v>
      </c>
      <c r="BC245" s="6">
        <v>0.15094565836405599</v>
      </c>
      <c r="BD245" s="6">
        <v>0.151</v>
      </c>
      <c r="BE245" s="11">
        <v>0.50120643317603697</v>
      </c>
      <c r="BF245" s="7">
        <v>158</v>
      </c>
      <c r="BG245" s="26">
        <v>-12</v>
      </c>
      <c r="BH245" s="7">
        <v>-16</v>
      </c>
    </row>
    <row r="246" spans="2:60" x14ac:dyDescent="0.25">
      <c r="B246" s="3">
        <v>243</v>
      </c>
      <c r="C246" s="3" t="s">
        <v>494</v>
      </c>
      <c r="D246" s="3" t="s">
        <v>495</v>
      </c>
      <c r="E246" s="3" t="s">
        <v>473</v>
      </c>
      <c r="F246" s="3">
        <v>14101</v>
      </c>
      <c r="G246" s="3">
        <v>14</v>
      </c>
      <c r="H246" s="3">
        <v>0.58799999999999997</v>
      </c>
      <c r="I246" s="4">
        <v>170043</v>
      </c>
      <c r="J246" s="4">
        <v>182086</v>
      </c>
      <c r="K246" s="4">
        <v>180848</v>
      </c>
      <c r="L246" s="4">
        <v>-12043</v>
      </c>
      <c r="M246" s="4">
        <v>48421</v>
      </c>
      <c r="N246" s="18">
        <v>218</v>
      </c>
      <c r="O246" s="18">
        <v>35778</v>
      </c>
      <c r="P246" s="18">
        <v>11470</v>
      </c>
      <c r="Q246" s="18">
        <v>0</v>
      </c>
      <c r="R246" s="18">
        <v>955</v>
      </c>
      <c r="S246" s="18">
        <v>0</v>
      </c>
      <c r="T246" s="18">
        <v>48421</v>
      </c>
      <c r="U246" s="18" t="b">
        <v>1</v>
      </c>
      <c r="V246" s="4">
        <v>47396</v>
      </c>
      <c r="W246" s="4">
        <v>47396</v>
      </c>
      <c r="X246" s="3" t="b">
        <v>1</v>
      </c>
      <c r="Y246" s="18">
        <v>505</v>
      </c>
      <c r="Z246" s="18">
        <v>34072</v>
      </c>
      <c r="AA246" s="18">
        <v>12059</v>
      </c>
      <c r="AB246" s="18">
        <v>0</v>
      </c>
      <c r="AC246" s="18">
        <v>760</v>
      </c>
      <c r="AD246" s="18">
        <v>0</v>
      </c>
      <c r="AE246" s="18">
        <v>47396</v>
      </c>
      <c r="AF246" s="4">
        <v>1025</v>
      </c>
      <c r="AG246" s="5">
        <v>2.1168501270110076E-2</v>
      </c>
      <c r="AH246" s="18">
        <f t="shared" si="3"/>
        <v>1706</v>
      </c>
      <c r="AI246" s="6">
        <v>0.28475738489676139</v>
      </c>
      <c r="AJ246" s="3">
        <v>0.28499999999999998</v>
      </c>
      <c r="AK246" s="6">
        <v>0.62556613097281866</v>
      </c>
      <c r="AL246" s="25">
        <v>0.626</v>
      </c>
      <c r="AM246" s="6">
        <v>0.26592379425106816</v>
      </c>
      <c r="AN246" s="3">
        <v>0.26600000000000001</v>
      </c>
      <c r="AO246" s="6">
        <v>0.62924481044955827</v>
      </c>
      <c r="AP246" s="6">
        <v>0.26207643988321683</v>
      </c>
      <c r="AQ246" s="6">
        <v>0.26200000000000001</v>
      </c>
      <c r="AR246" s="6">
        <v>0.64032506591386018</v>
      </c>
      <c r="AS246" s="6">
        <v>0.64</v>
      </c>
      <c r="AT246" s="6">
        <v>2.2680945013544562E-2</v>
      </c>
      <c r="AU246" s="6">
        <v>-1.4758934941041524E-2</v>
      </c>
      <c r="AV246" s="6">
        <v>3.84735436785133E-3</v>
      </c>
      <c r="AW246" s="6">
        <v>-1.1080255464301914E-2</v>
      </c>
      <c r="AX246" s="7">
        <v>39</v>
      </c>
      <c r="AY246" s="26">
        <v>37</v>
      </c>
      <c r="AZ246" s="7">
        <v>31</v>
      </c>
      <c r="BA246" s="26">
        <v>-8</v>
      </c>
      <c r="BB246" s="26">
        <v>-6</v>
      </c>
      <c r="BC246" s="6">
        <v>0.27872949783290107</v>
      </c>
      <c r="BD246" s="6">
        <v>0.27900000000000003</v>
      </c>
      <c r="BE246" s="11">
        <v>0.63848131896548388</v>
      </c>
      <c r="BF246" s="26">
        <v>34</v>
      </c>
      <c r="BG246" s="26">
        <v>-3</v>
      </c>
      <c r="BH246" s="7">
        <v>-5</v>
      </c>
    </row>
    <row r="247" spans="2:60" x14ac:dyDescent="0.25">
      <c r="B247" s="3">
        <v>244</v>
      </c>
      <c r="C247" s="3" t="s">
        <v>496</v>
      </c>
      <c r="D247" s="3" t="s">
        <v>497</v>
      </c>
      <c r="E247" s="3" t="s">
        <v>482</v>
      </c>
      <c r="F247" s="3">
        <v>10202</v>
      </c>
      <c r="G247" s="3">
        <v>10</v>
      </c>
      <c r="H247" s="3">
        <v>0.53800000000000003</v>
      </c>
      <c r="I247" s="4">
        <v>40949</v>
      </c>
      <c r="J247" s="4">
        <v>42524</v>
      </c>
      <c r="K247" s="4">
        <v>42516</v>
      </c>
      <c r="L247" s="4">
        <v>-1575</v>
      </c>
      <c r="M247" s="4">
        <v>6670</v>
      </c>
      <c r="N247" s="18">
        <v>28</v>
      </c>
      <c r="O247" s="18">
        <v>5360</v>
      </c>
      <c r="P247" s="18">
        <v>0</v>
      </c>
      <c r="Q247" s="18">
        <v>0</v>
      </c>
      <c r="R247" s="18">
        <v>1282</v>
      </c>
      <c r="S247" s="18">
        <v>0</v>
      </c>
      <c r="T247" s="18">
        <v>6670</v>
      </c>
      <c r="U247" s="18" t="b">
        <v>1</v>
      </c>
      <c r="V247" s="4">
        <v>5478</v>
      </c>
      <c r="W247" s="4">
        <v>5478</v>
      </c>
      <c r="X247" s="3" t="b">
        <v>1</v>
      </c>
      <c r="Y247" s="18">
        <v>60</v>
      </c>
      <c r="Z247" s="18">
        <v>5166</v>
      </c>
      <c r="AA247" s="18">
        <v>0</v>
      </c>
      <c r="AB247" s="18">
        <v>0</v>
      </c>
      <c r="AC247" s="18">
        <v>252</v>
      </c>
      <c r="AD247" s="18">
        <v>0</v>
      </c>
      <c r="AE247" s="18">
        <v>5478</v>
      </c>
      <c r="AF247" s="4">
        <v>1192</v>
      </c>
      <c r="AG247" s="5">
        <v>0.17871064467766118</v>
      </c>
      <c r="AH247" s="18">
        <f t="shared" si="3"/>
        <v>194</v>
      </c>
      <c r="AI247" s="6">
        <v>0.1628855405504408</v>
      </c>
      <c r="AJ247" s="3">
        <v>0.16300000000000001</v>
      </c>
      <c r="AK247" s="6">
        <v>0.49995360502777447</v>
      </c>
      <c r="AL247" s="25">
        <v>0.5</v>
      </c>
      <c r="AM247" s="6">
        <v>0.15685260088420658</v>
      </c>
      <c r="AN247" s="3">
        <v>0.157</v>
      </c>
      <c r="AO247" s="6">
        <v>0.5053399340185335</v>
      </c>
      <c r="AP247" s="6">
        <v>0.12884561106407</v>
      </c>
      <c r="AQ247" s="6">
        <v>0.129</v>
      </c>
      <c r="AR247" s="6">
        <v>0.48603186885699257</v>
      </c>
      <c r="AS247" s="6">
        <v>0.48599999999999999</v>
      </c>
      <c r="AT247" s="6">
        <v>3.4039929486370801E-2</v>
      </c>
      <c r="AU247" s="6">
        <v>1.3921736170781907E-2</v>
      </c>
      <c r="AV247" s="6">
        <v>2.800698982013658E-2</v>
      </c>
      <c r="AW247" s="6">
        <v>1.9308065161540933E-2</v>
      </c>
      <c r="AX247" s="7">
        <v>161</v>
      </c>
      <c r="AY247" s="7">
        <v>154</v>
      </c>
      <c r="AZ247" s="7">
        <v>181</v>
      </c>
      <c r="BA247" s="26">
        <v>20</v>
      </c>
      <c r="BB247" s="26">
        <v>27</v>
      </c>
      <c r="BC247" s="6">
        <v>0.13377616059000219</v>
      </c>
      <c r="BD247" s="6">
        <v>0.13400000000000001</v>
      </c>
      <c r="BE247" s="11">
        <v>0.48276168417027521</v>
      </c>
      <c r="BF247" s="7">
        <v>183</v>
      </c>
      <c r="BG247" s="26">
        <v>-2</v>
      </c>
      <c r="BH247" s="7">
        <v>22</v>
      </c>
    </row>
    <row r="248" spans="2:60" x14ac:dyDescent="0.25">
      <c r="B248" s="3">
        <v>245</v>
      </c>
      <c r="C248" s="3" t="s">
        <v>498</v>
      </c>
      <c r="D248" s="3" t="s">
        <v>499</v>
      </c>
      <c r="E248" s="3" t="s">
        <v>482</v>
      </c>
      <c r="F248" s="3">
        <v>10102</v>
      </c>
      <c r="G248" s="3">
        <v>10</v>
      </c>
      <c r="H248" s="3">
        <v>0.41299999999999998</v>
      </c>
      <c r="I248" s="4">
        <v>36474</v>
      </c>
      <c r="J248" s="4">
        <v>37626</v>
      </c>
      <c r="K248" s="4">
        <v>37429</v>
      </c>
      <c r="L248" s="4">
        <v>-1152</v>
      </c>
      <c r="M248" s="4">
        <v>4320</v>
      </c>
      <c r="N248" s="18">
        <v>7</v>
      </c>
      <c r="O248" s="18">
        <v>3861</v>
      </c>
      <c r="P248" s="18">
        <v>0</v>
      </c>
      <c r="Q248" s="18">
        <v>0</v>
      </c>
      <c r="R248" s="18">
        <v>452</v>
      </c>
      <c r="S248" s="18">
        <v>0</v>
      </c>
      <c r="T248" s="18">
        <v>4320</v>
      </c>
      <c r="U248" s="18" t="b">
        <v>1</v>
      </c>
      <c r="V248" s="4">
        <v>3987</v>
      </c>
      <c r="W248" s="4">
        <v>3987</v>
      </c>
      <c r="X248" s="3" t="b">
        <v>1</v>
      </c>
      <c r="Y248" s="18">
        <v>14</v>
      </c>
      <c r="Z248" s="18">
        <v>3688</v>
      </c>
      <c r="AA248" s="18">
        <v>0</v>
      </c>
      <c r="AB248" s="18">
        <v>0</v>
      </c>
      <c r="AC248" s="18">
        <v>285</v>
      </c>
      <c r="AD248" s="18">
        <v>0</v>
      </c>
      <c r="AE248" s="18">
        <v>3987</v>
      </c>
      <c r="AF248" s="4">
        <v>333</v>
      </c>
      <c r="AG248" s="5">
        <v>7.7083333333333337E-2</v>
      </c>
      <c r="AH248" s="18">
        <f t="shared" si="3"/>
        <v>173</v>
      </c>
      <c r="AI248" s="6">
        <v>0.11844053298239843</v>
      </c>
      <c r="AJ248" s="3">
        <v>0.11799999999999999</v>
      </c>
      <c r="AK248" s="6">
        <v>0.45414442164983415</v>
      </c>
      <c r="AL248" s="25">
        <v>0.45400000000000001</v>
      </c>
      <c r="AM248" s="6">
        <v>0.11481422420666561</v>
      </c>
      <c r="AN248" s="3">
        <v>0.115</v>
      </c>
      <c r="AO248" s="6">
        <v>0.45758433781751007</v>
      </c>
      <c r="AP248" s="6">
        <v>0.10652168104945363</v>
      </c>
      <c r="AQ248" s="6">
        <v>0.107</v>
      </c>
      <c r="AR248" s="6">
        <v>0.46050968588517993</v>
      </c>
      <c r="AS248" s="6">
        <v>0.46</v>
      </c>
      <c r="AT248" s="6">
        <v>1.1918851932944799E-2</v>
      </c>
      <c r="AU248" s="6">
        <v>-6.36526423534578E-3</v>
      </c>
      <c r="AV248" s="6">
        <v>8.292543157211979E-3</v>
      </c>
      <c r="AW248" s="6">
        <v>-2.925348067669864E-3</v>
      </c>
      <c r="AX248" s="7">
        <v>213</v>
      </c>
      <c r="AY248" s="26">
        <v>211</v>
      </c>
      <c r="AZ248" s="7">
        <v>204</v>
      </c>
      <c r="BA248" s="26">
        <v>-9</v>
      </c>
      <c r="BB248" s="26">
        <v>-7</v>
      </c>
      <c r="BC248" s="6">
        <v>0.10931074189833855</v>
      </c>
      <c r="BD248" s="6">
        <v>0.109</v>
      </c>
      <c r="BE248" s="11">
        <v>0.45647911533645991</v>
      </c>
      <c r="BF248" s="26">
        <v>208</v>
      </c>
      <c r="BG248" s="26">
        <v>-4</v>
      </c>
      <c r="BH248" s="7">
        <v>-5</v>
      </c>
    </row>
    <row r="249" spans="2:60" x14ac:dyDescent="0.25">
      <c r="B249" s="3">
        <v>246</v>
      </c>
      <c r="C249" s="3" t="s">
        <v>500</v>
      </c>
      <c r="D249" s="3" t="s">
        <v>501</v>
      </c>
      <c r="E249" s="3" t="s">
        <v>482</v>
      </c>
      <c r="F249" s="3">
        <v>10201</v>
      </c>
      <c r="G249" s="3">
        <v>10</v>
      </c>
      <c r="H249" s="3">
        <v>0.46</v>
      </c>
      <c r="I249" s="4">
        <v>46997</v>
      </c>
      <c r="J249" s="4">
        <v>48727</v>
      </c>
      <c r="K249" s="4">
        <v>48482</v>
      </c>
      <c r="L249" s="4">
        <v>-1730</v>
      </c>
      <c r="M249" s="4">
        <v>9126</v>
      </c>
      <c r="N249" s="18">
        <v>59</v>
      </c>
      <c r="O249" s="18">
        <v>8339</v>
      </c>
      <c r="P249" s="18">
        <v>0</v>
      </c>
      <c r="Q249" s="18">
        <v>0</v>
      </c>
      <c r="R249" s="18">
        <v>728</v>
      </c>
      <c r="S249" s="18">
        <v>0</v>
      </c>
      <c r="T249" s="18">
        <v>9126</v>
      </c>
      <c r="U249" s="18" t="b">
        <v>1</v>
      </c>
      <c r="V249" s="4">
        <v>8927</v>
      </c>
      <c r="W249" s="4">
        <v>8927</v>
      </c>
      <c r="X249" s="3" t="b">
        <v>1</v>
      </c>
      <c r="Y249" s="18">
        <v>119</v>
      </c>
      <c r="Z249" s="18">
        <v>8375</v>
      </c>
      <c r="AA249" s="18">
        <v>0</v>
      </c>
      <c r="AB249" s="18">
        <v>0</v>
      </c>
      <c r="AC249" s="18">
        <v>433</v>
      </c>
      <c r="AD249" s="18">
        <v>0</v>
      </c>
      <c r="AE249" s="18">
        <v>8927</v>
      </c>
      <c r="AF249" s="4">
        <v>199</v>
      </c>
      <c r="AG249" s="5">
        <v>2.180582949813719E-2</v>
      </c>
      <c r="AH249" s="18">
        <f t="shared" si="3"/>
        <v>-36</v>
      </c>
      <c r="AI249" s="6">
        <v>0.19418260740047236</v>
      </c>
      <c r="AJ249" s="3">
        <v>0.19400000000000001</v>
      </c>
      <c r="AK249" s="6">
        <v>0.53221129049064375</v>
      </c>
      <c r="AL249" s="25">
        <v>0.53200000000000003</v>
      </c>
      <c r="AM249" s="6">
        <v>0.18728836168859153</v>
      </c>
      <c r="AN249" s="3">
        <v>0.187</v>
      </c>
      <c r="AO249" s="6">
        <v>0.53991495850613846</v>
      </c>
      <c r="AP249" s="6">
        <v>0.18413019264881811</v>
      </c>
      <c r="AQ249" s="6">
        <v>0.184</v>
      </c>
      <c r="AR249" s="6">
        <v>0.54983732628652426</v>
      </c>
      <c r="AS249" s="6">
        <v>0.55000000000000004</v>
      </c>
      <c r="AT249" s="6">
        <v>1.0052414751654248E-2</v>
      </c>
      <c r="AU249" s="6">
        <v>-1.7626035795880513E-2</v>
      </c>
      <c r="AV249" s="6">
        <v>3.158169039773423E-3</v>
      </c>
      <c r="AW249" s="6">
        <v>-9.922367780385799E-3</v>
      </c>
      <c r="AX249" s="7">
        <v>121</v>
      </c>
      <c r="AY249" s="7">
        <v>118</v>
      </c>
      <c r="AZ249" s="7">
        <v>109</v>
      </c>
      <c r="BA249" s="26">
        <v>-12</v>
      </c>
      <c r="BB249" s="26">
        <v>-9</v>
      </c>
      <c r="BC249" s="6">
        <v>0.18994829457199397</v>
      </c>
      <c r="BD249" s="6">
        <v>0.19</v>
      </c>
      <c r="BE249" s="11">
        <v>0.54310596016776902</v>
      </c>
      <c r="BF249" s="7">
        <v>115</v>
      </c>
      <c r="BG249" s="26">
        <v>-6</v>
      </c>
      <c r="BH249" s="7">
        <v>-6</v>
      </c>
    </row>
    <row r="250" spans="2:60" x14ac:dyDescent="0.25">
      <c r="B250" s="3">
        <v>247</v>
      </c>
      <c r="C250" s="3" t="s">
        <v>502</v>
      </c>
      <c r="D250" s="3" t="s">
        <v>503</v>
      </c>
      <c r="E250" s="3" t="s">
        <v>482</v>
      </c>
      <c r="F250" s="3">
        <v>10401</v>
      </c>
      <c r="G250" s="3">
        <v>10</v>
      </c>
      <c r="H250" s="3">
        <v>0.38300000000000001</v>
      </c>
      <c r="I250" s="4">
        <v>4025</v>
      </c>
      <c r="J250" s="4">
        <v>5078</v>
      </c>
      <c r="K250" s="4">
        <v>5061</v>
      </c>
      <c r="L250" s="4">
        <v>-1053</v>
      </c>
      <c r="M250" s="4">
        <v>614</v>
      </c>
      <c r="N250" s="18">
        <v>1</v>
      </c>
      <c r="O250" s="18">
        <v>405</v>
      </c>
      <c r="P250" s="18">
        <v>0</v>
      </c>
      <c r="Q250" s="18">
        <v>0</v>
      </c>
      <c r="R250" s="18">
        <v>208</v>
      </c>
      <c r="S250" s="18">
        <v>0</v>
      </c>
      <c r="T250" s="18">
        <v>614</v>
      </c>
      <c r="U250" s="18" t="b">
        <v>1</v>
      </c>
      <c r="V250" s="4">
        <v>539</v>
      </c>
      <c r="W250" s="4">
        <v>539</v>
      </c>
      <c r="X250" s="3" t="b">
        <v>1</v>
      </c>
      <c r="Y250" s="18">
        <v>2</v>
      </c>
      <c r="Z250" s="18">
        <v>417</v>
      </c>
      <c r="AA250" s="18">
        <v>0</v>
      </c>
      <c r="AB250" s="18">
        <v>0</v>
      </c>
      <c r="AC250" s="18">
        <v>120</v>
      </c>
      <c r="AD250" s="18">
        <v>0</v>
      </c>
      <c r="AE250" s="18">
        <v>539</v>
      </c>
      <c r="AF250" s="4">
        <v>75</v>
      </c>
      <c r="AG250" s="5">
        <v>0.12214983713355049</v>
      </c>
      <c r="AH250" s="18">
        <f t="shared" si="3"/>
        <v>-12</v>
      </c>
      <c r="AI250" s="6">
        <v>0.15254658385093167</v>
      </c>
      <c r="AJ250" s="3">
        <v>0.153</v>
      </c>
      <c r="AK250" s="6">
        <v>0.48929730886989176</v>
      </c>
      <c r="AL250" s="25">
        <v>0.48899999999999999</v>
      </c>
      <c r="AM250" s="6">
        <v>0.1209137455691217</v>
      </c>
      <c r="AN250" s="3">
        <v>0.121</v>
      </c>
      <c r="AO250" s="6">
        <v>0.46451339412811182</v>
      </c>
      <c r="AP250" s="6">
        <v>0.10650069156293222</v>
      </c>
      <c r="AQ250" s="6">
        <v>0.107</v>
      </c>
      <c r="AR250" s="6">
        <v>0.46050968588517993</v>
      </c>
      <c r="AS250" s="6">
        <v>0.46</v>
      </c>
      <c r="AT250" s="6">
        <v>4.6045892287999449E-2</v>
      </c>
      <c r="AU250" s="6">
        <v>2.8787622984711825E-2</v>
      </c>
      <c r="AV250" s="6">
        <v>1.4413054006189474E-2</v>
      </c>
      <c r="AW250" s="6">
        <v>4.0037082429318915E-3</v>
      </c>
      <c r="AX250" s="7">
        <v>177</v>
      </c>
      <c r="AY250" s="26">
        <v>204</v>
      </c>
      <c r="AZ250" s="7">
        <v>206</v>
      </c>
      <c r="BA250" s="26">
        <v>29</v>
      </c>
      <c r="BB250" s="26">
        <v>2</v>
      </c>
      <c r="BC250" s="6">
        <v>0.13391304347826086</v>
      </c>
      <c r="BD250" s="6">
        <v>0.13400000000000001</v>
      </c>
      <c r="BE250" s="11">
        <v>0.48290873392969974</v>
      </c>
      <c r="BF250" s="26">
        <v>182</v>
      </c>
      <c r="BG250" s="26">
        <v>24</v>
      </c>
      <c r="BH250" s="7">
        <v>5</v>
      </c>
    </row>
    <row r="251" spans="2:60" x14ac:dyDescent="0.25">
      <c r="B251" s="3">
        <v>248</v>
      </c>
      <c r="C251" s="3" t="s">
        <v>504</v>
      </c>
      <c r="D251" s="3" t="s">
        <v>505</v>
      </c>
      <c r="E251" s="3" t="s">
        <v>482</v>
      </c>
      <c r="F251" s="3">
        <v>10203</v>
      </c>
      <c r="G251" s="3">
        <v>10</v>
      </c>
      <c r="H251" s="3">
        <v>0.47799999999999998</v>
      </c>
      <c r="I251" s="4">
        <v>16078</v>
      </c>
      <c r="J251" s="4">
        <v>16267</v>
      </c>
      <c r="K251" s="4">
        <v>16213</v>
      </c>
      <c r="L251" s="4">
        <v>-189</v>
      </c>
      <c r="M251" s="4">
        <v>1361</v>
      </c>
      <c r="N251" s="18">
        <v>2</v>
      </c>
      <c r="O251" s="18">
        <v>1026</v>
      </c>
      <c r="P251" s="18">
        <v>0</v>
      </c>
      <c r="Q251" s="18">
        <v>0</v>
      </c>
      <c r="R251" s="18">
        <v>333</v>
      </c>
      <c r="S251" s="18">
        <v>0</v>
      </c>
      <c r="T251" s="18">
        <v>1361</v>
      </c>
      <c r="U251" s="18" t="b">
        <v>1</v>
      </c>
      <c r="V251" s="4">
        <v>1222</v>
      </c>
      <c r="W251" s="4">
        <v>1222</v>
      </c>
      <c r="X251" s="3" t="b">
        <v>1</v>
      </c>
      <c r="Y251" s="18">
        <v>20</v>
      </c>
      <c r="Z251" s="18">
        <v>993</v>
      </c>
      <c r="AA251" s="18">
        <v>0</v>
      </c>
      <c r="AB251" s="18">
        <v>0</v>
      </c>
      <c r="AC251" s="18">
        <v>209</v>
      </c>
      <c r="AD251" s="18">
        <v>0</v>
      </c>
      <c r="AE251" s="18">
        <v>1222</v>
      </c>
      <c r="AF251" s="4">
        <v>139</v>
      </c>
      <c r="AG251" s="5">
        <v>0.10213078618662748</v>
      </c>
      <c r="AH251" s="18">
        <f t="shared" si="3"/>
        <v>33</v>
      </c>
      <c r="AI251" s="6">
        <v>8.4649832068665262E-2</v>
      </c>
      <c r="AJ251" s="3">
        <v>8.5000000000000006E-2</v>
      </c>
      <c r="AK251" s="6">
        <v>0.41931656359948799</v>
      </c>
      <c r="AL251" s="25">
        <v>0.41899999999999998</v>
      </c>
      <c r="AM251" s="6">
        <v>8.3666318313149315E-2</v>
      </c>
      <c r="AN251" s="3">
        <v>8.4000000000000005E-2</v>
      </c>
      <c r="AO251" s="6">
        <v>0.4222003165036487</v>
      </c>
      <c r="AP251" s="6">
        <v>7.5371615370381798E-2</v>
      </c>
      <c r="AQ251" s="6">
        <v>7.4999999999999997E-2</v>
      </c>
      <c r="AR251" s="6">
        <v>0.42338651065345234</v>
      </c>
      <c r="AS251" s="6">
        <v>0.42399999999999999</v>
      </c>
      <c r="AT251" s="6">
        <v>9.2782166982834646E-3</v>
      </c>
      <c r="AU251" s="6">
        <v>-4.0699470539643512E-3</v>
      </c>
      <c r="AV251" s="6">
        <v>8.2947029427675179E-3</v>
      </c>
      <c r="AW251" s="6">
        <v>-1.1861941498036432E-3</v>
      </c>
      <c r="AX251" s="7">
        <v>253</v>
      </c>
      <c r="AY251" s="7">
        <v>254</v>
      </c>
      <c r="AZ251" s="7">
        <v>246</v>
      </c>
      <c r="BA251" s="26">
        <v>-7</v>
      </c>
      <c r="BB251" s="26">
        <v>-8</v>
      </c>
      <c r="BC251" s="6">
        <v>7.6004478168926484E-2</v>
      </c>
      <c r="BD251" s="6">
        <v>7.5999999999999998E-2</v>
      </c>
      <c r="BE251" s="11">
        <v>0.42069905450456602</v>
      </c>
      <c r="BF251" s="7">
        <v>247</v>
      </c>
      <c r="BG251" s="26">
        <v>-1</v>
      </c>
      <c r="BH251" s="7">
        <v>-6</v>
      </c>
    </row>
    <row r="252" spans="2:60" x14ac:dyDescent="0.25">
      <c r="B252" s="3">
        <v>249</v>
      </c>
      <c r="C252" s="3" t="s">
        <v>506</v>
      </c>
      <c r="D252" s="3" t="s">
        <v>507</v>
      </c>
      <c r="E252" s="3" t="s">
        <v>482</v>
      </c>
      <c r="F252" s="3">
        <v>10103</v>
      </c>
      <c r="G252" s="3">
        <v>10</v>
      </c>
      <c r="H252" s="3"/>
      <c r="I252" s="4">
        <v>4199</v>
      </c>
      <c r="J252" s="4">
        <v>3947</v>
      </c>
      <c r="K252" s="4">
        <v>3960</v>
      </c>
      <c r="L252" s="4">
        <v>252</v>
      </c>
      <c r="M252" s="4">
        <v>287</v>
      </c>
      <c r="N252" s="18">
        <v>0</v>
      </c>
      <c r="O252" s="18">
        <v>0</v>
      </c>
      <c r="P252" s="18">
        <v>0</v>
      </c>
      <c r="Q252" s="18">
        <v>0</v>
      </c>
      <c r="R252" s="18">
        <v>287</v>
      </c>
      <c r="S252" s="18">
        <v>0</v>
      </c>
      <c r="T252" s="18">
        <v>287</v>
      </c>
      <c r="U252" s="18" t="b">
        <v>1</v>
      </c>
      <c r="V252" s="4">
        <v>228</v>
      </c>
      <c r="W252" s="4">
        <v>228</v>
      </c>
      <c r="X252" s="3" t="b">
        <v>1</v>
      </c>
      <c r="Y252" s="18">
        <v>0</v>
      </c>
      <c r="Z252" s="18">
        <v>0</v>
      </c>
      <c r="AA252" s="18">
        <v>0</v>
      </c>
      <c r="AB252" s="18">
        <v>0</v>
      </c>
      <c r="AC252" s="18">
        <v>228</v>
      </c>
      <c r="AD252" s="18">
        <v>0</v>
      </c>
      <c r="AE252" s="18">
        <v>228</v>
      </c>
      <c r="AF252" s="4">
        <v>59</v>
      </c>
      <c r="AG252" s="5">
        <v>0.20557491289198607</v>
      </c>
      <c r="AH252" s="18">
        <f t="shared" si="3"/>
        <v>0</v>
      </c>
      <c r="AI252" s="6">
        <v>6.8349607049297448E-2</v>
      </c>
      <c r="AJ252" s="3">
        <v>6.8000000000000005E-2</v>
      </c>
      <c r="AK252" s="6">
        <v>0.40251602653419977</v>
      </c>
      <c r="AL252" s="25">
        <v>0.40300000000000002</v>
      </c>
      <c r="AM252" s="6">
        <v>7.2713453255637189E-2</v>
      </c>
      <c r="AN252" s="3">
        <v>7.2999999999999995E-2</v>
      </c>
      <c r="AO252" s="6">
        <v>0.40975786172136652</v>
      </c>
      <c r="AP252" s="6">
        <v>5.7575757575757579E-2</v>
      </c>
      <c r="AQ252" s="6">
        <v>5.8000000000000003E-2</v>
      </c>
      <c r="AR252" s="6">
        <v>0.40366482381159713</v>
      </c>
      <c r="AS252" s="6">
        <v>0.40300000000000002</v>
      </c>
      <c r="AT252" s="6">
        <v>1.0773849473539869E-2</v>
      </c>
      <c r="AU252" s="6">
        <v>-1.148797277397362E-3</v>
      </c>
      <c r="AV252" s="6">
        <v>1.5137695679879611E-2</v>
      </c>
      <c r="AW252" s="6">
        <v>6.0930379097693943E-3</v>
      </c>
      <c r="AX252" s="7">
        <v>281</v>
      </c>
      <c r="AY252" s="26">
        <v>270</v>
      </c>
      <c r="AZ252" s="7">
        <v>273</v>
      </c>
      <c r="BA252" s="26">
        <v>-8</v>
      </c>
      <c r="BB252" s="26">
        <v>3</v>
      </c>
      <c r="BC252" s="6">
        <v>5.4298642533936653E-2</v>
      </c>
      <c r="BD252" s="6">
        <v>5.3999999999999999E-2</v>
      </c>
      <c r="BE252" s="11">
        <v>0.39738103463489227</v>
      </c>
      <c r="BF252" s="26">
        <v>282</v>
      </c>
      <c r="BG252" s="26">
        <v>-9</v>
      </c>
      <c r="BH252" s="7">
        <v>1</v>
      </c>
    </row>
    <row r="253" spans="2:60" x14ac:dyDescent="0.25">
      <c r="B253" s="3">
        <v>250</v>
      </c>
      <c r="C253" s="3" t="s">
        <v>508</v>
      </c>
      <c r="D253" s="3" t="s">
        <v>509</v>
      </c>
      <c r="E253" s="3" t="s">
        <v>482</v>
      </c>
      <c r="F253" s="3">
        <v>10204</v>
      </c>
      <c r="G253" s="3">
        <v>10</v>
      </c>
      <c r="H253" s="3">
        <v>0.39800000000000002</v>
      </c>
      <c r="I253" s="4">
        <v>3662</v>
      </c>
      <c r="J253" s="4">
        <v>4135</v>
      </c>
      <c r="K253" s="4">
        <v>4120</v>
      </c>
      <c r="L253" s="4">
        <v>-473</v>
      </c>
      <c r="M253" s="4">
        <v>184</v>
      </c>
      <c r="N253" s="18">
        <v>1</v>
      </c>
      <c r="O253" s="18">
        <v>133</v>
      </c>
      <c r="P253" s="18">
        <v>0</v>
      </c>
      <c r="Q253" s="18">
        <v>0</v>
      </c>
      <c r="R253" s="18">
        <v>50</v>
      </c>
      <c r="S253" s="18">
        <v>0</v>
      </c>
      <c r="T253" s="18">
        <v>184</v>
      </c>
      <c r="U253" s="18" t="b">
        <v>1</v>
      </c>
      <c r="V253" s="4">
        <v>161</v>
      </c>
      <c r="W253" s="4">
        <v>161</v>
      </c>
      <c r="X253" s="3" t="b">
        <v>1</v>
      </c>
      <c r="Y253" s="18">
        <v>3</v>
      </c>
      <c r="Z253" s="18">
        <v>124</v>
      </c>
      <c r="AA253" s="18">
        <v>0</v>
      </c>
      <c r="AB253" s="18">
        <v>0</v>
      </c>
      <c r="AC253" s="18">
        <v>34</v>
      </c>
      <c r="AD253" s="18">
        <v>0</v>
      </c>
      <c r="AE253" s="18">
        <v>161</v>
      </c>
      <c r="AF253" s="4">
        <v>23</v>
      </c>
      <c r="AG253" s="5">
        <v>0.125</v>
      </c>
      <c r="AH253" s="18">
        <f t="shared" si="3"/>
        <v>9</v>
      </c>
      <c r="AI253" s="6">
        <v>5.0245767340251227E-2</v>
      </c>
      <c r="AJ253" s="3">
        <v>0.05</v>
      </c>
      <c r="AK253" s="6">
        <v>0.38385651541122606</v>
      </c>
      <c r="AL253" s="25">
        <v>0.38400000000000001</v>
      </c>
      <c r="AM253" s="6">
        <v>4.449818621523579E-2</v>
      </c>
      <c r="AN253" s="3">
        <v>4.3999999999999997E-2</v>
      </c>
      <c r="AO253" s="6">
        <v>0.37770531816524672</v>
      </c>
      <c r="AP253" s="6">
        <v>3.9077669902912622E-2</v>
      </c>
      <c r="AQ253" s="6">
        <v>3.9E-2</v>
      </c>
      <c r="AR253" s="6">
        <v>0.38162293851775891</v>
      </c>
      <c r="AS253" s="6">
        <v>0.38200000000000001</v>
      </c>
      <c r="AT253" s="6">
        <v>1.1168097437338605E-2</v>
      </c>
      <c r="AU253" s="6">
        <v>2.2335768934671485E-3</v>
      </c>
      <c r="AV253" s="6">
        <v>5.4205163123231676E-3</v>
      </c>
      <c r="AW253" s="6">
        <v>-3.9176203525121966E-3</v>
      </c>
      <c r="AX253" s="7">
        <v>304</v>
      </c>
      <c r="AY253" s="7">
        <v>308</v>
      </c>
      <c r="AZ253" s="7">
        <v>301</v>
      </c>
      <c r="BA253" s="26">
        <v>-3</v>
      </c>
      <c r="BB253" s="26">
        <v>-7</v>
      </c>
      <c r="BC253" s="6">
        <v>4.3965046422719825E-2</v>
      </c>
      <c r="BD253" s="6">
        <v>4.3999999999999997E-2</v>
      </c>
      <c r="BE253" s="11">
        <v>0.38627991862634237</v>
      </c>
      <c r="BF253" s="7">
        <v>301</v>
      </c>
      <c r="BG253" s="26">
        <v>0</v>
      </c>
      <c r="BH253" s="7">
        <v>-3</v>
      </c>
    </row>
    <row r="254" spans="2:60" x14ac:dyDescent="0.25">
      <c r="B254" s="3">
        <v>251</v>
      </c>
      <c r="C254" s="3" t="s">
        <v>510</v>
      </c>
      <c r="D254" s="3" t="s">
        <v>511</v>
      </c>
      <c r="E254" s="3" t="s">
        <v>482</v>
      </c>
      <c r="F254" s="3">
        <v>10205</v>
      </c>
      <c r="G254" s="3">
        <v>10</v>
      </c>
      <c r="H254" s="3">
        <v>0.47399999999999998</v>
      </c>
      <c r="I254" s="4">
        <v>14894</v>
      </c>
      <c r="J254" s="4">
        <v>15456</v>
      </c>
      <c r="K254" s="4">
        <v>15368</v>
      </c>
      <c r="L254" s="4">
        <v>-562</v>
      </c>
      <c r="M254" s="4">
        <v>1357</v>
      </c>
      <c r="N254" s="18">
        <v>6</v>
      </c>
      <c r="O254" s="18">
        <v>1083</v>
      </c>
      <c r="P254" s="18">
        <v>0</v>
      </c>
      <c r="Q254" s="18">
        <v>0</v>
      </c>
      <c r="R254" s="18">
        <v>268</v>
      </c>
      <c r="S254" s="18">
        <v>0</v>
      </c>
      <c r="T254" s="18">
        <v>1357</v>
      </c>
      <c r="U254" s="18" t="b">
        <v>1</v>
      </c>
      <c r="V254" s="4">
        <v>1303</v>
      </c>
      <c r="W254" s="4">
        <v>1303</v>
      </c>
      <c r="X254" s="3" t="b">
        <v>1</v>
      </c>
      <c r="Y254" s="18">
        <v>24</v>
      </c>
      <c r="Z254" s="18">
        <v>1093</v>
      </c>
      <c r="AA254" s="18">
        <v>0</v>
      </c>
      <c r="AB254" s="18">
        <v>0</v>
      </c>
      <c r="AC254" s="18">
        <v>186</v>
      </c>
      <c r="AD254" s="18">
        <v>0</v>
      </c>
      <c r="AE254" s="18">
        <v>1303</v>
      </c>
      <c r="AF254" s="4">
        <v>54</v>
      </c>
      <c r="AG254" s="5">
        <v>3.9793662490788501E-2</v>
      </c>
      <c r="AH254" s="18">
        <f t="shared" si="3"/>
        <v>-10</v>
      </c>
      <c r="AI254" s="6">
        <v>9.1110514301060833E-2</v>
      </c>
      <c r="AJ254" s="3">
        <v>9.0999999999999998E-2</v>
      </c>
      <c r="AK254" s="6">
        <v>0.42597554721372899</v>
      </c>
      <c r="AL254" s="25">
        <v>0.42599999999999999</v>
      </c>
      <c r="AM254" s="6">
        <v>8.7797619047619041E-2</v>
      </c>
      <c r="AN254" s="3">
        <v>8.7999999999999995E-2</v>
      </c>
      <c r="AO254" s="6">
        <v>0.42689347416703038</v>
      </c>
      <c r="AP254" s="6">
        <v>8.4786569495054656E-2</v>
      </c>
      <c r="AQ254" s="6">
        <v>8.5000000000000006E-2</v>
      </c>
      <c r="AR254" s="6">
        <v>0.43498750291336724</v>
      </c>
      <c r="AS254" s="6">
        <v>0.435</v>
      </c>
      <c r="AT254" s="6">
        <v>6.3239448060061765E-3</v>
      </c>
      <c r="AU254" s="6">
        <v>-9.0119556996382522E-3</v>
      </c>
      <c r="AV254" s="6">
        <v>3.0110495525643849E-3</v>
      </c>
      <c r="AW254" s="6">
        <v>-8.0940287463368565E-3</v>
      </c>
      <c r="AX254" s="7">
        <v>247</v>
      </c>
      <c r="AY254" s="26">
        <v>249</v>
      </c>
      <c r="AZ254" s="7">
        <v>235</v>
      </c>
      <c r="BA254" s="26">
        <v>-12</v>
      </c>
      <c r="BB254" s="26">
        <v>-14</v>
      </c>
      <c r="BC254" s="6">
        <v>8.7484893245602255E-2</v>
      </c>
      <c r="BD254" s="6">
        <v>8.6999999999999994E-2</v>
      </c>
      <c r="BE254" s="11">
        <v>0.43303216857452126</v>
      </c>
      <c r="BF254" s="26">
        <v>239</v>
      </c>
      <c r="BG254" s="26">
        <v>-4</v>
      </c>
      <c r="BH254" s="7">
        <v>-8</v>
      </c>
    </row>
    <row r="255" spans="2:60" x14ac:dyDescent="0.25">
      <c r="B255" s="3">
        <v>252</v>
      </c>
      <c r="C255" s="3" t="s">
        <v>512</v>
      </c>
      <c r="D255" s="3" t="s">
        <v>513</v>
      </c>
      <c r="E255" s="3" t="s">
        <v>482</v>
      </c>
      <c r="F255" s="3">
        <v>10104</v>
      </c>
      <c r="G255" s="3">
        <v>10</v>
      </c>
      <c r="H255" s="3">
        <v>0.43099999999999999</v>
      </c>
      <c r="I255" s="4">
        <v>12320</v>
      </c>
      <c r="J255" s="4">
        <v>12571</v>
      </c>
      <c r="K255" s="4">
        <v>12593</v>
      </c>
      <c r="L255" s="4">
        <v>-251</v>
      </c>
      <c r="M255" s="4">
        <v>930</v>
      </c>
      <c r="N255" s="18">
        <v>1</v>
      </c>
      <c r="O255" s="18">
        <v>787</v>
      </c>
      <c r="P255" s="18">
        <v>0</v>
      </c>
      <c r="Q255" s="18">
        <v>0</v>
      </c>
      <c r="R255" s="18">
        <v>142</v>
      </c>
      <c r="S255" s="18">
        <v>0</v>
      </c>
      <c r="T255" s="18">
        <v>930</v>
      </c>
      <c r="U255" s="18" t="b">
        <v>1</v>
      </c>
      <c r="V255" s="4">
        <v>730</v>
      </c>
      <c r="W255" s="4">
        <v>730</v>
      </c>
      <c r="X255" s="3" t="b">
        <v>1</v>
      </c>
      <c r="Y255" s="18">
        <v>2</v>
      </c>
      <c r="Z255" s="18">
        <v>620</v>
      </c>
      <c r="AA255" s="18">
        <v>0</v>
      </c>
      <c r="AB255" s="18">
        <v>0</v>
      </c>
      <c r="AC255" s="18">
        <v>108</v>
      </c>
      <c r="AD255" s="18">
        <v>0</v>
      </c>
      <c r="AE255" s="18">
        <v>730</v>
      </c>
      <c r="AF255" s="4">
        <v>200</v>
      </c>
      <c r="AG255" s="5">
        <v>0.21505376344086022</v>
      </c>
      <c r="AH255" s="18">
        <f t="shared" si="3"/>
        <v>167</v>
      </c>
      <c r="AI255" s="6">
        <v>7.5487012987012991E-2</v>
      </c>
      <c r="AJ255" s="3">
        <v>7.4999999999999997E-2</v>
      </c>
      <c r="AK255" s="6">
        <v>0.40987250491803306</v>
      </c>
      <c r="AL255" s="25">
        <v>0.41</v>
      </c>
      <c r="AM255" s="6">
        <v>7.3979794765730647E-2</v>
      </c>
      <c r="AN255" s="3">
        <v>7.3999999999999996E-2</v>
      </c>
      <c r="AO255" s="6">
        <v>0.41119642568572928</v>
      </c>
      <c r="AP255" s="6">
        <v>5.7968712776939567E-2</v>
      </c>
      <c r="AQ255" s="6">
        <v>5.8000000000000003E-2</v>
      </c>
      <c r="AR255" s="6">
        <v>0.40366482381159713</v>
      </c>
      <c r="AS255" s="6">
        <v>0.40400000000000003</v>
      </c>
      <c r="AT255" s="6">
        <v>1.7518300210073424E-2</v>
      </c>
      <c r="AU255" s="6">
        <v>6.2076811064359361E-3</v>
      </c>
      <c r="AV255" s="6">
        <v>1.601108198879108E-2</v>
      </c>
      <c r="AW255" s="6">
        <v>7.5316018741321544E-3</v>
      </c>
      <c r="AX255" s="7">
        <v>268</v>
      </c>
      <c r="AY255" s="7">
        <v>266</v>
      </c>
      <c r="AZ255" s="7">
        <v>272</v>
      </c>
      <c r="BA255" s="26">
        <v>4</v>
      </c>
      <c r="BB255" s="26">
        <v>6</v>
      </c>
      <c r="BC255" s="6">
        <v>5.9253246753246752E-2</v>
      </c>
      <c r="BD255" s="6">
        <v>5.8999999999999997E-2</v>
      </c>
      <c r="BE255" s="11">
        <v>0.40270363826900463</v>
      </c>
      <c r="BF255" s="7">
        <v>272</v>
      </c>
      <c r="BG255" s="26">
        <v>0</v>
      </c>
      <c r="BH255" s="7">
        <v>4</v>
      </c>
    </row>
    <row r="256" spans="2:60" x14ac:dyDescent="0.25">
      <c r="B256" s="3">
        <v>253</v>
      </c>
      <c r="C256" s="3" t="s">
        <v>514</v>
      </c>
      <c r="D256" s="3" t="s">
        <v>515</v>
      </c>
      <c r="E256" s="3" t="s">
        <v>482</v>
      </c>
      <c r="F256" s="3">
        <v>10105</v>
      </c>
      <c r="G256" s="3">
        <v>10</v>
      </c>
      <c r="H256" s="3">
        <v>0.45300000000000001</v>
      </c>
      <c r="I256" s="4">
        <v>22554</v>
      </c>
      <c r="J256" s="4">
        <v>20817</v>
      </c>
      <c r="K256" s="4">
        <v>20678</v>
      </c>
      <c r="L256" s="4">
        <v>1737</v>
      </c>
      <c r="M256" s="4">
        <v>4311</v>
      </c>
      <c r="N256" s="18">
        <v>10</v>
      </c>
      <c r="O256" s="18">
        <v>3865</v>
      </c>
      <c r="P256" s="18">
        <v>31</v>
      </c>
      <c r="Q256" s="18">
        <v>0</v>
      </c>
      <c r="R256" s="18">
        <v>405</v>
      </c>
      <c r="S256" s="18">
        <v>0</v>
      </c>
      <c r="T256" s="18">
        <v>4311</v>
      </c>
      <c r="U256" s="18" t="b">
        <v>1</v>
      </c>
      <c r="V256" s="4">
        <v>3950</v>
      </c>
      <c r="W256" s="4">
        <v>3950</v>
      </c>
      <c r="X256" s="3" t="b">
        <v>1</v>
      </c>
      <c r="Y256" s="18">
        <v>12</v>
      </c>
      <c r="Z256" s="18">
        <v>3686</v>
      </c>
      <c r="AA256" s="18">
        <v>0</v>
      </c>
      <c r="AB256" s="18">
        <v>0</v>
      </c>
      <c r="AC256" s="18">
        <v>252</v>
      </c>
      <c r="AD256" s="18">
        <v>0</v>
      </c>
      <c r="AE256" s="18">
        <v>3950</v>
      </c>
      <c r="AF256" s="4">
        <v>361</v>
      </c>
      <c r="AG256" s="5">
        <v>8.3739271630712125E-2</v>
      </c>
      <c r="AH256" s="18">
        <f t="shared" si="3"/>
        <v>179</v>
      </c>
      <c r="AI256" s="6">
        <v>0.19114126097366321</v>
      </c>
      <c r="AJ256" s="3">
        <v>0.191</v>
      </c>
      <c r="AK256" s="6">
        <v>0.52907659429404053</v>
      </c>
      <c r="AL256" s="25">
        <v>0.52900000000000003</v>
      </c>
      <c r="AM256" s="6">
        <v>0.20709035884133162</v>
      </c>
      <c r="AN256" s="3">
        <v>0.20699999999999999</v>
      </c>
      <c r="AO256" s="6">
        <v>0.5624100274107684</v>
      </c>
      <c r="AP256" s="6">
        <v>0.19102427700938196</v>
      </c>
      <c r="AQ256" s="6">
        <v>0.191</v>
      </c>
      <c r="AR256" s="6">
        <v>0.55795802086846469</v>
      </c>
      <c r="AS256" s="6">
        <v>0.55800000000000005</v>
      </c>
      <c r="AT256" s="6">
        <v>1.1698396428125313E-4</v>
      </c>
      <c r="AU256" s="6">
        <v>-2.8881426574424163E-2</v>
      </c>
      <c r="AV256" s="6">
        <v>1.6066081831949658E-2</v>
      </c>
      <c r="AW256" s="6">
        <v>4.4520065423037103E-3</v>
      </c>
      <c r="AX256" s="7">
        <v>127</v>
      </c>
      <c r="AY256" s="7">
        <v>103</v>
      </c>
      <c r="AZ256" s="7">
        <v>102</v>
      </c>
      <c r="BA256" s="26">
        <v>-25</v>
      </c>
      <c r="BB256" s="26">
        <v>-1</v>
      </c>
      <c r="BC256" s="6">
        <v>0.1751352310011528</v>
      </c>
      <c r="BD256" s="6">
        <v>0.17499999999999999</v>
      </c>
      <c r="BE256" s="11">
        <v>0.52719266770190276</v>
      </c>
      <c r="BF256" s="26">
        <v>129</v>
      </c>
      <c r="BG256" s="26">
        <v>-27</v>
      </c>
      <c r="BH256" s="7">
        <v>2</v>
      </c>
    </row>
    <row r="257" spans="2:60" x14ac:dyDescent="0.25">
      <c r="B257" s="3">
        <v>254</v>
      </c>
      <c r="C257" s="3" t="s">
        <v>516</v>
      </c>
      <c r="D257" s="3" t="s">
        <v>517</v>
      </c>
      <c r="E257" s="3" t="s">
        <v>482</v>
      </c>
      <c r="F257" s="3">
        <v>10402</v>
      </c>
      <c r="G257" s="3">
        <v>10</v>
      </c>
      <c r="H257" s="3"/>
      <c r="I257" s="4">
        <v>3062</v>
      </c>
      <c r="J257" s="4">
        <v>2912</v>
      </c>
      <c r="K257" s="4">
        <v>2889</v>
      </c>
      <c r="L257" s="4">
        <v>150</v>
      </c>
      <c r="M257" s="4">
        <v>699</v>
      </c>
      <c r="N257" s="18">
        <v>7</v>
      </c>
      <c r="O257" s="18">
        <v>486</v>
      </c>
      <c r="P257" s="18">
        <v>0</v>
      </c>
      <c r="Q257" s="18">
        <v>0</v>
      </c>
      <c r="R257" s="18">
        <v>206</v>
      </c>
      <c r="S257" s="18">
        <v>0</v>
      </c>
      <c r="T257" s="18">
        <v>699</v>
      </c>
      <c r="U257" s="18" t="b">
        <v>1</v>
      </c>
      <c r="V257" s="4">
        <v>629</v>
      </c>
      <c r="W257" s="4">
        <v>629</v>
      </c>
      <c r="X257" s="3" t="b">
        <v>1</v>
      </c>
      <c r="Y257" s="18">
        <v>9</v>
      </c>
      <c r="Z257" s="18">
        <v>497</v>
      </c>
      <c r="AA257" s="18">
        <v>0</v>
      </c>
      <c r="AB257" s="18">
        <v>0</v>
      </c>
      <c r="AC257" s="18">
        <v>123</v>
      </c>
      <c r="AD257" s="18">
        <v>0</v>
      </c>
      <c r="AE257" s="18">
        <v>629</v>
      </c>
      <c r="AF257" s="4">
        <v>70</v>
      </c>
      <c r="AG257" s="5">
        <v>0.10014306151645208</v>
      </c>
      <c r="AH257" s="18">
        <f t="shared" si="3"/>
        <v>-11</v>
      </c>
      <c r="AI257" s="6">
        <v>0.22828216851730895</v>
      </c>
      <c r="AJ257" s="3">
        <v>0.22800000000000001</v>
      </c>
      <c r="AK257" s="6">
        <v>0.56735748876537728</v>
      </c>
      <c r="AL257" s="25">
        <v>0.56699999999999995</v>
      </c>
      <c r="AM257" s="6">
        <v>0.2400412087912088</v>
      </c>
      <c r="AN257" s="3">
        <v>0.24</v>
      </c>
      <c r="AO257" s="6">
        <v>0.59984219318532217</v>
      </c>
      <c r="AP257" s="6">
        <v>0.21772239529248874</v>
      </c>
      <c r="AQ257" s="6">
        <v>0.218</v>
      </c>
      <c r="AR257" s="6">
        <v>0.5892806999702348</v>
      </c>
      <c r="AS257" s="6">
        <v>0.58899999999999997</v>
      </c>
      <c r="AT257" s="6">
        <v>1.0559773224820213E-2</v>
      </c>
      <c r="AU257" s="6">
        <v>-2.1923211204857518E-2</v>
      </c>
      <c r="AV257" s="6">
        <v>2.2318813498720058E-2</v>
      </c>
      <c r="AW257" s="6">
        <v>1.056149321508737E-2</v>
      </c>
      <c r="AX257" s="7">
        <v>93</v>
      </c>
      <c r="AY257" s="7">
        <v>58</v>
      </c>
      <c r="AZ257" s="7">
        <v>65</v>
      </c>
      <c r="BA257" s="26">
        <v>-28</v>
      </c>
      <c r="BB257" s="26">
        <v>7</v>
      </c>
      <c r="BC257" s="6">
        <v>0.20542129327237099</v>
      </c>
      <c r="BD257" s="6">
        <v>0.20499999999999999</v>
      </c>
      <c r="BE257" s="11">
        <v>0.55972820393696165</v>
      </c>
      <c r="BF257" s="7">
        <v>100</v>
      </c>
      <c r="BG257" s="26">
        <v>-35</v>
      </c>
      <c r="BH257" s="7">
        <v>7</v>
      </c>
    </row>
    <row r="258" spans="2:60" x14ac:dyDescent="0.25">
      <c r="B258" s="3">
        <v>255</v>
      </c>
      <c r="C258" s="3" t="s">
        <v>518</v>
      </c>
      <c r="D258" s="3" t="s">
        <v>519</v>
      </c>
      <c r="E258" s="3" t="s">
        <v>482</v>
      </c>
      <c r="F258" s="3">
        <v>10403</v>
      </c>
      <c r="G258" s="3">
        <v>10</v>
      </c>
      <c r="H258" s="3">
        <v>0.48399999999999999</v>
      </c>
      <c r="I258" s="4">
        <v>9480</v>
      </c>
      <c r="J258" s="4">
        <v>9586</v>
      </c>
      <c r="K258" s="4">
        <v>9579</v>
      </c>
      <c r="L258" s="4">
        <v>-106</v>
      </c>
      <c r="M258" s="4">
        <v>518</v>
      </c>
      <c r="N258" s="18">
        <v>8</v>
      </c>
      <c r="O258" s="18">
        <v>319</v>
      </c>
      <c r="P258" s="18">
        <v>0</v>
      </c>
      <c r="Q258" s="18">
        <v>0</v>
      </c>
      <c r="R258" s="18">
        <v>191</v>
      </c>
      <c r="S258" s="18">
        <v>0</v>
      </c>
      <c r="T258" s="18">
        <v>518</v>
      </c>
      <c r="U258" s="18" t="b">
        <v>1</v>
      </c>
      <c r="V258" s="4">
        <v>515</v>
      </c>
      <c r="W258" s="4">
        <v>515</v>
      </c>
      <c r="X258" s="3" t="b">
        <v>1</v>
      </c>
      <c r="Y258" s="18">
        <v>23</v>
      </c>
      <c r="Z258" s="18">
        <v>340</v>
      </c>
      <c r="AA258" s="18">
        <v>0</v>
      </c>
      <c r="AB258" s="18">
        <v>0</v>
      </c>
      <c r="AC258" s="18">
        <v>152</v>
      </c>
      <c r="AD258" s="18">
        <v>0</v>
      </c>
      <c r="AE258" s="18">
        <v>515</v>
      </c>
      <c r="AF258" s="4">
        <v>3</v>
      </c>
      <c r="AG258" s="5">
        <v>5.7915057915057912E-3</v>
      </c>
      <c r="AH258" s="18">
        <f t="shared" si="3"/>
        <v>-21</v>
      </c>
      <c r="AI258" s="6">
        <v>5.4641350210970462E-2</v>
      </c>
      <c r="AJ258" s="3">
        <v>5.5E-2</v>
      </c>
      <c r="AK258" s="6">
        <v>0.38838701439852952</v>
      </c>
      <c r="AL258" s="25">
        <v>0.38800000000000001</v>
      </c>
      <c r="AM258" s="6">
        <v>5.4037137492176091E-2</v>
      </c>
      <c r="AN258" s="3">
        <v>5.3999999999999999E-2</v>
      </c>
      <c r="AO258" s="6">
        <v>0.38854156688286595</v>
      </c>
      <c r="AP258" s="6">
        <v>5.3763440860215055E-2</v>
      </c>
      <c r="AQ258" s="6">
        <v>5.3999999999999999E-2</v>
      </c>
      <c r="AR258" s="6">
        <v>0.39902442690763118</v>
      </c>
      <c r="AS258" s="6">
        <v>0.39900000000000002</v>
      </c>
      <c r="AT258" s="6">
        <v>8.7790935075540699E-4</v>
      </c>
      <c r="AU258" s="6">
        <v>-1.0637412509101662E-2</v>
      </c>
      <c r="AV258" s="6">
        <v>2.7369663196103594E-4</v>
      </c>
      <c r="AW258" s="6">
        <v>-1.0482860024765228E-2</v>
      </c>
      <c r="AX258" s="7">
        <v>299</v>
      </c>
      <c r="AY258" s="7">
        <v>297</v>
      </c>
      <c r="AZ258" s="7">
        <v>281</v>
      </c>
      <c r="BA258" s="26">
        <v>-18</v>
      </c>
      <c r="BB258" s="26">
        <v>-16</v>
      </c>
      <c r="BC258" s="6">
        <v>5.4324894514767935E-2</v>
      </c>
      <c r="BD258" s="6">
        <v>5.3999999999999999E-2</v>
      </c>
      <c r="BE258" s="11">
        <v>0.39740923646139348</v>
      </c>
      <c r="BF258" s="26">
        <v>281</v>
      </c>
      <c r="BG258" s="26">
        <v>0</v>
      </c>
      <c r="BH258" s="7">
        <v>-18</v>
      </c>
    </row>
    <row r="259" spans="2:60" x14ac:dyDescent="0.25">
      <c r="B259" s="3">
        <v>256</v>
      </c>
      <c r="C259" s="3" t="s">
        <v>520</v>
      </c>
      <c r="D259" s="3" t="s">
        <v>521</v>
      </c>
      <c r="E259" s="3" t="s">
        <v>482</v>
      </c>
      <c r="F259" s="3">
        <v>10107</v>
      </c>
      <c r="G259" s="3">
        <v>10</v>
      </c>
      <c r="H259" s="3">
        <v>0.48</v>
      </c>
      <c r="I259" s="4">
        <v>18088</v>
      </c>
      <c r="J259" s="4">
        <v>18863</v>
      </c>
      <c r="K259" s="4">
        <v>18811</v>
      </c>
      <c r="L259" s="4">
        <v>-775</v>
      </c>
      <c r="M259" s="4">
        <v>3628</v>
      </c>
      <c r="N259" s="18">
        <v>6</v>
      </c>
      <c r="O259" s="18">
        <v>3364</v>
      </c>
      <c r="P259" s="18">
        <v>31</v>
      </c>
      <c r="Q259" s="18">
        <v>0</v>
      </c>
      <c r="R259" s="18">
        <v>227</v>
      </c>
      <c r="S259" s="18">
        <v>0</v>
      </c>
      <c r="T259" s="18">
        <v>3628</v>
      </c>
      <c r="U259" s="18" t="b">
        <v>1</v>
      </c>
      <c r="V259" s="4">
        <v>3417</v>
      </c>
      <c r="W259" s="4">
        <v>3417</v>
      </c>
      <c r="X259" s="3" t="b">
        <v>1</v>
      </c>
      <c r="Y259" s="18">
        <v>15</v>
      </c>
      <c r="Z259" s="18">
        <v>3250</v>
      </c>
      <c r="AA259" s="18">
        <v>3</v>
      </c>
      <c r="AB259" s="18">
        <v>0</v>
      </c>
      <c r="AC259" s="18">
        <v>149</v>
      </c>
      <c r="AD259" s="18">
        <v>0</v>
      </c>
      <c r="AE259" s="18">
        <v>3417</v>
      </c>
      <c r="AF259" s="4">
        <v>211</v>
      </c>
      <c r="AG259" s="5">
        <v>5.8158765159867697E-2</v>
      </c>
      <c r="AH259" s="18">
        <f t="shared" si="3"/>
        <v>114</v>
      </c>
      <c r="AI259" s="6">
        <v>0.2005749668288368</v>
      </c>
      <c r="AJ259" s="3">
        <v>0.20100000000000001</v>
      </c>
      <c r="AK259" s="6">
        <v>0.5387998542303023</v>
      </c>
      <c r="AL259" s="25">
        <v>0.53900000000000003</v>
      </c>
      <c r="AM259" s="6">
        <v>0.19233419922599798</v>
      </c>
      <c r="AN259" s="3">
        <v>0.192</v>
      </c>
      <c r="AO259" s="6">
        <v>0.54564702998408132</v>
      </c>
      <c r="AP259" s="6">
        <v>0.1816490351390144</v>
      </c>
      <c r="AQ259" s="6">
        <v>0.182</v>
      </c>
      <c r="AR259" s="6">
        <v>0.54751712783454132</v>
      </c>
      <c r="AS259" s="6">
        <v>0.54700000000000004</v>
      </c>
      <c r="AT259" s="6">
        <v>1.8925931689822401E-2</v>
      </c>
      <c r="AU259" s="6">
        <v>-8.7172736042390175E-3</v>
      </c>
      <c r="AV259" s="6">
        <v>1.0685164086983584E-2</v>
      </c>
      <c r="AW259" s="6">
        <v>-1.8700978504599952E-3</v>
      </c>
      <c r="AX259" s="7">
        <v>117</v>
      </c>
      <c r="AY259" s="7">
        <v>114</v>
      </c>
      <c r="AZ259" s="7">
        <v>115</v>
      </c>
      <c r="BA259" s="26">
        <v>-2</v>
      </c>
      <c r="BB259" s="26">
        <v>1</v>
      </c>
      <c r="BC259" s="6">
        <v>0.18890977443609022</v>
      </c>
      <c r="BD259" s="6">
        <v>0.189</v>
      </c>
      <c r="BE259" s="11">
        <v>0.54199030474812582</v>
      </c>
      <c r="BF259" s="7">
        <v>116</v>
      </c>
      <c r="BG259" s="26">
        <v>-1</v>
      </c>
      <c r="BH259" s="7">
        <v>-1</v>
      </c>
    </row>
    <row r="260" spans="2:60" x14ac:dyDescent="0.25">
      <c r="B260" s="3">
        <v>257</v>
      </c>
      <c r="C260" s="3" t="s">
        <v>522</v>
      </c>
      <c r="D260" s="3" t="s">
        <v>523</v>
      </c>
      <c r="E260" s="3" t="s">
        <v>482</v>
      </c>
      <c r="F260" s="3">
        <v>10106</v>
      </c>
      <c r="G260" s="3">
        <v>10</v>
      </c>
      <c r="H260" s="3">
        <v>0.51</v>
      </c>
      <c r="I260" s="4">
        <v>17162</v>
      </c>
      <c r="J260" s="4">
        <v>17832</v>
      </c>
      <c r="K260" s="4">
        <v>17831</v>
      </c>
      <c r="L260" s="4">
        <v>-670</v>
      </c>
      <c r="M260" s="4">
        <v>1193</v>
      </c>
      <c r="N260" s="18">
        <v>0</v>
      </c>
      <c r="O260" s="18">
        <v>972</v>
      </c>
      <c r="P260" s="18">
        <v>0</v>
      </c>
      <c r="Q260" s="18">
        <v>0</v>
      </c>
      <c r="R260" s="18">
        <v>221</v>
      </c>
      <c r="S260" s="18">
        <v>0</v>
      </c>
      <c r="T260" s="18">
        <v>1193</v>
      </c>
      <c r="U260" s="18" t="b">
        <v>1</v>
      </c>
      <c r="V260" s="4">
        <v>997</v>
      </c>
      <c r="W260" s="4">
        <v>997</v>
      </c>
      <c r="X260" s="3" t="b">
        <v>1</v>
      </c>
      <c r="Y260" s="18">
        <v>0</v>
      </c>
      <c r="Z260" s="18">
        <v>868</v>
      </c>
      <c r="AA260" s="18">
        <v>0</v>
      </c>
      <c r="AB260" s="18">
        <v>0</v>
      </c>
      <c r="AC260" s="18">
        <v>129</v>
      </c>
      <c r="AD260" s="18">
        <v>0</v>
      </c>
      <c r="AE260" s="18">
        <v>997</v>
      </c>
      <c r="AF260" s="4">
        <v>196</v>
      </c>
      <c r="AG260" s="5">
        <v>0.16429170159262363</v>
      </c>
      <c r="AH260" s="18">
        <f t="shared" ref="AH260:AH323" si="4">O260-Z260</f>
        <v>104</v>
      </c>
      <c r="AI260" s="6">
        <v>6.9514042652371516E-2</v>
      </c>
      <c r="AJ260" s="3">
        <v>7.0000000000000007E-2</v>
      </c>
      <c r="AK260" s="6">
        <v>0.40371620281927206</v>
      </c>
      <c r="AL260" s="25">
        <v>0.40400000000000003</v>
      </c>
      <c r="AM260" s="6">
        <v>6.6902198295199639E-2</v>
      </c>
      <c r="AN260" s="3">
        <v>6.7000000000000004E-2</v>
      </c>
      <c r="AO260" s="6">
        <v>0.40315627604548304</v>
      </c>
      <c r="AP260" s="6">
        <v>5.5913857887947956E-2</v>
      </c>
      <c r="AQ260" s="6">
        <v>5.6000000000000001E-2</v>
      </c>
      <c r="AR260" s="6">
        <v>0.40134462535961413</v>
      </c>
      <c r="AS260" s="6">
        <v>0.40100000000000002</v>
      </c>
      <c r="AT260" s="6">
        <v>1.360018476442356E-2</v>
      </c>
      <c r="AU260" s="6">
        <v>2.3715774596579364E-3</v>
      </c>
      <c r="AV260" s="6">
        <v>1.0988340407251683E-2</v>
      </c>
      <c r="AW260" s="6">
        <v>1.8116506858689152E-3</v>
      </c>
      <c r="AX260" s="7">
        <v>278</v>
      </c>
      <c r="AY260" s="7">
        <v>279</v>
      </c>
      <c r="AZ260" s="7">
        <v>276</v>
      </c>
      <c r="BA260" s="26">
        <v>-2</v>
      </c>
      <c r="BB260" s="26">
        <v>-3</v>
      </c>
      <c r="BC260" s="6">
        <v>5.8093462300431185E-2</v>
      </c>
      <c r="BD260" s="6">
        <v>5.8000000000000003E-2</v>
      </c>
      <c r="BE260" s="11">
        <v>0.40145771171864886</v>
      </c>
      <c r="BF260" s="26">
        <v>273</v>
      </c>
      <c r="BG260" s="26">
        <v>3</v>
      </c>
      <c r="BH260" s="7">
        <v>-5</v>
      </c>
    </row>
    <row r="261" spans="2:60" x14ac:dyDescent="0.25">
      <c r="B261" s="3">
        <v>258</v>
      </c>
      <c r="C261" s="3" t="s">
        <v>524</v>
      </c>
      <c r="D261" s="3" t="s">
        <v>525</v>
      </c>
      <c r="E261" s="3" t="s">
        <v>482</v>
      </c>
      <c r="F261" s="3">
        <v>10108</v>
      </c>
      <c r="G261" s="3">
        <v>10</v>
      </c>
      <c r="H261" s="3">
        <v>0.47899999999999998</v>
      </c>
      <c r="I261" s="4">
        <v>15063</v>
      </c>
      <c r="J261" s="4">
        <v>14735</v>
      </c>
      <c r="K261" s="4">
        <v>14775</v>
      </c>
      <c r="L261" s="4">
        <v>328</v>
      </c>
      <c r="M261" s="4">
        <v>1085</v>
      </c>
      <c r="N261" s="18">
        <v>4</v>
      </c>
      <c r="O261" s="18">
        <v>969</v>
      </c>
      <c r="P261" s="18">
        <v>0</v>
      </c>
      <c r="Q261" s="18">
        <v>0</v>
      </c>
      <c r="R261" s="18">
        <v>112</v>
      </c>
      <c r="S261" s="18">
        <v>0</v>
      </c>
      <c r="T261" s="18">
        <v>1085</v>
      </c>
      <c r="U261" s="18" t="b">
        <v>1</v>
      </c>
      <c r="V261" s="4">
        <v>936</v>
      </c>
      <c r="W261" s="4">
        <v>936</v>
      </c>
      <c r="X261" s="3" t="b">
        <v>1</v>
      </c>
      <c r="Y261" s="18">
        <v>13</v>
      </c>
      <c r="Z261" s="18">
        <v>844</v>
      </c>
      <c r="AA261" s="18">
        <v>0</v>
      </c>
      <c r="AB261" s="18">
        <v>0</v>
      </c>
      <c r="AC261" s="18">
        <v>79</v>
      </c>
      <c r="AD261" s="18">
        <v>0</v>
      </c>
      <c r="AE261" s="18">
        <v>936</v>
      </c>
      <c r="AF261" s="4">
        <v>149</v>
      </c>
      <c r="AG261" s="5">
        <v>0.13732718894009216</v>
      </c>
      <c r="AH261" s="18">
        <f t="shared" si="4"/>
        <v>125</v>
      </c>
      <c r="AI261" s="6">
        <v>7.2030803956715128E-2</v>
      </c>
      <c r="AJ261" s="3">
        <v>7.1999999999999995E-2</v>
      </c>
      <c r="AK261" s="6">
        <v>0.40631021250489707</v>
      </c>
      <c r="AL261" s="25">
        <v>0.40600000000000003</v>
      </c>
      <c r="AM261" s="6">
        <v>7.3634204275534437E-2</v>
      </c>
      <c r="AN261" s="3">
        <v>7.3999999999999996E-2</v>
      </c>
      <c r="AO261" s="6">
        <v>0.41080383488643846</v>
      </c>
      <c r="AP261" s="6">
        <v>6.3350253807106599E-2</v>
      </c>
      <c r="AQ261" s="6">
        <v>6.3E-2</v>
      </c>
      <c r="AR261" s="6">
        <v>0.40946531994155455</v>
      </c>
      <c r="AS261" s="6">
        <v>0.41</v>
      </c>
      <c r="AT261" s="6">
        <v>8.6805501496085291E-3</v>
      </c>
      <c r="AU261" s="6">
        <v>-3.1551074366574783E-3</v>
      </c>
      <c r="AV261" s="6">
        <v>1.0283950468427838E-2</v>
      </c>
      <c r="AW261" s="6">
        <v>1.3385149448839062E-3</v>
      </c>
      <c r="AX261" s="7">
        <v>272</v>
      </c>
      <c r="AY261" s="7">
        <v>267</v>
      </c>
      <c r="AZ261" s="7">
        <v>265</v>
      </c>
      <c r="BA261" s="26">
        <v>-7</v>
      </c>
      <c r="BB261" s="26">
        <v>-2</v>
      </c>
      <c r="BC261" s="6">
        <v>6.2139016132244575E-2</v>
      </c>
      <c r="BD261" s="6">
        <v>6.2E-2</v>
      </c>
      <c r="BE261" s="11">
        <v>0.4058037459474344</v>
      </c>
      <c r="BF261" s="7">
        <v>270</v>
      </c>
      <c r="BG261" s="26">
        <v>-5</v>
      </c>
      <c r="BH261" s="7">
        <v>-2</v>
      </c>
    </row>
    <row r="262" spans="2:60" x14ac:dyDescent="0.25">
      <c r="B262" s="3">
        <v>259</v>
      </c>
      <c r="C262" s="3" t="s">
        <v>526</v>
      </c>
      <c r="D262" s="3" t="s">
        <v>527</v>
      </c>
      <c r="E262" s="3" t="s">
        <v>482</v>
      </c>
      <c r="F262" s="3">
        <v>10301</v>
      </c>
      <c r="G262" s="3">
        <v>10</v>
      </c>
      <c r="H262" s="3">
        <v>0.59899999999999998</v>
      </c>
      <c r="I262" s="4">
        <v>166455</v>
      </c>
      <c r="J262" s="4">
        <v>176304</v>
      </c>
      <c r="K262" s="4">
        <v>175670</v>
      </c>
      <c r="L262" s="4">
        <v>-9849</v>
      </c>
      <c r="M262" s="4">
        <v>43939</v>
      </c>
      <c r="N262" s="18">
        <v>38</v>
      </c>
      <c r="O262" s="18">
        <v>32572</v>
      </c>
      <c r="P262" s="18">
        <v>10158</v>
      </c>
      <c r="Q262" s="18">
        <v>0</v>
      </c>
      <c r="R262" s="18">
        <v>1140</v>
      </c>
      <c r="S262" s="18">
        <v>31</v>
      </c>
      <c r="T262" s="18">
        <v>43939</v>
      </c>
      <c r="U262" s="18" t="b">
        <v>1</v>
      </c>
      <c r="V262" s="4">
        <v>43169</v>
      </c>
      <c r="W262" s="4">
        <v>43169</v>
      </c>
      <c r="X262" s="3" t="b">
        <v>1</v>
      </c>
      <c r="Y262" s="18">
        <v>141</v>
      </c>
      <c r="Z262" s="18">
        <v>31367</v>
      </c>
      <c r="AA262" s="18">
        <v>10727</v>
      </c>
      <c r="AB262" s="18">
        <v>0</v>
      </c>
      <c r="AC262" s="18">
        <v>903</v>
      </c>
      <c r="AD262" s="18">
        <v>31</v>
      </c>
      <c r="AE262" s="18">
        <v>43169</v>
      </c>
      <c r="AF262" s="4">
        <v>770</v>
      </c>
      <c r="AG262" s="5">
        <v>1.7524295045403857E-2</v>
      </c>
      <c r="AH262" s="18">
        <f t="shared" si="4"/>
        <v>1205</v>
      </c>
      <c r="AI262" s="6">
        <v>0.26396924093598872</v>
      </c>
      <c r="AJ262" s="3">
        <v>0.26400000000000001</v>
      </c>
      <c r="AK262" s="6">
        <v>0.60413992472618516</v>
      </c>
      <c r="AL262" s="25">
        <v>0.60399999999999998</v>
      </c>
      <c r="AM262" s="6">
        <v>0.24922293311552773</v>
      </c>
      <c r="AN262" s="3">
        <v>0.249</v>
      </c>
      <c r="AO262" s="6">
        <v>0.61027263208225391</v>
      </c>
      <c r="AP262" s="6">
        <v>0.2457391700347242</v>
      </c>
      <c r="AQ262" s="6">
        <v>0.246</v>
      </c>
      <c r="AR262" s="6">
        <v>0.62176347829799639</v>
      </c>
      <c r="AS262" s="6">
        <v>0.621</v>
      </c>
      <c r="AT262" s="6">
        <v>1.8230070901264522E-2</v>
      </c>
      <c r="AU262" s="6">
        <v>-1.7623553571811224E-2</v>
      </c>
      <c r="AV262" s="6">
        <v>3.4837630808035314E-3</v>
      </c>
      <c r="AW262" s="6">
        <v>-1.1490846215742478E-2</v>
      </c>
      <c r="AX262" s="7">
        <v>53</v>
      </c>
      <c r="AY262" s="7">
        <v>51</v>
      </c>
      <c r="AZ262" s="7">
        <v>43</v>
      </c>
      <c r="BA262" s="26">
        <v>-10</v>
      </c>
      <c r="BB262" s="26">
        <v>-8</v>
      </c>
      <c r="BC262" s="6">
        <v>0.25934336607491515</v>
      </c>
      <c r="BD262" s="6">
        <v>0.25900000000000001</v>
      </c>
      <c r="BE262" s="11">
        <v>0.61765529719278922</v>
      </c>
      <c r="BF262" s="26">
        <v>47</v>
      </c>
      <c r="BG262" s="26">
        <v>-4</v>
      </c>
      <c r="BH262" s="7">
        <v>-6</v>
      </c>
    </row>
    <row r="263" spans="2:60" x14ac:dyDescent="0.25">
      <c r="B263" s="3">
        <v>260</v>
      </c>
      <c r="C263" s="3" t="s">
        <v>528</v>
      </c>
      <c r="D263" s="3" t="s">
        <v>529</v>
      </c>
      <c r="E263" s="3" t="s">
        <v>482</v>
      </c>
      <c r="F263" s="3">
        <v>10404</v>
      </c>
      <c r="G263" s="3">
        <v>10</v>
      </c>
      <c r="H263" s="3"/>
      <c r="I263" s="4">
        <v>1903</v>
      </c>
      <c r="J263" s="4">
        <v>1826</v>
      </c>
      <c r="K263" s="4">
        <v>1824</v>
      </c>
      <c r="L263" s="4">
        <v>77</v>
      </c>
      <c r="M263" s="4">
        <v>369</v>
      </c>
      <c r="N263" s="18">
        <v>10</v>
      </c>
      <c r="O263" s="18">
        <v>241</v>
      </c>
      <c r="P263" s="18">
        <v>0</v>
      </c>
      <c r="Q263" s="18">
        <v>0</v>
      </c>
      <c r="R263" s="18">
        <v>118</v>
      </c>
      <c r="S263" s="18">
        <v>0</v>
      </c>
      <c r="T263" s="18">
        <v>369</v>
      </c>
      <c r="U263" s="18" t="b">
        <v>1</v>
      </c>
      <c r="V263" s="4">
        <v>330</v>
      </c>
      <c r="W263" s="4">
        <v>330</v>
      </c>
      <c r="X263" s="3" t="b">
        <v>1</v>
      </c>
      <c r="Y263" s="18">
        <v>18</v>
      </c>
      <c r="Z263" s="18">
        <v>234</v>
      </c>
      <c r="AA263" s="18">
        <v>0</v>
      </c>
      <c r="AB263" s="18">
        <v>0</v>
      </c>
      <c r="AC263" s="18">
        <v>78</v>
      </c>
      <c r="AD263" s="18">
        <v>0</v>
      </c>
      <c r="AE263" s="18">
        <v>330</v>
      </c>
      <c r="AF263" s="4">
        <v>39</v>
      </c>
      <c r="AG263" s="5">
        <v>0.10569105691056911</v>
      </c>
      <c r="AH263" s="18">
        <f t="shared" si="4"/>
        <v>7</v>
      </c>
      <c r="AI263" s="6">
        <v>0.19390436153441934</v>
      </c>
      <c r="AJ263" s="3">
        <v>0.19400000000000001</v>
      </c>
      <c r="AK263" s="6">
        <v>0.53192450426650684</v>
      </c>
      <c r="AL263" s="25">
        <v>0.53200000000000003</v>
      </c>
      <c r="AM263" s="6">
        <v>0.20208105147864183</v>
      </c>
      <c r="AN263" s="3">
        <v>0.20200000000000001</v>
      </c>
      <c r="AO263" s="6">
        <v>0.55671945421156033</v>
      </c>
      <c r="AP263" s="6">
        <v>0.18092105263157895</v>
      </c>
      <c r="AQ263" s="6">
        <v>0.18099999999999999</v>
      </c>
      <c r="AR263" s="6">
        <v>0.54635702860854984</v>
      </c>
      <c r="AS263" s="6">
        <v>0.54600000000000004</v>
      </c>
      <c r="AT263" s="6">
        <v>1.2983308902840385E-2</v>
      </c>
      <c r="AU263" s="6">
        <v>-1.4432524342043007E-2</v>
      </c>
      <c r="AV263" s="6">
        <v>2.1159998847062877E-2</v>
      </c>
      <c r="AW263" s="6">
        <v>1.0362425603010483E-2</v>
      </c>
      <c r="AX263" s="7">
        <v>123</v>
      </c>
      <c r="AY263" s="7">
        <v>105</v>
      </c>
      <c r="AZ263" s="7">
        <v>117</v>
      </c>
      <c r="BA263" s="26">
        <v>-6</v>
      </c>
      <c r="BB263" s="26">
        <v>12</v>
      </c>
      <c r="BC263" s="6">
        <v>0.17341040462427745</v>
      </c>
      <c r="BD263" s="6">
        <v>0.17299999999999999</v>
      </c>
      <c r="BE263" s="11">
        <v>0.52533973117349364</v>
      </c>
      <c r="BF263" s="7">
        <v>132</v>
      </c>
      <c r="BG263" s="26">
        <v>-15</v>
      </c>
      <c r="BH263" s="7">
        <v>9</v>
      </c>
    </row>
    <row r="264" spans="2:60" x14ac:dyDescent="0.25">
      <c r="B264" s="3">
        <v>261</v>
      </c>
      <c r="C264" s="3" t="s">
        <v>530</v>
      </c>
      <c r="D264" s="3" t="s">
        <v>531</v>
      </c>
      <c r="E264" s="3" t="s">
        <v>482</v>
      </c>
      <c r="F264" s="3">
        <v>10101</v>
      </c>
      <c r="G264" s="3">
        <v>10</v>
      </c>
      <c r="H264" s="3">
        <v>0.59399999999999997</v>
      </c>
      <c r="I264" s="4">
        <v>277040</v>
      </c>
      <c r="J264" s="4">
        <v>280955</v>
      </c>
      <c r="K264" s="4">
        <v>278255</v>
      </c>
      <c r="L264" s="4">
        <v>-3915</v>
      </c>
      <c r="M264" s="4">
        <v>65895</v>
      </c>
      <c r="N264" s="18">
        <v>134</v>
      </c>
      <c r="O264" s="18">
        <v>49772</v>
      </c>
      <c r="P264" s="18">
        <v>13202</v>
      </c>
      <c r="Q264" s="18">
        <v>0</v>
      </c>
      <c r="R264" s="18">
        <v>2775</v>
      </c>
      <c r="S264" s="18">
        <v>12</v>
      </c>
      <c r="T264" s="18">
        <v>65895</v>
      </c>
      <c r="U264" s="18" t="b">
        <v>1</v>
      </c>
      <c r="V264" s="4">
        <v>63992</v>
      </c>
      <c r="W264" s="4">
        <v>63992</v>
      </c>
      <c r="X264" s="3" t="b">
        <v>1</v>
      </c>
      <c r="Y264" s="18">
        <v>304</v>
      </c>
      <c r="Z264" s="18">
        <v>46970</v>
      </c>
      <c r="AA264" s="18">
        <v>14207</v>
      </c>
      <c r="AB264" s="18">
        <v>1</v>
      </c>
      <c r="AC264" s="18">
        <v>2498</v>
      </c>
      <c r="AD264" s="18">
        <v>12</v>
      </c>
      <c r="AE264" s="18">
        <v>63992</v>
      </c>
      <c r="AF264" s="4">
        <v>1903</v>
      </c>
      <c r="AG264" s="5">
        <v>2.8879277638667575E-2</v>
      </c>
      <c r="AH264" s="18">
        <f t="shared" si="4"/>
        <v>2802</v>
      </c>
      <c r="AI264" s="6">
        <v>0.23785373953219752</v>
      </c>
      <c r="AJ264" s="3">
        <v>0.23799999999999999</v>
      </c>
      <c r="AK264" s="6">
        <v>0.57722284543484681</v>
      </c>
      <c r="AL264" s="25">
        <v>0.57699999999999996</v>
      </c>
      <c r="AM264" s="6">
        <v>0.2345393390400598</v>
      </c>
      <c r="AN264" s="3">
        <v>0.23499999999999999</v>
      </c>
      <c r="AO264" s="6">
        <v>0.59359206910936402</v>
      </c>
      <c r="AP264" s="6">
        <v>0.2299761010583817</v>
      </c>
      <c r="AQ264" s="6">
        <v>0.23</v>
      </c>
      <c r="AR264" s="6">
        <v>0.60320189068213259</v>
      </c>
      <c r="AS264" s="6">
        <v>0.60299999999999998</v>
      </c>
      <c r="AT264" s="6">
        <v>7.8776384738158123E-3</v>
      </c>
      <c r="AU264" s="6">
        <v>-2.5979045247285781E-2</v>
      </c>
      <c r="AV264" s="6">
        <v>4.5632379816780977E-3</v>
      </c>
      <c r="AW264" s="6">
        <v>-9.6098215727685732E-3</v>
      </c>
      <c r="AX264" s="7">
        <v>82</v>
      </c>
      <c r="AY264" s="7">
        <v>65</v>
      </c>
      <c r="AZ264" s="7">
        <v>58</v>
      </c>
      <c r="BA264" s="26">
        <v>-24</v>
      </c>
      <c r="BB264" s="26">
        <v>-7</v>
      </c>
      <c r="BC264" s="6">
        <v>0.23098469535085187</v>
      </c>
      <c r="BD264" s="6">
        <v>0.23100000000000001</v>
      </c>
      <c r="BE264" s="11">
        <v>0.5871903080285259</v>
      </c>
      <c r="BF264" s="26">
        <v>75</v>
      </c>
      <c r="BG264" s="26">
        <v>-17</v>
      </c>
      <c r="BH264" s="7">
        <v>-7</v>
      </c>
    </row>
    <row r="265" spans="2:60" x14ac:dyDescent="0.25">
      <c r="B265" s="3">
        <v>262</v>
      </c>
      <c r="C265" s="3" t="s">
        <v>532</v>
      </c>
      <c r="D265" s="3" t="s">
        <v>533</v>
      </c>
      <c r="E265" s="3" t="s">
        <v>482</v>
      </c>
      <c r="F265" s="3">
        <v>10302</v>
      </c>
      <c r="G265" s="3">
        <v>10</v>
      </c>
      <c r="H265" s="3">
        <v>0.39100000000000001</v>
      </c>
      <c r="I265" s="4">
        <v>8865</v>
      </c>
      <c r="J265" s="4">
        <v>9056</v>
      </c>
      <c r="K265" s="4">
        <v>9089</v>
      </c>
      <c r="L265" s="4">
        <v>-191</v>
      </c>
      <c r="M265" s="4">
        <v>729</v>
      </c>
      <c r="N265" s="18">
        <v>2</v>
      </c>
      <c r="O265" s="18">
        <v>386</v>
      </c>
      <c r="P265" s="18">
        <v>0</v>
      </c>
      <c r="Q265" s="18">
        <v>0</v>
      </c>
      <c r="R265" s="18">
        <v>341</v>
      </c>
      <c r="S265" s="18">
        <v>0</v>
      </c>
      <c r="T265" s="18">
        <v>729</v>
      </c>
      <c r="U265" s="18" t="b">
        <v>1</v>
      </c>
      <c r="V265" s="4">
        <v>570</v>
      </c>
      <c r="W265" s="4">
        <v>570</v>
      </c>
      <c r="X265" s="3" t="b">
        <v>1</v>
      </c>
      <c r="Y265" s="18">
        <v>7</v>
      </c>
      <c r="Z265" s="18">
        <v>339</v>
      </c>
      <c r="AA265" s="18">
        <v>0</v>
      </c>
      <c r="AB265" s="18">
        <v>0</v>
      </c>
      <c r="AC265" s="18">
        <v>224</v>
      </c>
      <c r="AD265" s="18">
        <v>0</v>
      </c>
      <c r="AE265" s="18">
        <v>570</v>
      </c>
      <c r="AF265" s="4">
        <v>159</v>
      </c>
      <c r="AG265" s="5">
        <v>0.21810699588477367</v>
      </c>
      <c r="AH265" s="18">
        <f t="shared" si="4"/>
        <v>47</v>
      </c>
      <c r="AI265" s="6">
        <v>8.223350253807106E-2</v>
      </c>
      <c r="AJ265" s="3">
        <v>8.2000000000000003E-2</v>
      </c>
      <c r="AK265" s="6">
        <v>0.41682606829697144</v>
      </c>
      <c r="AL265" s="25">
        <v>0.41699999999999998</v>
      </c>
      <c r="AM265" s="6">
        <v>8.0499116607773855E-2</v>
      </c>
      <c r="AN265" s="3">
        <v>0.08</v>
      </c>
      <c r="AO265" s="6">
        <v>0.41860237534409128</v>
      </c>
      <c r="AP265" s="6">
        <v>6.2713169765650792E-2</v>
      </c>
      <c r="AQ265" s="6">
        <v>6.3E-2</v>
      </c>
      <c r="AR265" s="6">
        <v>0.40946531994155455</v>
      </c>
      <c r="AS265" s="6">
        <v>0.40899999999999997</v>
      </c>
      <c r="AT265" s="6">
        <v>1.9520332772420268E-2</v>
      </c>
      <c r="AU265" s="6">
        <v>7.3607483554168907E-3</v>
      </c>
      <c r="AV265" s="6">
        <v>1.7785946842123063E-2</v>
      </c>
      <c r="AW265" s="6">
        <v>9.1370554025367312E-3</v>
      </c>
      <c r="AX265" s="7">
        <v>258</v>
      </c>
      <c r="AY265" s="7">
        <v>255</v>
      </c>
      <c r="AZ265" s="7">
        <v>267</v>
      </c>
      <c r="BA265" s="26">
        <v>9</v>
      </c>
      <c r="BB265" s="26">
        <v>12</v>
      </c>
      <c r="BC265" s="6">
        <v>6.4297800338409469E-2</v>
      </c>
      <c r="BD265" s="6">
        <v>6.4000000000000001E-2</v>
      </c>
      <c r="BE265" s="11">
        <v>0.40812287218888377</v>
      </c>
      <c r="BF265" s="7">
        <v>263</v>
      </c>
      <c r="BG265" s="26">
        <v>4</v>
      </c>
      <c r="BH265" s="7">
        <v>5</v>
      </c>
    </row>
    <row r="266" spans="2:60" x14ac:dyDescent="0.25">
      <c r="B266" s="3">
        <v>263</v>
      </c>
      <c r="C266" s="3" t="s">
        <v>534</v>
      </c>
      <c r="D266" s="3" t="s">
        <v>535</v>
      </c>
      <c r="E266" s="3" t="s">
        <v>482</v>
      </c>
      <c r="F266" s="3">
        <v>10109</v>
      </c>
      <c r="G266" s="3">
        <v>10</v>
      </c>
      <c r="H266" s="3">
        <v>0.58299999999999996</v>
      </c>
      <c r="I266" s="4">
        <v>52942</v>
      </c>
      <c r="J266" s="4">
        <v>51316</v>
      </c>
      <c r="K266" s="4">
        <v>50669</v>
      </c>
      <c r="L266" s="4">
        <v>1626</v>
      </c>
      <c r="M266" s="4">
        <v>13373</v>
      </c>
      <c r="N266" s="18">
        <v>25</v>
      </c>
      <c r="O266" s="18">
        <v>10003</v>
      </c>
      <c r="P266" s="18">
        <v>2408</v>
      </c>
      <c r="Q266" s="18">
        <v>0</v>
      </c>
      <c r="R266" s="18">
        <v>935</v>
      </c>
      <c r="S266" s="18">
        <v>2</v>
      </c>
      <c r="T266" s="18">
        <v>13373</v>
      </c>
      <c r="U266" s="18" t="b">
        <v>1</v>
      </c>
      <c r="V266" s="4">
        <v>12857</v>
      </c>
      <c r="W266" s="4">
        <v>12857</v>
      </c>
      <c r="X266" s="3" t="b">
        <v>1</v>
      </c>
      <c r="Y266" s="18">
        <v>45</v>
      </c>
      <c r="Z266" s="18">
        <v>9691</v>
      </c>
      <c r="AA266" s="18">
        <v>2471</v>
      </c>
      <c r="AB266" s="18">
        <v>0</v>
      </c>
      <c r="AC266" s="18">
        <v>648</v>
      </c>
      <c r="AD266" s="18">
        <v>2</v>
      </c>
      <c r="AE266" s="18">
        <v>12857</v>
      </c>
      <c r="AF266" s="4">
        <v>516</v>
      </c>
      <c r="AG266" s="5">
        <v>3.8585209003215437E-2</v>
      </c>
      <c r="AH266" s="18">
        <f t="shared" si="4"/>
        <v>312</v>
      </c>
      <c r="AI266" s="6">
        <v>0.25259718182161611</v>
      </c>
      <c r="AJ266" s="3">
        <v>0.253</v>
      </c>
      <c r="AK266" s="6">
        <v>0.59241881655542961</v>
      </c>
      <c r="AL266" s="25">
        <v>0.59199999999999997</v>
      </c>
      <c r="AM266" s="6">
        <v>0.26060098214981681</v>
      </c>
      <c r="AN266" s="3">
        <v>0.26100000000000001</v>
      </c>
      <c r="AO266" s="6">
        <v>0.62319809586514174</v>
      </c>
      <c r="AP266" s="6">
        <v>0.25374489332728101</v>
      </c>
      <c r="AQ266" s="6">
        <v>0.254</v>
      </c>
      <c r="AR266" s="6">
        <v>0.63104427210592828</v>
      </c>
      <c r="AS266" s="6">
        <v>0.63100000000000001</v>
      </c>
      <c r="AT266" s="6">
        <v>-1.1477115056648945E-3</v>
      </c>
      <c r="AU266" s="6">
        <v>-3.8625455550498677E-2</v>
      </c>
      <c r="AV266" s="6">
        <v>6.8560888225357997E-3</v>
      </c>
      <c r="AW266" s="6">
        <v>-7.8461762407865399E-3</v>
      </c>
      <c r="AX266" s="7">
        <v>64</v>
      </c>
      <c r="AY266" s="7">
        <v>39</v>
      </c>
      <c r="AZ266" s="7">
        <v>35</v>
      </c>
      <c r="BA266" s="26">
        <v>-29</v>
      </c>
      <c r="BB266" s="26">
        <v>-4</v>
      </c>
      <c r="BC266" s="6">
        <v>0.24285066676740585</v>
      </c>
      <c r="BD266" s="6">
        <v>0.24299999999999999</v>
      </c>
      <c r="BE266" s="11">
        <v>0.59993761533873891</v>
      </c>
      <c r="BF266" s="26">
        <v>64</v>
      </c>
      <c r="BG266" s="26">
        <v>-29</v>
      </c>
      <c r="BH266" s="7">
        <v>0</v>
      </c>
    </row>
    <row r="267" spans="2:60" x14ac:dyDescent="0.25">
      <c r="B267" s="3">
        <v>264</v>
      </c>
      <c r="C267" s="3" t="s">
        <v>536</v>
      </c>
      <c r="D267" s="3" t="s">
        <v>537</v>
      </c>
      <c r="E267" s="3" t="s">
        <v>482</v>
      </c>
      <c r="F267" s="3">
        <v>10206</v>
      </c>
      <c r="G267" s="3">
        <v>10</v>
      </c>
      <c r="H267" s="3"/>
      <c r="I267" s="4">
        <v>4048</v>
      </c>
      <c r="J267" s="4">
        <v>4188</v>
      </c>
      <c r="K267" s="4">
        <v>4191</v>
      </c>
      <c r="L267" s="4">
        <v>-140</v>
      </c>
      <c r="M267" s="4">
        <v>134</v>
      </c>
      <c r="N267" s="18">
        <v>1</v>
      </c>
      <c r="O267" s="18">
        <v>106</v>
      </c>
      <c r="P267" s="18">
        <v>0</v>
      </c>
      <c r="Q267" s="18">
        <v>0</v>
      </c>
      <c r="R267" s="18">
        <v>27</v>
      </c>
      <c r="S267" s="18">
        <v>0</v>
      </c>
      <c r="T267" s="18">
        <v>134</v>
      </c>
      <c r="U267" s="18" t="b">
        <v>1</v>
      </c>
      <c r="V267" s="4">
        <v>137</v>
      </c>
      <c r="W267" s="4">
        <v>137</v>
      </c>
      <c r="X267" s="3" t="b">
        <v>1</v>
      </c>
      <c r="Y267" s="18">
        <v>11</v>
      </c>
      <c r="Z267" s="18">
        <v>100</v>
      </c>
      <c r="AA267" s="18">
        <v>0</v>
      </c>
      <c r="AB267" s="18">
        <v>0</v>
      </c>
      <c r="AC267" s="18">
        <v>26</v>
      </c>
      <c r="AD267" s="18">
        <v>0</v>
      </c>
      <c r="AE267" s="18">
        <v>137</v>
      </c>
      <c r="AF267" s="4">
        <v>-3</v>
      </c>
      <c r="AG267" s="5">
        <v>-2.2388059701492536E-2</v>
      </c>
      <c r="AH267" s="18">
        <f t="shared" si="4"/>
        <v>6</v>
      </c>
      <c r="AI267" s="6">
        <v>3.3102766798418976E-2</v>
      </c>
      <c r="AJ267" s="3">
        <v>3.3000000000000002E-2</v>
      </c>
      <c r="AK267" s="6">
        <v>0.36618733503665485</v>
      </c>
      <c r="AL267" s="25">
        <v>0.36599999999999999</v>
      </c>
      <c r="AM267" s="6">
        <v>3.1996179560649478E-2</v>
      </c>
      <c r="AN267" s="3">
        <v>3.2000000000000001E-2</v>
      </c>
      <c r="AO267" s="6">
        <v>0.36350303851780491</v>
      </c>
      <c r="AP267" s="6">
        <v>3.2689095681221664E-2</v>
      </c>
      <c r="AQ267" s="6">
        <v>3.3000000000000002E-2</v>
      </c>
      <c r="AR267" s="6">
        <v>0.37466234316181002</v>
      </c>
      <c r="AS267" s="6">
        <v>0.375</v>
      </c>
      <c r="AT267" s="6">
        <v>4.1367111719731176E-4</v>
      </c>
      <c r="AU267" s="6">
        <v>-8.4750081251551701E-3</v>
      </c>
      <c r="AV267" s="6">
        <v>-6.9291612057218593E-4</v>
      </c>
      <c r="AW267" s="6">
        <v>-1.1159304644005108E-2</v>
      </c>
      <c r="AX267" s="7">
        <v>322</v>
      </c>
      <c r="AY267" s="7">
        <v>321</v>
      </c>
      <c r="AZ267" s="7">
        <v>313</v>
      </c>
      <c r="BA267" s="26">
        <v>-9</v>
      </c>
      <c r="BB267" s="26">
        <v>-8</v>
      </c>
      <c r="BC267" s="6">
        <v>3.384387351778656E-2</v>
      </c>
      <c r="BD267" s="6">
        <v>3.4000000000000002E-2</v>
      </c>
      <c r="BE267" s="11">
        <v>0.37540700339421945</v>
      </c>
      <c r="BF267" s="7">
        <v>315</v>
      </c>
      <c r="BG267" s="26">
        <v>-2</v>
      </c>
      <c r="BH267" s="7">
        <v>-7</v>
      </c>
    </row>
    <row r="268" spans="2:60" x14ac:dyDescent="0.25">
      <c r="B268" s="3">
        <v>265</v>
      </c>
      <c r="C268" s="3" t="s">
        <v>538</v>
      </c>
      <c r="D268" s="3" t="s">
        <v>539</v>
      </c>
      <c r="E268" s="3" t="s">
        <v>482</v>
      </c>
      <c r="F268" s="3">
        <v>10303</v>
      </c>
      <c r="G268" s="3">
        <v>10</v>
      </c>
      <c r="H268" s="3">
        <v>0.53600000000000003</v>
      </c>
      <c r="I268" s="4">
        <v>19542</v>
      </c>
      <c r="J268" s="4">
        <v>20968</v>
      </c>
      <c r="K268" s="4">
        <v>20998</v>
      </c>
      <c r="L268" s="4">
        <v>-1426</v>
      </c>
      <c r="M268" s="4">
        <v>3126</v>
      </c>
      <c r="N268" s="18">
        <v>6</v>
      </c>
      <c r="O268" s="18">
        <v>2893</v>
      </c>
      <c r="P268" s="18">
        <v>0</v>
      </c>
      <c r="Q268" s="18">
        <v>0</v>
      </c>
      <c r="R268" s="18">
        <v>227</v>
      </c>
      <c r="S268" s="18">
        <v>0</v>
      </c>
      <c r="T268" s="18">
        <v>3126</v>
      </c>
      <c r="U268" s="18" t="b">
        <v>1</v>
      </c>
      <c r="V268" s="4">
        <v>2968</v>
      </c>
      <c r="W268" s="4">
        <v>2968</v>
      </c>
      <c r="X268" s="3" t="b">
        <v>1</v>
      </c>
      <c r="Y268" s="18">
        <v>11</v>
      </c>
      <c r="Z268" s="18">
        <v>2828</v>
      </c>
      <c r="AA268" s="18">
        <v>0</v>
      </c>
      <c r="AB268" s="18">
        <v>0</v>
      </c>
      <c r="AC268" s="18">
        <v>129</v>
      </c>
      <c r="AD268" s="18">
        <v>0</v>
      </c>
      <c r="AE268" s="18">
        <v>2968</v>
      </c>
      <c r="AF268" s="4">
        <v>158</v>
      </c>
      <c r="AG268" s="5">
        <v>5.0543825975687781E-2</v>
      </c>
      <c r="AH268" s="18">
        <f t="shared" si="4"/>
        <v>65</v>
      </c>
      <c r="AI268" s="6">
        <v>0.15996315627878416</v>
      </c>
      <c r="AJ268" s="3">
        <v>0.16</v>
      </c>
      <c r="AK268" s="6">
        <v>0.49694152235918276</v>
      </c>
      <c r="AL268" s="25">
        <v>0.497</v>
      </c>
      <c r="AM268" s="6">
        <v>0.14908431896222815</v>
      </c>
      <c r="AN268" s="3">
        <v>0.14899999999999999</v>
      </c>
      <c r="AO268" s="6">
        <v>0.49651516570059062</v>
      </c>
      <c r="AP268" s="6">
        <v>0.14134679493285074</v>
      </c>
      <c r="AQ268" s="6">
        <v>0.14099999999999999</v>
      </c>
      <c r="AR268" s="6">
        <v>0.49995305956889041</v>
      </c>
      <c r="AS268" s="6">
        <v>0.5</v>
      </c>
      <c r="AT268" s="6">
        <v>1.8616361345933419E-2</v>
      </c>
      <c r="AU268" s="6">
        <v>-3.0115372097076487E-3</v>
      </c>
      <c r="AV268" s="6">
        <v>7.7375240293774128E-3</v>
      </c>
      <c r="AW268" s="6">
        <v>-3.4378938682997906E-3</v>
      </c>
      <c r="AX268" s="7">
        <v>167</v>
      </c>
      <c r="AY268" s="7">
        <v>170</v>
      </c>
      <c r="AZ268" s="7">
        <v>160</v>
      </c>
      <c r="BA268" s="26">
        <v>-7</v>
      </c>
      <c r="BB268" s="26">
        <v>-10</v>
      </c>
      <c r="BC268" s="6">
        <v>0.15187800634530754</v>
      </c>
      <c r="BD268" s="6">
        <v>0.152</v>
      </c>
      <c r="BE268" s="11">
        <v>0.50220803058596242</v>
      </c>
      <c r="BF268" s="26">
        <v>156</v>
      </c>
      <c r="BG268" s="26">
        <v>4</v>
      </c>
      <c r="BH268" s="7">
        <v>-11</v>
      </c>
    </row>
    <row r="269" spans="2:60" x14ac:dyDescent="0.25">
      <c r="B269" s="3">
        <v>266</v>
      </c>
      <c r="C269" s="3" t="s">
        <v>540</v>
      </c>
      <c r="D269" s="3" t="s">
        <v>541</v>
      </c>
      <c r="E269" s="3" t="s">
        <v>482</v>
      </c>
      <c r="F269" s="3">
        <v>10304</v>
      </c>
      <c r="G269" s="3">
        <v>10</v>
      </c>
      <c r="H269" s="3">
        <v>0.51100000000000001</v>
      </c>
      <c r="I269" s="4">
        <v>11712</v>
      </c>
      <c r="J269" s="4">
        <v>11818</v>
      </c>
      <c r="K269" s="4">
        <v>11813</v>
      </c>
      <c r="L269" s="4">
        <v>-106</v>
      </c>
      <c r="M269" s="4">
        <v>1230</v>
      </c>
      <c r="N269" s="18">
        <v>3</v>
      </c>
      <c r="O269" s="18">
        <v>881</v>
      </c>
      <c r="P269" s="18">
        <v>0</v>
      </c>
      <c r="Q269" s="18">
        <v>0</v>
      </c>
      <c r="R269" s="18">
        <v>346</v>
      </c>
      <c r="S269" s="18">
        <v>0</v>
      </c>
      <c r="T269" s="18">
        <v>1230</v>
      </c>
      <c r="U269" s="18" t="b">
        <v>1</v>
      </c>
      <c r="V269" s="4">
        <v>1167</v>
      </c>
      <c r="W269" s="4">
        <v>1167</v>
      </c>
      <c r="X269" s="3" t="b">
        <v>1</v>
      </c>
      <c r="Y269" s="18">
        <v>6</v>
      </c>
      <c r="Z269" s="18">
        <v>912</v>
      </c>
      <c r="AA269" s="18">
        <v>0</v>
      </c>
      <c r="AB269" s="18">
        <v>0</v>
      </c>
      <c r="AC269" s="18">
        <v>249</v>
      </c>
      <c r="AD269" s="18">
        <v>0</v>
      </c>
      <c r="AE269" s="18">
        <v>1167</v>
      </c>
      <c r="AF269" s="4">
        <v>63</v>
      </c>
      <c r="AG269" s="5">
        <v>5.1219512195121948E-2</v>
      </c>
      <c r="AH269" s="18">
        <f t="shared" si="4"/>
        <v>-31</v>
      </c>
      <c r="AI269" s="6">
        <v>0.10502049180327869</v>
      </c>
      <c r="AJ269" s="3">
        <v>0.105</v>
      </c>
      <c r="AK269" s="6">
        <v>0.4403124715399675</v>
      </c>
      <c r="AL269" s="25">
        <v>0.44</v>
      </c>
      <c r="AM269" s="6">
        <v>0.104078524284989</v>
      </c>
      <c r="AN269" s="3">
        <v>0.104</v>
      </c>
      <c r="AO269" s="6">
        <v>0.44538858263106273</v>
      </c>
      <c r="AP269" s="6">
        <v>9.8789469228815707E-2</v>
      </c>
      <c r="AQ269" s="6">
        <v>9.9000000000000005E-2</v>
      </c>
      <c r="AR269" s="6">
        <v>0.45122889207724803</v>
      </c>
      <c r="AS269" s="6">
        <v>0.45100000000000001</v>
      </c>
      <c r="AT269" s="6">
        <v>6.2310225744629799E-3</v>
      </c>
      <c r="AU269" s="6">
        <v>-1.0916420537280536E-2</v>
      </c>
      <c r="AV269" s="6">
        <v>5.2890550561732891E-3</v>
      </c>
      <c r="AW269" s="6">
        <v>-5.8403094461852989E-3</v>
      </c>
      <c r="AX269" s="7">
        <v>233</v>
      </c>
      <c r="AY269" s="7">
        <v>230</v>
      </c>
      <c r="AZ269" s="7">
        <v>219</v>
      </c>
      <c r="BA269" s="26">
        <v>-14</v>
      </c>
      <c r="BB269" s="26">
        <v>-11</v>
      </c>
      <c r="BC269" s="6">
        <v>9.9641393442622947E-2</v>
      </c>
      <c r="BD269" s="6">
        <v>0.1</v>
      </c>
      <c r="BE269" s="11">
        <v>0.44609158346674843</v>
      </c>
      <c r="BF269" s="7">
        <v>223</v>
      </c>
      <c r="BG269" s="26">
        <v>-4</v>
      </c>
      <c r="BH269" s="7">
        <v>-10</v>
      </c>
    </row>
    <row r="270" spans="2:60" x14ac:dyDescent="0.25">
      <c r="B270" s="3">
        <v>267</v>
      </c>
      <c r="C270" s="3" t="s">
        <v>542</v>
      </c>
      <c r="D270" s="3" t="s">
        <v>543</v>
      </c>
      <c r="E270" s="3" t="s">
        <v>482</v>
      </c>
      <c r="F270" s="3">
        <v>10207</v>
      </c>
      <c r="G270" s="3">
        <v>10</v>
      </c>
      <c r="H270" s="3">
        <v>0.35599999999999998</v>
      </c>
      <c r="I270" s="4">
        <v>5690</v>
      </c>
      <c r="J270" s="4">
        <v>5542</v>
      </c>
      <c r="K270" s="4">
        <v>5543</v>
      </c>
      <c r="L270" s="4">
        <v>148</v>
      </c>
      <c r="M270" s="4">
        <v>420</v>
      </c>
      <c r="N270" s="18">
        <v>2</v>
      </c>
      <c r="O270" s="18">
        <v>333</v>
      </c>
      <c r="P270" s="18">
        <v>0</v>
      </c>
      <c r="Q270" s="18">
        <v>0</v>
      </c>
      <c r="R270" s="18">
        <v>85</v>
      </c>
      <c r="S270" s="18">
        <v>0</v>
      </c>
      <c r="T270" s="18">
        <v>420</v>
      </c>
      <c r="U270" s="18" t="b">
        <v>1</v>
      </c>
      <c r="V270" s="4">
        <v>449</v>
      </c>
      <c r="W270" s="4">
        <v>449</v>
      </c>
      <c r="X270" s="3" t="b">
        <v>1</v>
      </c>
      <c r="Y270" s="18">
        <v>9</v>
      </c>
      <c r="Z270" s="18">
        <v>378</v>
      </c>
      <c r="AA270" s="18">
        <v>0</v>
      </c>
      <c r="AB270" s="18">
        <v>0</v>
      </c>
      <c r="AC270" s="18">
        <v>62</v>
      </c>
      <c r="AD270" s="18">
        <v>0</v>
      </c>
      <c r="AE270" s="18">
        <v>449</v>
      </c>
      <c r="AF270" s="4">
        <v>-29</v>
      </c>
      <c r="AG270" s="5">
        <v>-6.9047619047619052E-2</v>
      </c>
      <c r="AH270" s="18">
        <f t="shared" si="4"/>
        <v>-45</v>
      </c>
      <c r="AI270" s="6">
        <v>7.3813708260105443E-2</v>
      </c>
      <c r="AJ270" s="3">
        <v>7.3999999999999996E-2</v>
      </c>
      <c r="AK270" s="6">
        <v>0.40814784050066899</v>
      </c>
      <c r="AL270" s="25">
        <v>0.40799999999999997</v>
      </c>
      <c r="AM270" s="6">
        <v>7.5784915193071095E-2</v>
      </c>
      <c r="AN270" s="3">
        <v>7.5999999999999998E-2</v>
      </c>
      <c r="AO270" s="6">
        <v>0.41324704250386973</v>
      </c>
      <c r="AP270" s="6">
        <v>8.1003066931264661E-2</v>
      </c>
      <c r="AQ270" s="6">
        <v>8.1000000000000003E-2</v>
      </c>
      <c r="AR270" s="6">
        <v>0.43034710600940129</v>
      </c>
      <c r="AS270" s="6">
        <v>0.43099999999999999</v>
      </c>
      <c r="AT270" s="6">
        <v>-7.1893586711592183E-3</v>
      </c>
      <c r="AU270" s="6">
        <v>-2.2199265508732302E-2</v>
      </c>
      <c r="AV270" s="6">
        <v>-5.218151738193566E-3</v>
      </c>
      <c r="AW270" s="6">
        <v>-1.710006350553156E-2</v>
      </c>
      <c r="AX270" s="7">
        <v>270</v>
      </c>
      <c r="AY270" s="7">
        <v>263</v>
      </c>
      <c r="AZ270" s="7">
        <v>239</v>
      </c>
      <c r="BA270" s="26">
        <v>-31</v>
      </c>
      <c r="BB270" s="26">
        <v>-24</v>
      </c>
      <c r="BC270" s="6">
        <v>7.8910369068541306E-2</v>
      </c>
      <c r="BD270" s="6">
        <v>7.9000000000000001E-2</v>
      </c>
      <c r="BE270" s="11">
        <v>0.42382077821406905</v>
      </c>
      <c r="BF270" s="26">
        <v>244</v>
      </c>
      <c r="BG270" s="26">
        <v>-5</v>
      </c>
      <c r="BH270" s="7">
        <v>-26</v>
      </c>
    </row>
    <row r="271" spans="2:60" x14ac:dyDescent="0.25">
      <c r="B271" s="3">
        <v>268</v>
      </c>
      <c r="C271" s="3" t="s">
        <v>544</v>
      </c>
      <c r="D271" s="3" t="s">
        <v>545</v>
      </c>
      <c r="E271" s="3" t="s">
        <v>482</v>
      </c>
      <c r="F271" s="3">
        <v>10208</v>
      </c>
      <c r="G271" s="3">
        <v>10</v>
      </c>
      <c r="H271" s="3">
        <v>0.45600000000000002</v>
      </c>
      <c r="I271" s="4">
        <v>28460</v>
      </c>
      <c r="J271" s="4">
        <v>30136</v>
      </c>
      <c r="K271" s="4">
        <v>29942</v>
      </c>
      <c r="L271" s="4">
        <v>-1676</v>
      </c>
      <c r="M271" s="4">
        <v>3137</v>
      </c>
      <c r="N271" s="18">
        <v>20</v>
      </c>
      <c r="O271" s="18">
        <v>2652</v>
      </c>
      <c r="P271" s="18">
        <v>0</v>
      </c>
      <c r="Q271" s="18">
        <v>0</v>
      </c>
      <c r="R271" s="18">
        <v>465</v>
      </c>
      <c r="S271" s="18">
        <v>0</v>
      </c>
      <c r="T271" s="18">
        <v>3137</v>
      </c>
      <c r="U271" s="18" t="b">
        <v>1</v>
      </c>
      <c r="V271" s="4">
        <v>3177</v>
      </c>
      <c r="W271" s="4">
        <v>3177</v>
      </c>
      <c r="X271" s="3" t="b">
        <v>1</v>
      </c>
      <c r="Y271" s="18">
        <v>51</v>
      </c>
      <c r="Z271" s="18">
        <v>2693</v>
      </c>
      <c r="AA271" s="18">
        <v>0</v>
      </c>
      <c r="AB271" s="18">
        <v>0</v>
      </c>
      <c r="AC271" s="18">
        <v>433</v>
      </c>
      <c r="AD271" s="18">
        <v>0</v>
      </c>
      <c r="AE271" s="18">
        <v>3177</v>
      </c>
      <c r="AF271" s="4">
        <v>-40</v>
      </c>
      <c r="AG271" s="5">
        <v>-1.2751036021676761E-2</v>
      </c>
      <c r="AH271" s="18">
        <f t="shared" si="4"/>
        <v>-41</v>
      </c>
      <c r="AI271" s="6">
        <v>0.11022487702037947</v>
      </c>
      <c r="AJ271" s="3">
        <v>0.11</v>
      </c>
      <c r="AK271" s="6">
        <v>0.44567659790252068</v>
      </c>
      <c r="AL271" s="25">
        <v>0.44600000000000001</v>
      </c>
      <c r="AM271" s="6">
        <v>0.10409477037430316</v>
      </c>
      <c r="AN271" s="3">
        <v>0.104</v>
      </c>
      <c r="AO271" s="6">
        <v>0.44540703818863775</v>
      </c>
      <c r="AP271" s="6">
        <v>0.10610513659742168</v>
      </c>
      <c r="AQ271" s="6">
        <v>0.106</v>
      </c>
      <c r="AR271" s="6">
        <v>0.4593495866591884</v>
      </c>
      <c r="AS271" s="6">
        <v>0.46</v>
      </c>
      <c r="AT271" s="6">
        <v>4.1197404229577905E-3</v>
      </c>
      <c r="AU271" s="6">
        <v>-1.3672988756667726E-2</v>
      </c>
      <c r="AV271" s="6">
        <v>-2.0103662231185232E-3</v>
      </c>
      <c r="AW271" s="6">
        <v>-1.3942548470550653E-2</v>
      </c>
      <c r="AX271" s="7">
        <v>224</v>
      </c>
      <c r="AY271" s="7">
        <v>229</v>
      </c>
      <c r="AZ271" s="7">
        <v>205</v>
      </c>
      <c r="BA271" s="26">
        <v>-19</v>
      </c>
      <c r="BB271" s="26">
        <v>-24</v>
      </c>
      <c r="BC271" s="6">
        <v>0.11163035839775123</v>
      </c>
      <c r="BD271" s="6">
        <v>0.112</v>
      </c>
      <c r="BE271" s="11">
        <v>0.45897101956594449</v>
      </c>
      <c r="BF271" s="7">
        <v>205</v>
      </c>
      <c r="BG271" s="26">
        <v>0</v>
      </c>
      <c r="BH271" s="7">
        <v>-19</v>
      </c>
    </row>
    <row r="272" spans="2:60" x14ac:dyDescent="0.25">
      <c r="B272" s="3">
        <v>269</v>
      </c>
      <c r="C272" s="3" t="s">
        <v>546</v>
      </c>
      <c r="D272" s="3" t="s">
        <v>547</v>
      </c>
      <c r="E272" s="3" t="s">
        <v>482</v>
      </c>
      <c r="F272" s="3">
        <v>10209</v>
      </c>
      <c r="G272" s="3">
        <v>10</v>
      </c>
      <c r="H272" s="3">
        <v>0.36899999999999999</v>
      </c>
      <c r="I272" s="4">
        <v>8409</v>
      </c>
      <c r="J272" s="4">
        <v>8754</v>
      </c>
      <c r="K272" s="4">
        <v>8760</v>
      </c>
      <c r="L272" s="4">
        <v>-345</v>
      </c>
      <c r="M272" s="4">
        <v>626</v>
      </c>
      <c r="N272" s="18">
        <v>1</v>
      </c>
      <c r="O272" s="18">
        <v>412</v>
      </c>
      <c r="P272" s="18">
        <v>0</v>
      </c>
      <c r="Q272" s="18">
        <v>0</v>
      </c>
      <c r="R272" s="18">
        <v>213</v>
      </c>
      <c r="S272" s="18">
        <v>0</v>
      </c>
      <c r="T272" s="18">
        <v>626</v>
      </c>
      <c r="U272" s="18" t="b">
        <v>1</v>
      </c>
      <c r="V272" s="4">
        <v>468</v>
      </c>
      <c r="W272" s="4">
        <v>468</v>
      </c>
      <c r="X272" s="3" t="b">
        <v>1</v>
      </c>
      <c r="Y272" s="18">
        <v>5</v>
      </c>
      <c r="Z272" s="18">
        <v>407</v>
      </c>
      <c r="AA272" s="18">
        <v>0</v>
      </c>
      <c r="AB272" s="18">
        <v>0</v>
      </c>
      <c r="AC272" s="18">
        <v>56</v>
      </c>
      <c r="AD272" s="18">
        <v>0</v>
      </c>
      <c r="AE272" s="18">
        <v>468</v>
      </c>
      <c r="AF272" s="4">
        <v>158</v>
      </c>
      <c r="AG272" s="5">
        <v>0.25239616613418531</v>
      </c>
      <c r="AH272" s="18">
        <f t="shared" si="4"/>
        <v>5</v>
      </c>
      <c r="AI272" s="6">
        <v>7.4444048043762631E-2</v>
      </c>
      <c r="AJ272" s="3">
        <v>7.3999999999999996E-2</v>
      </c>
      <c r="AK272" s="6">
        <v>0.40879752766059929</v>
      </c>
      <c r="AL272" s="25">
        <v>0.40899999999999997</v>
      </c>
      <c r="AM272" s="6">
        <v>7.1510166780900164E-2</v>
      </c>
      <c r="AN272" s="3">
        <v>7.1999999999999995E-2</v>
      </c>
      <c r="AO272" s="6">
        <v>0.4083909282776117</v>
      </c>
      <c r="AP272" s="6">
        <v>5.3424657534246578E-2</v>
      </c>
      <c r="AQ272" s="6">
        <v>5.2999999999999999E-2</v>
      </c>
      <c r="AR272" s="6">
        <v>0.39786432768163971</v>
      </c>
      <c r="AS272" s="6">
        <v>0.39900000000000002</v>
      </c>
      <c r="AT272" s="6">
        <v>2.1019390509516053E-2</v>
      </c>
      <c r="AU272" s="6">
        <v>1.0933199978959585E-2</v>
      </c>
      <c r="AV272" s="6">
        <v>1.8085509246653586E-2</v>
      </c>
      <c r="AW272" s="6">
        <v>1.0526600595971991E-2</v>
      </c>
      <c r="AX272" s="7">
        <v>269</v>
      </c>
      <c r="AY272" s="7">
        <v>271</v>
      </c>
      <c r="AZ272" s="7">
        <v>280</v>
      </c>
      <c r="BA272" s="26">
        <v>11</v>
      </c>
      <c r="BB272" s="26">
        <v>9</v>
      </c>
      <c r="BC272" s="6">
        <v>5.5654655726007848E-2</v>
      </c>
      <c r="BD272" s="6">
        <v>5.6000000000000001E-2</v>
      </c>
      <c r="BE272" s="11">
        <v>0.39883776466307347</v>
      </c>
      <c r="BF272" s="26">
        <v>278</v>
      </c>
      <c r="BG272" s="26">
        <v>2</v>
      </c>
      <c r="BH272" s="7">
        <v>9</v>
      </c>
    </row>
    <row r="273" spans="2:60" x14ac:dyDescent="0.25">
      <c r="B273" s="3">
        <v>270</v>
      </c>
      <c r="C273" s="3" t="s">
        <v>548</v>
      </c>
      <c r="D273" s="3" t="s">
        <v>549</v>
      </c>
      <c r="E273" s="3" t="s">
        <v>482</v>
      </c>
      <c r="F273" s="3">
        <v>10210</v>
      </c>
      <c r="G273" s="3">
        <v>10</v>
      </c>
      <c r="H273" s="3">
        <v>0.47099999999999997</v>
      </c>
      <c r="I273" s="4">
        <v>7678</v>
      </c>
      <c r="J273" s="4">
        <v>8186</v>
      </c>
      <c r="K273" s="4">
        <v>8212</v>
      </c>
      <c r="L273" s="4">
        <v>-508</v>
      </c>
      <c r="M273" s="4">
        <v>435</v>
      </c>
      <c r="N273" s="18">
        <v>8</v>
      </c>
      <c r="O273" s="18">
        <v>367</v>
      </c>
      <c r="P273" s="18">
        <v>0</v>
      </c>
      <c r="Q273" s="18">
        <v>0</v>
      </c>
      <c r="R273" s="18">
        <v>60</v>
      </c>
      <c r="S273" s="18">
        <v>0</v>
      </c>
      <c r="T273" s="18">
        <v>435</v>
      </c>
      <c r="U273" s="18" t="b">
        <v>1</v>
      </c>
      <c r="V273" s="4">
        <v>421</v>
      </c>
      <c r="W273" s="4">
        <v>421</v>
      </c>
      <c r="X273" s="3" t="b">
        <v>1</v>
      </c>
      <c r="Y273" s="18">
        <v>19</v>
      </c>
      <c r="Z273" s="18">
        <v>368</v>
      </c>
      <c r="AA273" s="18">
        <v>0</v>
      </c>
      <c r="AB273" s="18">
        <v>0</v>
      </c>
      <c r="AC273" s="18">
        <v>34</v>
      </c>
      <c r="AD273" s="18">
        <v>0</v>
      </c>
      <c r="AE273" s="18">
        <v>421</v>
      </c>
      <c r="AF273" s="4">
        <v>14</v>
      </c>
      <c r="AG273" s="5">
        <v>3.2183908045977011E-2</v>
      </c>
      <c r="AH273" s="18">
        <f t="shared" si="4"/>
        <v>-1</v>
      </c>
      <c r="AI273" s="6">
        <v>5.6655379004949206E-2</v>
      </c>
      <c r="AJ273" s="3">
        <v>5.7000000000000002E-2</v>
      </c>
      <c r="AK273" s="6">
        <v>0.39046286091988697</v>
      </c>
      <c r="AL273" s="25">
        <v>0.39</v>
      </c>
      <c r="AM273" s="6">
        <v>5.3139506474468606E-2</v>
      </c>
      <c r="AN273" s="3">
        <v>5.2999999999999999E-2</v>
      </c>
      <c r="AO273" s="6">
        <v>0.38752185804044398</v>
      </c>
      <c r="AP273" s="6">
        <v>5.1266439357038479E-2</v>
      </c>
      <c r="AQ273" s="6">
        <v>5.0999999999999997E-2</v>
      </c>
      <c r="AR273" s="6">
        <v>0.3955441292296567</v>
      </c>
      <c r="AS273" s="6">
        <v>0.39600000000000002</v>
      </c>
      <c r="AT273" s="6">
        <v>5.3889396479107274E-3</v>
      </c>
      <c r="AU273" s="6">
        <v>-5.0812683097697375E-3</v>
      </c>
      <c r="AV273" s="6">
        <v>1.8730671174301272E-3</v>
      </c>
      <c r="AW273" s="6">
        <v>-8.0222711892127263E-3</v>
      </c>
      <c r="AX273" s="7">
        <v>296</v>
      </c>
      <c r="AY273" s="7">
        <v>299</v>
      </c>
      <c r="AZ273" s="7">
        <v>284</v>
      </c>
      <c r="BA273" s="26">
        <v>-12</v>
      </c>
      <c r="BB273" s="26">
        <v>-15</v>
      </c>
      <c r="BC273" s="6">
        <v>5.4831987496743943E-2</v>
      </c>
      <c r="BD273" s="6">
        <v>5.5E-2</v>
      </c>
      <c r="BE273" s="11">
        <v>0.39795399338429338</v>
      </c>
      <c r="BF273" s="7">
        <v>279</v>
      </c>
      <c r="BG273" s="26">
        <v>5</v>
      </c>
      <c r="BH273" s="7">
        <v>-17</v>
      </c>
    </row>
    <row r="274" spans="2:60" x14ac:dyDescent="0.25">
      <c r="B274" s="3">
        <v>271</v>
      </c>
      <c r="C274" s="3" t="s">
        <v>550</v>
      </c>
      <c r="D274" s="3" t="s">
        <v>551</v>
      </c>
      <c r="E274" s="3" t="s">
        <v>482</v>
      </c>
      <c r="F274" s="3">
        <v>10305</v>
      </c>
      <c r="G274" s="3">
        <v>10</v>
      </c>
      <c r="H274" s="3">
        <v>0.48899999999999999</v>
      </c>
      <c r="I274" s="4">
        <v>13874</v>
      </c>
      <c r="J274" s="4">
        <v>14085</v>
      </c>
      <c r="K274" s="4">
        <v>14133</v>
      </c>
      <c r="L274" s="4">
        <v>-211</v>
      </c>
      <c r="M274" s="4">
        <v>1685</v>
      </c>
      <c r="N274" s="18">
        <v>8</v>
      </c>
      <c r="O274" s="18">
        <v>1486</v>
      </c>
      <c r="P274" s="18">
        <v>0</v>
      </c>
      <c r="Q274" s="18">
        <v>0</v>
      </c>
      <c r="R274" s="18">
        <v>191</v>
      </c>
      <c r="S274" s="18">
        <v>0</v>
      </c>
      <c r="T274" s="18">
        <v>1685</v>
      </c>
      <c r="U274" s="18" t="b">
        <v>1</v>
      </c>
      <c r="V274" s="4">
        <v>1611</v>
      </c>
      <c r="W274" s="4">
        <v>1611</v>
      </c>
      <c r="X274" s="3" t="b">
        <v>1</v>
      </c>
      <c r="Y274" s="18">
        <v>11</v>
      </c>
      <c r="Z274" s="18">
        <v>1448</v>
      </c>
      <c r="AA274" s="18">
        <v>0</v>
      </c>
      <c r="AB274" s="18">
        <v>0</v>
      </c>
      <c r="AC274" s="18">
        <v>152</v>
      </c>
      <c r="AD274" s="18">
        <v>0</v>
      </c>
      <c r="AE274" s="18">
        <v>1611</v>
      </c>
      <c r="AF274" s="4">
        <v>74</v>
      </c>
      <c r="AG274" s="5">
        <v>4.3916913946587539E-2</v>
      </c>
      <c r="AH274" s="18">
        <f t="shared" si="4"/>
        <v>38</v>
      </c>
      <c r="AI274" s="6">
        <v>0.12145019460862044</v>
      </c>
      <c r="AJ274" s="3">
        <v>0.121</v>
      </c>
      <c r="AK274" s="6">
        <v>0.45724646052630602</v>
      </c>
      <c r="AL274" s="25">
        <v>0.45700000000000002</v>
      </c>
      <c r="AM274" s="6">
        <v>0.11963081292154774</v>
      </c>
      <c r="AN274" s="3">
        <v>0.12</v>
      </c>
      <c r="AO274" s="6">
        <v>0.46305598263145464</v>
      </c>
      <c r="AP274" s="6">
        <v>0.11398853746550626</v>
      </c>
      <c r="AQ274" s="6">
        <v>0.114</v>
      </c>
      <c r="AR274" s="6">
        <v>0.4686303804671203</v>
      </c>
      <c r="AS274" s="6">
        <v>0.46899999999999997</v>
      </c>
      <c r="AT274" s="6">
        <v>7.4616571431141837E-3</v>
      </c>
      <c r="AU274" s="6">
        <v>-1.138391994081428E-2</v>
      </c>
      <c r="AV274" s="6">
        <v>5.6422754560414845E-3</v>
      </c>
      <c r="AW274" s="6">
        <v>-5.5743978356656565E-3</v>
      </c>
      <c r="AX274" s="7">
        <v>206</v>
      </c>
      <c r="AY274" s="7">
        <v>206</v>
      </c>
      <c r="AZ274" s="7">
        <v>193</v>
      </c>
      <c r="BA274" s="26">
        <v>-13</v>
      </c>
      <c r="BB274" s="26">
        <v>-13</v>
      </c>
      <c r="BC274" s="6">
        <v>0.11611647686319734</v>
      </c>
      <c r="BD274" s="6">
        <v>0.11600000000000001</v>
      </c>
      <c r="BE274" s="11">
        <v>0.46379034102742078</v>
      </c>
      <c r="BF274" s="26">
        <v>201</v>
      </c>
      <c r="BG274" s="26">
        <v>-8</v>
      </c>
      <c r="BH274" s="7">
        <v>-5</v>
      </c>
    </row>
    <row r="275" spans="2:60" x14ac:dyDescent="0.25">
      <c r="B275" s="3">
        <v>272</v>
      </c>
      <c r="C275" s="3" t="s">
        <v>552</v>
      </c>
      <c r="D275" s="3" t="s">
        <v>553</v>
      </c>
      <c r="E275" s="3" t="s">
        <v>482</v>
      </c>
      <c r="F275" s="3">
        <v>10306</v>
      </c>
      <c r="G275" s="3">
        <v>10</v>
      </c>
      <c r="H275" s="3"/>
      <c r="I275" s="4">
        <v>7776</v>
      </c>
      <c r="J275" s="4">
        <v>7424</v>
      </c>
      <c r="K275" s="4">
        <v>7482</v>
      </c>
      <c r="L275" s="4">
        <v>352</v>
      </c>
      <c r="M275" s="4">
        <v>98</v>
      </c>
      <c r="N275" s="18">
        <v>0</v>
      </c>
      <c r="O275" s="18">
        <v>0</v>
      </c>
      <c r="P275" s="18">
        <v>0</v>
      </c>
      <c r="Q275" s="18">
        <v>0</v>
      </c>
      <c r="R275" s="18">
        <v>98</v>
      </c>
      <c r="S275" s="18">
        <v>0</v>
      </c>
      <c r="T275" s="18">
        <v>98</v>
      </c>
      <c r="U275" s="18" t="b">
        <v>1</v>
      </c>
      <c r="V275" s="4">
        <v>40</v>
      </c>
      <c r="W275" s="4">
        <v>40</v>
      </c>
      <c r="X275" s="3" t="b">
        <v>1</v>
      </c>
      <c r="Y275" s="18">
        <v>0</v>
      </c>
      <c r="Z275" s="18">
        <v>0</v>
      </c>
      <c r="AA275" s="18">
        <v>0</v>
      </c>
      <c r="AB275" s="18">
        <v>0</v>
      </c>
      <c r="AC275" s="18">
        <v>40</v>
      </c>
      <c r="AD275" s="18">
        <v>0</v>
      </c>
      <c r="AE275" s="18">
        <v>40</v>
      </c>
      <c r="AF275" s="4">
        <v>58</v>
      </c>
      <c r="AG275" s="5">
        <v>0.59183673469387754</v>
      </c>
      <c r="AH275" s="18">
        <f t="shared" si="4"/>
        <v>0</v>
      </c>
      <c r="AI275" s="6">
        <v>1.2602880658436214E-2</v>
      </c>
      <c r="AJ275" s="3">
        <v>1.2999999999999999E-2</v>
      </c>
      <c r="AK275" s="6">
        <v>0.34505823427149707</v>
      </c>
      <c r="AL275" s="25">
        <v>0.34499999999999997</v>
      </c>
      <c r="AM275" s="6">
        <v>1.3200431034482759E-2</v>
      </c>
      <c r="AN275" s="3">
        <v>1.2999999999999999E-2</v>
      </c>
      <c r="AO275" s="6">
        <v>0.3421510680600317</v>
      </c>
      <c r="AP275" s="6">
        <v>5.3461641272387062E-3</v>
      </c>
      <c r="AQ275" s="6">
        <v>5.0000000000000001E-3</v>
      </c>
      <c r="AR275" s="6">
        <v>0.34217956483404843</v>
      </c>
      <c r="AS275" s="6">
        <v>0.34300000000000003</v>
      </c>
      <c r="AT275" s="6">
        <v>7.2567165311975077E-3</v>
      </c>
      <c r="AU275" s="6">
        <v>2.8786694374486332E-3</v>
      </c>
      <c r="AV275" s="6">
        <v>7.8542669072440528E-3</v>
      </c>
      <c r="AW275" s="6">
        <v>-2.8496774016728565E-5</v>
      </c>
      <c r="AX275" s="7">
        <v>343</v>
      </c>
      <c r="AY275" s="7">
        <v>341</v>
      </c>
      <c r="AZ275" s="7">
        <v>343</v>
      </c>
      <c r="BA275" s="26">
        <v>0</v>
      </c>
      <c r="BB275" s="26">
        <v>2</v>
      </c>
      <c r="BC275" s="6">
        <v>5.1440329218106996E-3</v>
      </c>
      <c r="BD275" s="6">
        <v>5.0000000000000001E-3</v>
      </c>
      <c r="BE275" s="11">
        <v>0.34457550422840771</v>
      </c>
      <c r="BF275" s="7">
        <v>344</v>
      </c>
      <c r="BG275" s="26">
        <v>-1</v>
      </c>
      <c r="BH275" s="7">
        <v>1</v>
      </c>
    </row>
    <row r="276" spans="2:60" x14ac:dyDescent="0.25">
      <c r="B276" s="3">
        <v>273</v>
      </c>
      <c r="C276" s="3" t="s">
        <v>554</v>
      </c>
      <c r="D276" s="3" t="s">
        <v>555</v>
      </c>
      <c r="E276" s="3" t="s">
        <v>482</v>
      </c>
      <c r="F276" s="3">
        <v>10307</v>
      </c>
      <c r="G276" s="3">
        <v>10</v>
      </c>
      <c r="H276" s="3">
        <v>0.36</v>
      </c>
      <c r="I276" s="4">
        <v>10883</v>
      </c>
      <c r="J276" s="4">
        <v>10537</v>
      </c>
      <c r="K276" s="4">
        <v>10543</v>
      </c>
      <c r="L276" s="4">
        <v>346</v>
      </c>
      <c r="M276" s="4">
        <v>1286</v>
      </c>
      <c r="N276" s="18">
        <v>1</v>
      </c>
      <c r="O276" s="18">
        <v>1105</v>
      </c>
      <c r="P276" s="18">
        <v>0</v>
      </c>
      <c r="Q276" s="18">
        <v>0</v>
      </c>
      <c r="R276" s="18">
        <v>180</v>
      </c>
      <c r="S276" s="18">
        <v>0</v>
      </c>
      <c r="T276" s="18">
        <v>1286</v>
      </c>
      <c r="U276" s="18" t="b">
        <v>1</v>
      </c>
      <c r="V276" s="4">
        <v>1150</v>
      </c>
      <c r="W276" s="4">
        <v>1150</v>
      </c>
      <c r="X276" s="3" t="b">
        <v>1</v>
      </c>
      <c r="Y276" s="18">
        <v>6</v>
      </c>
      <c r="Z276" s="18">
        <v>1021</v>
      </c>
      <c r="AA276" s="18">
        <v>0</v>
      </c>
      <c r="AB276" s="18">
        <v>0</v>
      </c>
      <c r="AC276" s="18">
        <v>123</v>
      </c>
      <c r="AD276" s="18">
        <v>0</v>
      </c>
      <c r="AE276" s="18">
        <v>1150</v>
      </c>
      <c r="AF276" s="4">
        <v>136</v>
      </c>
      <c r="AG276" s="5">
        <v>0.10575427682737169</v>
      </c>
      <c r="AH276" s="18">
        <f t="shared" si="4"/>
        <v>84</v>
      </c>
      <c r="AI276" s="6">
        <v>0.11816594688964439</v>
      </c>
      <c r="AJ276" s="3">
        <v>0.11799999999999999</v>
      </c>
      <c r="AK276" s="6">
        <v>0.45386140753049248</v>
      </c>
      <c r="AL276" s="25">
        <v>0.45400000000000001</v>
      </c>
      <c r="AM276" s="6">
        <v>0.12204612318496726</v>
      </c>
      <c r="AN276" s="3">
        <v>0.122</v>
      </c>
      <c r="AO276" s="6">
        <v>0.46579977510766779</v>
      </c>
      <c r="AP276" s="6">
        <v>0.10907711277624964</v>
      </c>
      <c r="AQ276" s="6">
        <v>0.109</v>
      </c>
      <c r="AR276" s="6">
        <v>0.46282988433716288</v>
      </c>
      <c r="AS276" s="6">
        <v>0.46300000000000002</v>
      </c>
      <c r="AT276" s="6">
        <v>9.0888341133947559E-3</v>
      </c>
      <c r="AU276" s="6">
        <v>-8.9684768066704001E-3</v>
      </c>
      <c r="AV276" s="6">
        <v>1.2969010408717618E-2</v>
      </c>
      <c r="AW276" s="6">
        <v>2.9698907705049127E-3</v>
      </c>
      <c r="AX276" s="7">
        <v>214</v>
      </c>
      <c r="AY276" s="7">
        <v>202</v>
      </c>
      <c r="AZ276" s="7">
        <v>200</v>
      </c>
      <c r="BA276" s="26">
        <v>-14</v>
      </c>
      <c r="BB276" s="26">
        <v>-2</v>
      </c>
      <c r="BC276" s="6">
        <v>0.10566939263070844</v>
      </c>
      <c r="BD276" s="6">
        <v>0.106</v>
      </c>
      <c r="BE276" s="11">
        <v>0.45256730765474379</v>
      </c>
      <c r="BF276" s="26">
        <v>212</v>
      </c>
      <c r="BG276" s="26">
        <v>-12</v>
      </c>
      <c r="BH276" s="7">
        <v>-2</v>
      </c>
    </row>
    <row r="277" spans="2:60" x14ac:dyDescent="0.25">
      <c r="B277" s="3">
        <v>274</v>
      </c>
      <c r="C277" s="3" t="s">
        <v>556</v>
      </c>
      <c r="D277" s="3" t="s">
        <v>557</v>
      </c>
      <c r="E277" s="3" t="s">
        <v>705</v>
      </c>
      <c r="F277" s="3">
        <v>11201</v>
      </c>
      <c r="G277" s="3">
        <v>11</v>
      </c>
      <c r="H277" s="3">
        <v>0.56299999999999994</v>
      </c>
      <c r="I277" s="4">
        <v>23170</v>
      </c>
      <c r="J277" s="4">
        <v>25218</v>
      </c>
      <c r="K277" s="4">
        <v>25180</v>
      </c>
      <c r="L277" s="4">
        <v>-2048</v>
      </c>
      <c r="M277" s="4">
        <v>5347</v>
      </c>
      <c r="N277" s="18">
        <v>18</v>
      </c>
      <c r="O277" s="18">
        <v>4717</v>
      </c>
      <c r="P277" s="18">
        <v>0</v>
      </c>
      <c r="Q277" s="18">
        <v>0</v>
      </c>
      <c r="R277" s="18">
        <v>612</v>
      </c>
      <c r="S277" s="18">
        <v>0</v>
      </c>
      <c r="T277" s="18">
        <v>5347</v>
      </c>
      <c r="U277" s="18" t="b">
        <v>1</v>
      </c>
      <c r="V277" s="4">
        <v>5212</v>
      </c>
      <c r="W277" s="4">
        <v>5212</v>
      </c>
      <c r="X277" s="3" t="b">
        <v>1</v>
      </c>
      <c r="Y277" s="18">
        <v>30</v>
      </c>
      <c r="Z277" s="18">
        <v>4744</v>
      </c>
      <c r="AA277" s="18">
        <v>0</v>
      </c>
      <c r="AB277" s="18">
        <v>0</v>
      </c>
      <c r="AC277" s="18">
        <v>438</v>
      </c>
      <c r="AD277" s="18">
        <v>0</v>
      </c>
      <c r="AE277" s="18">
        <v>5212</v>
      </c>
      <c r="AF277" s="4">
        <v>135</v>
      </c>
      <c r="AG277" s="5">
        <v>2.5247802506078176E-2</v>
      </c>
      <c r="AH277" s="18">
        <f t="shared" si="4"/>
        <v>-27</v>
      </c>
      <c r="AI277" s="6">
        <v>0.23077255071212774</v>
      </c>
      <c r="AJ277" s="3">
        <v>0.23100000000000001</v>
      </c>
      <c r="AK277" s="6">
        <v>0.5699243096725165</v>
      </c>
      <c r="AL277" s="25">
        <v>0.56999999999999995</v>
      </c>
      <c r="AM277" s="6">
        <v>0.21203108890475059</v>
      </c>
      <c r="AN277" s="3">
        <v>0.21199999999999999</v>
      </c>
      <c r="AO277" s="6">
        <v>0.56802269679752304</v>
      </c>
      <c r="AP277" s="6">
        <v>0.20698967434471802</v>
      </c>
      <c r="AQ277" s="6">
        <v>0.20699999999999999</v>
      </c>
      <c r="AR277" s="6">
        <v>0.57651960848432837</v>
      </c>
      <c r="AS277" s="6">
        <v>0.57599999999999996</v>
      </c>
      <c r="AT277" s="6">
        <v>2.3782876367409722E-2</v>
      </c>
      <c r="AU277" s="6">
        <v>-6.5952988118118672E-3</v>
      </c>
      <c r="AV277" s="6">
        <v>5.0414145600325699E-3</v>
      </c>
      <c r="AW277" s="6">
        <v>-8.4969116868053307E-3</v>
      </c>
      <c r="AX277" s="7">
        <v>90</v>
      </c>
      <c r="AY277" s="7">
        <v>94</v>
      </c>
      <c r="AZ277" s="7">
        <v>86</v>
      </c>
      <c r="BA277" s="26">
        <v>-4</v>
      </c>
      <c r="BB277" s="26">
        <v>-8</v>
      </c>
      <c r="BC277" s="6">
        <v>0.22494605092792405</v>
      </c>
      <c r="BD277" s="6">
        <v>0.22500000000000001</v>
      </c>
      <c r="BE277" s="11">
        <v>0.58070314793906408</v>
      </c>
      <c r="BF277" s="7">
        <v>85</v>
      </c>
      <c r="BG277" s="26">
        <v>1</v>
      </c>
      <c r="BH277" s="7">
        <v>-5</v>
      </c>
    </row>
    <row r="278" spans="2:60" x14ac:dyDescent="0.25">
      <c r="B278" s="3">
        <v>275</v>
      </c>
      <c r="C278" s="3" t="s">
        <v>558</v>
      </c>
      <c r="D278" s="3" t="s">
        <v>559</v>
      </c>
      <c r="E278" s="3" t="s">
        <v>705</v>
      </c>
      <c r="F278" s="3">
        <v>11401</v>
      </c>
      <c r="G278" s="3">
        <v>11</v>
      </c>
      <c r="H278" s="3">
        <v>0.49299999999999999</v>
      </c>
      <c r="I278" s="4">
        <v>4905</v>
      </c>
      <c r="J278" s="4">
        <v>5163</v>
      </c>
      <c r="K278" s="4">
        <v>5157</v>
      </c>
      <c r="L278" s="4">
        <v>-258</v>
      </c>
      <c r="M278" s="4">
        <v>748</v>
      </c>
      <c r="N278" s="18">
        <v>25</v>
      </c>
      <c r="O278" s="18">
        <v>600</v>
      </c>
      <c r="P278" s="18">
        <v>0</v>
      </c>
      <c r="Q278" s="18">
        <v>0</v>
      </c>
      <c r="R278" s="18">
        <v>123</v>
      </c>
      <c r="S278" s="18">
        <v>0</v>
      </c>
      <c r="T278" s="18">
        <v>748</v>
      </c>
      <c r="U278" s="18" t="b">
        <v>1</v>
      </c>
      <c r="V278" s="4">
        <v>714</v>
      </c>
      <c r="W278" s="4">
        <v>714</v>
      </c>
      <c r="X278" s="3" t="b">
        <v>1</v>
      </c>
      <c r="Y278" s="18">
        <v>37</v>
      </c>
      <c r="Z278" s="18">
        <v>587</v>
      </c>
      <c r="AA278" s="18">
        <v>0</v>
      </c>
      <c r="AB278" s="18">
        <v>0</v>
      </c>
      <c r="AC278" s="18">
        <v>90</v>
      </c>
      <c r="AD278" s="18">
        <v>0</v>
      </c>
      <c r="AE278" s="18">
        <v>714</v>
      </c>
      <c r="AF278" s="4">
        <v>34</v>
      </c>
      <c r="AG278" s="5">
        <v>4.5454545454545456E-2</v>
      </c>
      <c r="AH278" s="18">
        <f t="shared" si="4"/>
        <v>13</v>
      </c>
      <c r="AI278" s="6">
        <v>0.1524974515800204</v>
      </c>
      <c r="AJ278" s="3">
        <v>0.152</v>
      </c>
      <c r="AK278" s="6">
        <v>0.48924666855433996</v>
      </c>
      <c r="AL278" s="25">
        <v>0.48899999999999999</v>
      </c>
      <c r="AM278" s="6">
        <v>0.14487700949060622</v>
      </c>
      <c r="AN278" s="3">
        <v>0.14499999999999999</v>
      </c>
      <c r="AO278" s="6">
        <v>0.49173566211127001</v>
      </c>
      <c r="AP278" s="6">
        <v>0.13845258871436883</v>
      </c>
      <c r="AQ278" s="6">
        <v>0.13800000000000001</v>
      </c>
      <c r="AR278" s="6">
        <v>0.49647276189091594</v>
      </c>
      <c r="AS278" s="6">
        <v>0.497</v>
      </c>
      <c r="AT278" s="6">
        <v>1.4044862865651569E-2</v>
      </c>
      <c r="AU278" s="6">
        <v>-7.2260933365759783E-3</v>
      </c>
      <c r="AV278" s="6">
        <v>6.4244207762373939E-3</v>
      </c>
      <c r="AW278" s="6">
        <v>-4.7370997796459258E-3</v>
      </c>
      <c r="AX278" s="7">
        <v>178</v>
      </c>
      <c r="AY278" s="7">
        <v>174</v>
      </c>
      <c r="AZ278" s="7">
        <v>164</v>
      </c>
      <c r="BA278" s="26">
        <v>-14</v>
      </c>
      <c r="BB278" s="26">
        <v>-10</v>
      </c>
      <c r="BC278" s="6">
        <v>0.145565749235474</v>
      </c>
      <c r="BD278" s="6">
        <v>0.14599999999999999</v>
      </c>
      <c r="BE278" s="11">
        <v>0.49542693543787614</v>
      </c>
      <c r="BF278" s="26">
        <v>165</v>
      </c>
      <c r="BG278" s="26">
        <v>-1</v>
      </c>
      <c r="BH278" s="7">
        <v>-13</v>
      </c>
    </row>
    <row r="279" spans="2:60" x14ac:dyDescent="0.25">
      <c r="B279" s="3">
        <v>276</v>
      </c>
      <c r="C279" s="3" t="s">
        <v>560</v>
      </c>
      <c r="D279" s="3" t="s">
        <v>561</v>
      </c>
      <c r="E279" s="3" t="s">
        <v>705</v>
      </c>
      <c r="F279" s="3">
        <v>11202</v>
      </c>
      <c r="G279" s="3">
        <v>11</v>
      </c>
      <c r="H279" s="3">
        <v>0.497</v>
      </c>
      <c r="I279" s="4">
        <v>5137</v>
      </c>
      <c r="J279" s="4">
        <v>5872</v>
      </c>
      <c r="K279" s="4">
        <v>5865</v>
      </c>
      <c r="L279" s="4">
        <v>-735</v>
      </c>
      <c r="M279" s="4">
        <v>1263</v>
      </c>
      <c r="N279" s="18">
        <v>0</v>
      </c>
      <c r="O279" s="18">
        <v>994</v>
      </c>
      <c r="P279" s="18">
        <v>0</v>
      </c>
      <c r="Q279" s="18">
        <v>0</v>
      </c>
      <c r="R279" s="18">
        <v>269</v>
      </c>
      <c r="S279" s="18">
        <v>0</v>
      </c>
      <c r="T279" s="18">
        <v>1263</v>
      </c>
      <c r="U279" s="18" t="b">
        <v>1</v>
      </c>
      <c r="V279" s="4">
        <v>1250</v>
      </c>
      <c r="W279" s="4">
        <v>1250</v>
      </c>
      <c r="X279" s="3" t="b">
        <v>1</v>
      </c>
      <c r="Y279" s="18">
        <v>3</v>
      </c>
      <c r="Z279" s="18">
        <v>1024</v>
      </c>
      <c r="AA279" s="18">
        <v>0</v>
      </c>
      <c r="AB279" s="18">
        <v>0</v>
      </c>
      <c r="AC279" s="18">
        <v>223</v>
      </c>
      <c r="AD279" s="18">
        <v>0</v>
      </c>
      <c r="AE279" s="18">
        <v>1250</v>
      </c>
      <c r="AF279" s="4">
        <v>13</v>
      </c>
      <c r="AG279" s="5">
        <v>1.0292953285827395E-2</v>
      </c>
      <c r="AH279" s="18">
        <f t="shared" si="4"/>
        <v>-30</v>
      </c>
      <c r="AI279" s="6">
        <v>0.24586334436441504</v>
      </c>
      <c r="AJ279" s="3">
        <v>0.246</v>
      </c>
      <c r="AK279" s="6">
        <v>0.58547829360823656</v>
      </c>
      <c r="AL279" s="25">
        <v>0.58499999999999996</v>
      </c>
      <c r="AM279" s="6">
        <v>0.21508855585831063</v>
      </c>
      <c r="AN279" s="3">
        <v>0.215</v>
      </c>
      <c r="AO279" s="6">
        <v>0.57149597927824725</v>
      </c>
      <c r="AP279" s="6">
        <v>0.21312872975277067</v>
      </c>
      <c r="AQ279" s="6">
        <v>0.21299999999999999</v>
      </c>
      <c r="AR279" s="6">
        <v>0.58348020384027732</v>
      </c>
      <c r="AS279" s="6">
        <v>0.58399999999999996</v>
      </c>
      <c r="AT279" s="6">
        <v>3.2734614611644369E-2</v>
      </c>
      <c r="AU279" s="6">
        <v>1.9980897679592324E-3</v>
      </c>
      <c r="AV279" s="6">
        <v>1.9598261055399635E-3</v>
      </c>
      <c r="AW279" s="6">
        <v>-1.1984224562030077E-2</v>
      </c>
      <c r="AX279" s="7">
        <v>72</v>
      </c>
      <c r="AY279" s="7">
        <v>87</v>
      </c>
      <c r="AZ279" s="7">
        <v>73</v>
      </c>
      <c r="BA279" s="26">
        <v>1</v>
      </c>
      <c r="BB279" s="26">
        <v>-14</v>
      </c>
      <c r="BC279" s="6">
        <v>0.24333268444617481</v>
      </c>
      <c r="BD279" s="6">
        <v>0.24299999999999999</v>
      </c>
      <c r="BE279" s="11">
        <v>0.60045543450958672</v>
      </c>
      <c r="BF279" s="7">
        <v>62</v>
      </c>
      <c r="BG279" s="26">
        <v>11</v>
      </c>
      <c r="BH279" s="7">
        <v>-10</v>
      </c>
    </row>
    <row r="280" spans="2:60" x14ac:dyDescent="0.25">
      <c r="B280" s="3">
        <v>277</v>
      </c>
      <c r="C280" s="3" t="s">
        <v>562</v>
      </c>
      <c r="D280" s="3" t="s">
        <v>563</v>
      </c>
      <c r="E280" s="3" t="s">
        <v>705</v>
      </c>
      <c r="F280" s="3">
        <v>11301</v>
      </c>
      <c r="G280" s="3">
        <v>11</v>
      </c>
      <c r="H280" s="3">
        <v>0.46</v>
      </c>
      <c r="I280" s="4">
        <v>3458</v>
      </c>
      <c r="J280" s="4">
        <v>3741</v>
      </c>
      <c r="K280" s="4">
        <v>3731</v>
      </c>
      <c r="L280" s="4">
        <v>-283</v>
      </c>
      <c r="M280" s="4">
        <v>740</v>
      </c>
      <c r="N280" s="18">
        <v>37</v>
      </c>
      <c r="O280" s="18">
        <v>595</v>
      </c>
      <c r="P280" s="18">
        <v>0</v>
      </c>
      <c r="Q280" s="18">
        <v>0</v>
      </c>
      <c r="R280" s="18">
        <v>108</v>
      </c>
      <c r="S280" s="18">
        <v>0</v>
      </c>
      <c r="T280" s="18">
        <v>740</v>
      </c>
      <c r="U280" s="18" t="b">
        <v>1</v>
      </c>
      <c r="V280" s="4">
        <v>697</v>
      </c>
      <c r="W280" s="4">
        <v>697</v>
      </c>
      <c r="X280" s="3" t="b">
        <v>1</v>
      </c>
      <c r="Y280" s="18">
        <v>48</v>
      </c>
      <c r="Z280" s="18">
        <v>580</v>
      </c>
      <c r="AA280" s="18">
        <v>0</v>
      </c>
      <c r="AB280" s="18">
        <v>0</v>
      </c>
      <c r="AC280" s="18">
        <v>69</v>
      </c>
      <c r="AD280" s="18">
        <v>0</v>
      </c>
      <c r="AE280" s="18">
        <v>697</v>
      </c>
      <c r="AF280" s="4">
        <v>43</v>
      </c>
      <c r="AG280" s="5">
        <v>5.8108108108108111E-2</v>
      </c>
      <c r="AH280" s="18">
        <f t="shared" si="4"/>
        <v>15</v>
      </c>
      <c r="AI280" s="6">
        <v>0.21399652978600348</v>
      </c>
      <c r="AJ280" s="3">
        <v>0.214</v>
      </c>
      <c r="AK280" s="6">
        <v>0.55263337282701197</v>
      </c>
      <c r="AL280" s="25">
        <v>0.55300000000000005</v>
      </c>
      <c r="AM280" s="6">
        <v>0.19780807270783213</v>
      </c>
      <c r="AN280" s="3">
        <v>0.19800000000000001</v>
      </c>
      <c r="AO280" s="6">
        <v>0.55186535029790107</v>
      </c>
      <c r="AP280" s="6">
        <v>0.18681318681318682</v>
      </c>
      <c r="AQ280" s="6">
        <v>0.187</v>
      </c>
      <c r="AR280" s="6">
        <v>0.55331762396449868</v>
      </c>
      <c r="AS280" s="6">
        <v>0.55300000000000005</v>
      </c>
      <c r="AT280" s="6">
        <v>2.718334297281666E-2</v>
      </c>
      <c r="AU280" s="6">
        <v>-6.8425113748671329E-4</v>
      </c>
      <c r="AV280" s="6">
        <v>1.0994885894645312E-2</v>
      </c>
      <c r="AW280" s="6">
        <v>-1.4522736665976144E-3</v>
      </c>
      <c r="AX280" s="7">
        <v>108</v>
      </c>
      <c r="AY280" s="7">
        <v>108</v>
      </c>
      <c r="AZ280" s="7">
        <v>106</v>
      </c>
      <c r="BA280" s="26">
        <v>-2</v>
      </c>
      <c r="BB280" s="26">
        <v>-2</v>
      </c>
      <c r="BC280" s="6">
        <v>0.20156159629843839</v>
      </c>
      <c r="BD280" s="6">
        <v>0.20200000000000001</v>
      </c>
      <c r="BE280" s="11">
        <v>0.5555818309411209</v>
      </c>
      <c r="BF280" s="26">
        <v>106</v>
      </c>
      <c r="BG280" s="26">
        <v>0</v>
      </c>
      <c r="BH280" s="7">
        <v>-2</v>
      </c>
    </row>
    <row r="281" spans="2:60" x14ac:dyDescent="0.25">
      <c r="B281" s="3">
        <v>278</v>
      </c>
      <c r="C281" s="3" t="s">
        <v>564</v>
      </c>
      <c r="D281" s="3" t="s">
        <v>565</v>
      </c>
      <c r="E281" s="3" t="s">
        <v>705</v>
      </c>
      <c r="F281" s="3">
        <v>11101</v>
      </c>
      <c r="G281" s="3">
        <v>11</v>
      </c>
      <c r="H281" s="3">
        <v>0.53100000000000003</v>
      </c>
      <c r="I281" s="4">
        <v>57823</v>
      </c>
      <c r="J281" s="4">
        <v>62046</v>
      </c>
      <c r="K281" s="4">
        <v>61885</v>
      </c>
      <c r="L281" s="4">
        <v>-4223</v>
      </c>
      <c r="M281" s="4">
        <v>13994</v>
      </c>
      <c r="N281" s="18">
        <v>36</v>
      </c>
      <c r="O281" s="18">
        <v>12922</v>
      </c>
      <c r="P281" s="18">
        <v>0</v>
      </c>
      <c r="Q281" s="18">
        <v>0</v>
      </c>
      <c r="R281" s="18">
        <v>1036</v>
      </c>
      <c r="S281" s="18">
        <v>0</v>
      </c>
      <c r="T281" s="18">
        <v>13994</v>
      </c>
      <c r="U281" s="18" t="b">
        <v>1</v>
      </c>
      <c r="V281" s="4">
        <v>13343</v>
      </c>
      <c r="W281" s="4">
        <v>13343</v>
      </c>
      <c r="X281" s="3" t="b">
        <v>1</v>
      </c>
      <c r="Y281" s="18">
        <v>72</v>
      </c>
      <c r="Z281" s="18">
        <v>12611</v>
      </c>
      <c r="AA281" s="18">
        <v>0</v>
      </c>
      <c r="AB281" s="18">
        <v>0</v>
      </c>
      <c r="AC281" s="18">
        <v>660</v>
      </c>
      <c r="AD281" s="18">
        <v>0</v>
      </c>
      <c r="AE281" s="18">
        <v>13343</v>
      </c>
      <c r="AF281" s="4">
        <v>651</v>
      </c>
      <c r="AG281" s="5">
        <v>4.6519937115906816E-2</v>
      </c>
      <c r="AH281" s="18">
        <f t="shared" si="4"/>
        <v>311</v>
      </c>
      <c r="AI281" s="6">
        <v>0.24201442332635803</v>
      </c>
      <c r="AJ281" s="3">
        <v>0.24199999999999999</v>
      </c>
      <c r="AK281" s="6">
        <v>0.58151123545508776</v>
      </c>
      <c r="AL281" s="25">
        <v>0.58199999999999996</v>
      </c>
      <c r="AM281" s="6">
        <v>0.22554233955452407</v>
      </c>
      <c r="AN281" s="3">
        <v>0.22600000000000001</v>
      </c>
      <c r="AO281" s="6">
        <v>0.58337147763058783</v>
      </c>
      <c r="AP281" s="6">
        <v>0.21560959844873556</v>
      </c>
      <c r="AQ281" s="6">
        <v>0.216</v>
      </c>
      <c r="AR281" s="6">
        <v>0.58696050151825174</v>
      </c>
      <c r="AS281" s="6">
        <v>0.58599999999999997</v>
      </c>
      <c r="AT281" s="6">
        <v>2.6404824877622468E-2</v>
      </c>
      <c r="AU281" s="6">
        <v>-5.4492660631639822E-3</v>
      </c>
      <c r="AV281" s="6">
        <v>9.9327411057885118E-3</v>
      </c>
      <c r="AW281" s="6">
        <v>-3.5890238876639113E-3</v>
      </c>
      <c r="AX281" s="7">
        <v>75</v>
      </c>
      <c r="AY281" s="7">
        <v>71</v>
      </c>
      <c r="AZ281" s="7">
        <v>71</v>
      </c>
      <c r="BA281" s="26">
        <v>-4</v>
      </c>
      <c r="BB281" s="26">
        <v>0</v>
      </c>
      <c r="BC281" s="6">
        <v>0.23075592757207339</v>
      </c>
      <c r="BD281" s="6">
        <v>0.23100000000000001</v>
      </c>
      <c r="BE281" s="11">
        <v>0.58694454869906254</v>
      </c>
      <c r="BF281" s="7">
        <v>76</v>
      </c>
      <c r="BG281" s="26">
        <v>-5</v>
      </c>
      <c r="BH281" s="7">
        <v>1</v>
      </c>
    </row>
    <row r="282" spans="2:60" x14ac:dyDescent="0.25">
      <c r="B282" s="3">
        <v>279</v>
      </c>
      <c r="C282" s="3" t="s">
        <v>566</v>
      </c>
      <c r="D282" s="3" t="s">
        <v>567</v>
      </c>
      <c r="E282" s="3" t="s">
        <v>705</v>
      </c>
      <c r="F282" s="3">
        <v>11203</v>
      </c>
      <c r="G282" s="3">
        <v>11</v>
      </c>
      <c r="H282" s="3"/>
      <c r="I282" s="4">
        <v>1598</v>
      </c>
      <c r="J282" s="4">
        <v>1611</v>
      </c>
      <c r="K282" s="4">
        <v>1608</v>
      </c>
      <c r="L282" s="4">
        <v>-13</v>
      </c>
      <c r="M282" s="4">
        <v>143</v>
      </c>
      <c r="N282" s="18">
        <v>46</v>
      </c>
      <c r="O282" s="18">
        <v>0</v>
      </c>
      <c r="P282" s="18">
        <v>0</v>
      </c>
      <c r="Q282" s="18">
        <v>0</v>
      </c>
      <c r="R282" s="18">
        <v>97</v>
      </c>
      <c r="S282" s="18">
        <v>0</v>
      </c>
      <c r="T282" s="18">
        <v>143</v>
      </c>
      <c r="U282" s="18" t="b">
        <v>1</v>
      </c>
      <c r="V282" s="4">
        <v>126</v>
      </c>
      <c r="W282" s="4">
        <v>126</v>
      </c>
      <c r="X282" s="3" t="b">
        <v>1</v>
      </c>
      <c r="Y282" s="18">
        <v>60</v>
      </c>
      <c r="Z282" s="18">
        <v>0</v>
      </c>
      <c r="AA282" s="18">
        <v>0</v>
      </c>
      <c r="AB282" s="18">
        <v>0</v>
      </c>
      <c r="AC282" s="18">
        <v>66</v>
      </c>
      <c r="AD282" s="18">
        <v>0</v>
      </c>
      <c r="AE282" s="18">
        <v>126</v>
      </c>
      <c r="AF282" s="4">
        <v>17</v>
      </c>
      <c r="AG282" s="5">
        <v>0.11888111888111888</v>
      </c>
      <c r="AH282" s="18">
        <f t="shared" si="4"/>
        <v>0</v>
      </c>
      <c r="AI282" s="6">
        <v>8.9486858573216518E-2</v>
      </c>
      <c r="AJ282" s="3">
        <v>8.8999999999999996E-2</v>
      </c>
      <c r="AK282" s="6">
        <v>0.42430205570029866</v>
      </c>
      <c r="AL282" s="25">
        <v>0.42399999999999999</v>
      </c>
      <c r="AM282" s="6">
        <v>8.8764742396027316E-2</v>
      </c>
      <c r="AN282" s="3">
        <v>8.8999999999999996E-2</v>
      </c>
      <c r="AO282" s="6">
        <v>0.42799212629761663</v>
      </c>
      <c r="AP282" s="6">
        <v>7.8358208955223885E-2</v>
      </c>
      <c r="AQ282" s="6">
        <v>7.8E-2</v>
      </c>
      <c r="AR282" s="6">
        <v>0.42686680833142682</v>
      </c>
      <c r="AS282" s="6">
        <v>0.42699999999999999</v>
      </c>
      <c r="AT282" s="6">
        <v>1.1128649617992634E-2</v>
      </c>
      <c r="AU282" s="6">
        <v>-2.5647526311281532E-3</v>
      </c>
      <c r="AV282" s="6">
        <v>1.0406533440803431E-2</v>
      </c>
      <c r="AW282" s="6">
        <v>1.1253179661898094E-3</v>
      </c>
      <c r="AX282" s="7">
        <v>250</v>
      </c>
      <c r="AY282" s="7">
        <v>248</v>
      </c>
      <c r="AZ282" s="7">
        <v>242</v>
      </c>
      <c r="BA282" s="26">
        <v>-8</v>
      </c>
      <c r="BB282" s="26">
        <v>-6</v>
      </c>
      <c r="BC282" s="6">
        <v>7.8848560700876091E-2</v>
      </c>
      <c r="BD282" s="6">
        <v>7.9000000000000001E-2</v>
      </c>
      <c r="BE282" s="11">
        <v>0.42375437907746971</v>
      </c>
      <c r="BF282" s="26">
        <v>245</v>
      </c>
      <c r="BG282" s="26">
        <v>-3</v>
      </c>
      <c r="BH282" s="7">
        <v>-5</v>
      </c>
    </row>
    <row r="283" spans="2:60" x14ac:dyDescent="0.25">
      <c r="B283" s="3">
        <v>280</v>
      </c>
      <c r="C283" s="3" t="s">
        <v>568</v>
      </c>
      <c r="D283" s="3" t="s">
        <v>569</v>
      </c>
      <c r="E283" s="3" t="s">
        <v>705</v>
      </c>
      <c r="F283" s="3">
        <v>11102</v>
      </c>
      <c r="G283" s="3">
        <v>11</v>
      </c>
      <c r="H283" s="3"/>
      <c r="I283" s="4">
        <v>779</v>
      </c>
      <c r="J283" s="4">
        <v>914</v>
      </c>
      <c r="K283" s="4">
        <v>915</v>
      </c>
      <c r="L283" s="4">
        <v>-135</v>
      </c>
      <c r="M283" s="4">
        <v>119</v>
      </c>
      <c r="N283" s="18">
        <v>1</v>
      </c>
      <c r="O283" s="18">
        <v>19</v>
      </c>
      <c r="P283" s="18">
        <v>0</v>
      </c>
      <c r="Q283" s="18">
        <v>0</v>
      </c>
      <c r="R283" s="18">
        <v>99</v>
      </c>
      <c r="S283" s="18">
        <v>0</v>
      </c>
      <c r="T283" s="18">
        <v>119</v>
      </c>
      <c r="U283" s="18" t="b">
        <v>1</v>
      </c>
      <c r="V283" s="4">
        <v>128</v>
      </c>
      <c r="W283" s="4">
        <v>128</v>
      </c>
      <c r="X283" s="3" t="b">
        <v>1</v>
      </c>
      <c r="Y283" s="18">
        <v>1</v>
      </c>
      <c r="Z283" s="18">
        <v>21</v>
      </c>
      <c r="AA283" s="18">
        <v>0</v>
      </c>
      <c r="AB283" s="18">
        <v>0</v>
      </c>
      <c r="AC283" s="18">
        <v>106</v>
      </c>
      <c r="AD283" s="18">
        <v>0</v>
      </c>
      <c r="AE283" s="18">
        <v>128</v>
      </c>
      <c r="AF283" s="4">
        <v>-9</v>
      </c>
      <c r="AG283" s="5">
        <v>-7.5630252100840331E-2</v>
      </c>
      <c r="AH283" s="18">
        <f t="shared" si="4"/>
        <v>-2</v>
      </c>
      <c r="AI283" s="6">
        <v>0.15275994865211809</v>
      </c>
      <c r="AJ283" s="3">
        <v>0.153</v>
      </c>
      <c r="AK283" s="6">
        <v>0.48951722259786185</v>
      </c>
      <c r="AL283" s="25">
        <v>0.49</v>
      </c>
      <c r="AM283" s="6">
        <v>0.13019693654266959</v>
      </c>
      <c r="AN283" s="3">
        <v>0.13</v>
      </c>
      <c r="AO283" s="6">
        <v>0.47505909913928046</v>
      </c>
      <c r="AP283" s="6">
        <v>0.13989071038251366</v>
      </c>
      <c r="AQ283" s="6">
        <v>0.14000000000000001</v>
      </c>
      <c r="AR283" s="6">
        <v>0.49879296034289894</v>
      </c>
      <c r="AS283" s="6">
        <v>0.499</v>
      </c>
      <c r="AT283" s="6">
        <v>1.2869238269604427E-2</v>
      </c>
      <c r="AU283" s="6">
        <v>-9.2757377450370937E-3</v>
      </c>
      <c r="AV283" s="6">
        <v>-9.693773839844072E-3</v>
      </c>
      <c r="AW283" s="6">
        <v>-2.3733861203618478E-2</v>
      </c>
      <c r="AX283" s="7">
        <v>176</v>
      </c>
      <c r="AY283" s="7">
        <v>194</v>
      </c>
      <c r="AZ283" s="7">
        <v>161</v>
      </c>
      <c r="BA283" s="26">
        <v>-15</v>
      </c>
      <c r="BB283" s="26">
        <v>-33</v>
      </c>
      <c r="BC283" s="6">
        <v>0.16431322207958921</v>
      </c>
      <c r="BD283" s="6">
        <v>0.16400000000000001</v>
      </c>
      <c r="BE283" s="11">
        <v>0.51556686239745175</v>
      </c>
      <c r="BF283" s="7">
        <v>140</v>
      </c>
      <c r="BG283" s="26">
        <v>21</v>
      </c>
      <c r="BH283" s="7">
        <v>-36</v>
      </c>
    </row>
    <row r="284" spans="2:60" x14ac:dyDescent="0.25">
      <c r="B284" s="3">
        <v>281</v>
      </c>
      <c r="C284" s="3" t="s">
        <v>171</v>
      </c>
      <c r="D284" s="3" t="s">
        <v>570</v>
      </c>
      <c r="E284" s="3" t="s">
        <v>705</v>
      </c>
      <c r="F284" s="3">
        <v>11302</v>
      </c>
      <c r="G284" s="3">
        <v>11</v>
      </c>
      <c r="H284" s="3"/>
      <c r="I284" s="4">
        <v>647</v>
      </c>
      <c r="J284" s="4">
        <v>675</v>
      </c>
      <c r="K284" s="4">
        <v>672</v>
      </c>
      <c r="L284" s="4">
        <v>-28</v>
      </c>
      <c r="M284" s="4">
        <v>160</v>
      </c>
      <c r="N284" s="18">
        <v>0</v>
      </c>
      <c r="O284" s="18">
        <v>0</v>
      </c>
      <c r="P284" s="18">
        <v>0</v>
      </c>
      <c r="Q284" s="18">
        <v>0</v>
      </c>
      <c r="R284" s="18">
        <v>160</v>
      </c>
      <c r="S284" s="18">
        <v>0</v>
      </c>
      <c r="T284" s="18">
        <v>160</v>
      </c>
      <c r="U284" s="18" t="b">
        <v>1</v>
      </c>
      <c r="V284" s="4">
        <v>123</v>
      </c>
      <c r="W284" s="4">
        <v>123</v>
      </c>
      <c r="X284" s="3" t="b">
        <v>1</v>
      </c>
      <c r="Y284" s="18">
        <v>0</v>
      </c>
      <c r="Z284" s="18">
        <v>0</v>
      </c>
      <c r="AA284" s="18">
        <v>0</v>
      </c>
      <c r="AB284" s="18">
        <v>0</v>
      </c>
      <c r="AC284" s="18">
        <v>123</v>
      </c>
      <c r="AD284" s="18">
        <v>0</v>
      </c>
      <c r="AE284" s="18">
        <v>123</v>
      </c>
      <c r="AF284" s="4">
        <v>37</v>
      </c>
      <c r="AG284" s="5">
        <v>0.23125000000000001</v>
      </c>
      <c r="AH284" s="18">
        <f t="shared" si="4"/>
        <v>0</v>
      </c>
      <c r="AI284" s="6">
        <v>0.2472952086553323</v>
      </c>
      <c r="AJ284" s="3">
        <v>0.247</v>
      </c>
      <c r="AK284" s="6">
        <v>0.58695410692145378</v>
      </c>
      <c r="AL284" s="25">
        <v>0.58699999999999997</v>
      </c>
      <c r="AM284" s="6">
        <v>0.23703703703703705</v>
      </c>
      <c r="AN284" s="3">
        <v>0.23699999999999999</v>
      </c>
      <c r="AO284" s="6">
        <v>0.59642945405147751</v>
      </c>
      <c r="AP284" s="6">
        <v>0.18303571428571427</v>
      </c>
      <c r="AQ284" s="6">
        <v>0.183</v>
      </c>
      <c r="AR284" s="6">
        <v>0.54867722706053279</v>
      </c>
      <c r="AS284" s="6">
        <v>0.54900000000000004</v>
      </c>
      <c r="AT284" s="6">
        <v>6.4259494369618031E-2</v>
      </c>
      <c r="AU284" s="6">
        <v>3.8276879860920987E-2</v>
      </c>
      <c r="AV284" s="6">
        <v>5.4001322751322772E-2</v>
      </c>
      <c r="AW284" s="6">
        <v>4.7752226990944724E-2</v>
      </c>
      <c r="AX284" s="7">
        <v>70</v>
      </c>
      <c r="AY284" s="7">
        <v>61</v>
      </c>
      <c r="AZ284" s="7">
        <v>110</v>
      </c>
      <c r="BA284" s="26">
        <v>40</v>
      </c>
      <c r="BB284" s="26">
        <v>49</v>
      </c>
      <c r="BC284" s="6">
        <v>0.1901081916537867</v>
      </c>
      <c r="BD284" s="6">
        <v>0.19</v>
      </c>
      <c r="BE284" s="11">
        <v>0.54327773348223818</v>
      </c>
      <c r="BF284" s="26">
        <v>114</v>
      </c>
      <c r="BG284" s="26">
        <v>-4</v>
      </c>
      <c r="BH284" s="7">
        <v>44</v>
      </c>
    </row>
    <row r="285" spans="2:60" x14ac:dyDescent="0.25">
      <c r="B285" s="3">
        <v>282</v>
      </c>
      <c r="C285" s="3" t="s">
        <v>571</v>
      </c>
      <c r="D285" s="3" t="s">
        <v>572</v>
      </c>
      <c r="E285" s="3" t="s">
        <v>705</v>
      </c>
      <c r="F285" s="3">
        <v>11402</v>
      </c>
      <c r="G285" s="3">
        <v>11</v>
      </c>
      <c r="H285" s="3"/>
      <c r="I285" s="4">
        <v>2723</v>
      </c>
      <c r="J285" s="4">
        <v>2713</v>
      </c>
      <c r="K285" s="4">
        <v>2711</v>
      </c>
      <c r="L285" s="4">
        <v>10</v>
      </c>
      <c r="M285" s="4">
        <v>423</v>
      </c>
      <c r="N285" s="18">
        <v>3</v>
      </c>
      <c r="O285" s="18">
        <v>279</v>
      </c>
      <c r="P285" s="18">
        <v>0</v>
      </c>
      <c r="Q285" s="18">
        <v>0</v>
      </c>
      <c r="R285" s="18">
        <v>141</v>
      </c>
      <c r="S285" s="18">
        <v>0</v>
      </c>
      <c r="T285" s="18">
        <v>423</v>
      </c>
      <c r="U285" s="18" t="b">
        <v>1</v>
      </c>
      <c r="V285" s="4">
        <v>384</v>
      </c>
      <c r="W285" s="4">
        <v>384</v>
      </c>
      <c r="X285" s="3" t="b">
        <v>1</v>
      </c>
      <c r="Y285" s="18">
        <v>10</v>
      </c>
      <c r="Z285" s="18">
        <v>273</v>
      </c>
      <c r="AA285" s="18">
        <v>0</v>
      </c>
      <c r="AB285" s="18">
        <v>0</v>
      </c>
      <c r="AC285" s="18">
        <v>101</v>
      </c>
      <c r="AD285" s="18">
        <v>0</v>
      </c>
      <c r="AE285" s="18">
        <v>384</v>
      </c>
      <c r="AF285" s="4">
        <v>39</v>
      </c>
      <c r="AG285" s="5">
        <v>9.2198581560283682E-2</v>
      </c>
      <c r="AH285" s="18">
        <f t="shared" si="4"/>
        <v>6</v>
      </c>
      <c r="AI285" s="6">
        <v>0.15534337128167464</v>
      </c>
      <c r="AJ285" s="3">
        <v>0.155</v>
      </c>
      <c r="AK285" s="6">
        <v>0.49217993968253998</v>
      </c>
      <c r="AL285" s="25">
        <v>0.49199999999999999</v>
      </c>
      <c r="AM285" s="6">
        <v>0.15591596019166973</v>
      </c>
      <c r="AN285" s="3">
        <v>0.156</v>
      </c>
      <c r="AO285" s="6">
        <v>0.50427591018523132</v>
      </c>
      <c r="AP285" s="6">
        <v>0.14164514939136849</v>
      </c>
      <c r="AQ285" s="6">
        <v>0.14199999999999999</v>
      </c>
      <c r="AR285" s="6">
        <v>0.50111315879488183</v>
      </c>
      <c r="AS285" s="6">
        <v>0.501</v>
      </c>
      <c r="AT285" s="6">
        <v>1.3698221890306145E-2</v>
      </c>
      <c r="AU285" s="6">
        <v>-8.9332191123418503E-3</v>
      </c>
      <c r="AV285" s="6">
        <v>1.4270810800301237E-2</v>
      </c>
      <c r="AW285" s="6">
        <v>3.1627513903494942E-3</v>
      </c>
      <c r="AX285" s="7">
        <v>171</v>
      </c>
      <c r="AY285" s="7">
        <v>155</v>
      </c>
      <c r="AZ285" s="7">
        <v>157</v>
      </c>
      <c r="BA285" s="26">
        <v>-14</v>
      </c>
      <c r="BB285" s="26">
        <v>2</v>
      </c>
      <c r="BC285" s="6">
        <v>0.14102093279471173</v>
      </c>
      <c r="BD285" s="6">
        <v>0.14099999999999999</v>
      </c>
      <c r="BE285" s="11">
        <v>0.49054455625414728</v>
      </c>
      <c r="BF285" s="7">
        <v>169</v>
      </c>
      <c r="BG285" s="26">
        <v>-12</v>
      </c>
      <c r="BH285" s="7">
        <v>-2</v>
      </c>
    </row>
    <row r="286" spans="2:60" x14ac:dyDescent="0.25">
      <c r="B286" s="3">
        <v>283</v>
      </c>
      <c r="C286" s="3" t="s">
        <v>573</v>
      </c>
      <c r="D286" s="3" t="s">
        <v>574</v>
      </c>
      <c r="E286" s="3" t="s">
        <v>705</v>
      </c>
      <c r="F286" s="3">
        <v>11303</v>
      </c>
      <c r="G286" s="3">
        <v>11</v>
      </c>
      <c r="H286" s="3"/>
      <c r="I286" s="4">
        <v>505</v>
      </c>
      <c r="J286" s="4">
        <v>585</v>
      </c>
      <c r="K286" s="4">
        <v>582</v>
      </c>
      <c r="L286" s="4">
        <v>-80</v>
      </c>
      <c r="M286" s="4">
        <v>16</v>
      </c>
      <c r="N286" s="18">
        <v>0</v>
      </c>
      <c r="O286" s="18">
        <v>0</v>
      </c>
      <c r="P286" s="18">
        <v>0</v>
      </c>
      <c r="Q286" s="18">
        <v>0</v>
      </c>
      <c r="R286" s="18">
        <v>16</v>
      </c>
      <c r="S286" s="18">
        <v>0</v>
      </c>
      <c r="T286" s="18">
        <v>16</v>
      </c>
      <c r="U286" s="18" t="b">
        <v>1</v>
      </c>
      <c r="V286" s="4">
        <v>15</v>
      </c>
      <c r="W286" s="4">
        <v>15</v>
      </c>
      <c r="X286" s="3" t="b">
        <v>1</v>
      </c>
      <c r="Y286" s="18">
        <v>0</v>
      </c>
      <c r="Z286" s="18">
        <v>0</v>
      </c>
      <c r="AA286" s="18">
        <v>0</v>
      </c>
      <c r="AB286" s="18">
        <v>0</v>
      </c>
      <c r="AC286" s="18">
        <v>15</v>
      </c>
      <c r="AD286" s="18">
        <v>0</v>
      </c>
      <c r="AE286" s="18">
        <v>15</v>
      </c>
      <c r="AF286" s="4">
        <v>1</v>
      </c>
      <c r="AG286" s="5">
        <v>6.25E-2</v>
      </c>
      <c r="AH286" s="18">
        <f t="shared" si="4"/>
        <v>0</v>
      </c>
      <c r="AI286" s="6">
        <v>3.1683168316831684E-2</v>
      </c>
      <c r="AJ286" s="3">
        <v>3.2000000000000001E-2</v>
      </c>
      <c r="AK286" s="6">
        <v>0.36472416401420604</v>
      </c>
      <c r="AL286" s="25">
        <v>0.36499999999999999</v>
      </c>
      <c r="AM286" s="6">
        <v>2.735042735042735E-2</v>
      </c>
      <c r="AN286" s="3">
        <v>2.7E-2</v>
      </c>
      <c r="AO286" s="6">
        <v>0.35822546397435429</v>
      </c>
      <c r="AP286" s="6">
        <v>2.5773195876288658E-2</v>
      </c>
      <c r="AQ286" s="6">
        <v>2.5999999999999999E-2</v>
      </c>
      <c r="AR286" s="6">
        <v>0.36654164857986959</v>
      </c>
      <c r="AS286" s="6">
        <v>0.36699999999999999</v>
      </c>
      <c r="AT286" s="6">
        <v>5.9099724405430251E-3</v>
      </c>
      <c r="AU286" s="6">
        <v>-1.8174845656635519E-3</v>
      </c>
      <c r="AV286" s="6">
        <v>1.577231474138692E-3</v>
      </c>
      <c r="AW286" s="6">
        <v>-8.3161846055153088E-3</v>
      </c>
      <c r="AX286" s="7">
        <v>324</v>
      </c>
      <c r="AY286" s="7">
        <v>327</v>
      </c>
      <c r="AZ286" s="7">
        <v>320</v>
      </c>
      <c r="BA286" s="26">
        <v>-4</v>
      </c>
      <c r="BB286" s="26">
        <v>-7</v>
      </c>
      <c r="BC286" s="6">
        <v>2.9702970297029702E-2</v>
      </c>
      <c r="BD286" s="6">
        <v>0.03</v>
      </c>
      <c r="BE286" s="11">
        <v>0.37095853777401755</v>
      </c>
      <c r="BF286" s="26">
        <v>322</v>
      </c>
      <c r="BG286" s="26">
        <v>-2</v>
      </c>
      <c r="BH286" s="7">
        <v>-2</v>
      </c>
    </row>
    <row r="287" spans="2:60" x14ac:dyDescent="0.25">
      <c r="B287" s="3">
        <v>284</v>
      </c>
      <c r="C287" s="3" t="s">
        <v>575</v>
      </c>
      <c r="D287" s="3" t="s">
        <v>576</v>
      </c>
      <c r="E287" s="3" t="s">
        <v>706</v>
      </c>
      <c r="F287" s="3">
        <v>12201</v>
      </c>
      <c r="G287" s="3">
        <v>12</v>
      </c>
      <c r="H287" s="3"/>
      <c r="I287" s="4">
        <v>1750</v>
      </c>
      <c r="J287" s="4">
        <v>1968</v>
      </c>
      <c r="K287" s="4">
        <v>1973</v>
      </c>
      <c r="L287" s="4">
        <v>-218</v>
      </c>
      <c r="M287" s="4">
        <v>262</v>
      </c>
      <c r="N287" s="18">
        <v>0</v>
      </c>
      <c r="O287" s="18">
        <v>191</v>
      </c>
      <c r="P287" s="18">
        <v>0</v>
      </c>
      <c r="Q287" s="18">
        <v>0</v>
      </c>
      <c r="R287" s="18">
        <v>71</v>
      </c>
      <c r="S287" s="18">
        <v>0</v>
      </c>
      <c r="T287" s="18">
        <v>262</v>
      </c>
      <c r="U287" s="18" t="b">
        <v>1</v>
      </c>
      <c r="V287" s="4">
        <v>227</v>
      </c>
      <c r="W287" s="4">
        <v>227</v>
      </c>
      <c r="X287" s="3" t="b">
        <v>1</v>
      </c>
      <c r="Y287" s="18">
        <v>0</v>
      </c>
      <c r="Z287" s="18">
        <v>185</v>
      </c>
      <c r="AA287" s="18">
        <v>0</v>
      </c>
      <c r="AB287" s="18">
        <v>0</v>
      </c>
      <c r="AC287" s="18">
        <v>42</v>
      </c>
      <c r="AD287" s="18">
        <v>0</v>
      </c>
      <c r="AE287" s="18">
        <v>227</v>
      </c>
      <c r="AF287" s="4">
        <v>35</v>
      </c>
      <c r="AG287" s="5">
        <v>0.13358778625954199</v>
      </c>
      <c r="AH287" s="18">
        <f t="shared" si="4"/>
        <v>6</v>
      </c>
      <c r="AI287" s="6">
        <v>0.14971428571428572</v>
      </c>
      <c r="AJ287" s="3">
        <v>0.15</v>
      </c>
      <c r="AK287" s="6">
        <v>0.48637807740111583</v>
      </c>
      <c r="AL287" s="25">
        <v>0.48599999999999999</v>
      </c>
      <c r="AM287" s="6">
        <v>0.133130081300813</v>
      </c>
      <c r="AN287" s="3">
        <v>0.13300000000000001</v>
      </c>
      <c r="AO287" s="6">
        <v>0.4783911516051379</v>
      </c>
      <c r="AP287" s="6">
        <v>0.11505321844906234</v>
      </c>
      <c r="AQ287" s="6">
        <v>0.115</v>
      </c>
      <c r="AR287" s="6">
        <v>0.46979047969311177</v>
      </c>
      <c r="AS287" s="6">
        <v>0.47</v>
      </c>
      <c r="AT287" s="6">
        <v>3.4661067265223375E-2</v>
      </c>
      <c r="AU287" s="6">
        <v>1.6587597708004054E-2</v>
      </c>
      <c r="AV287" s="6">
        <v>1.8076862851750655E-2</v>
      </c>
      <c r="AW287" s="6">
        <v>8.6006719120261255E-3</v>
      </c>
      <c r="AX287" s="7">
        <v>182</v>
      </c>
      <c r="AY287" s="7">
        <v>191</v>
      </c>
      <c r="AZ287" s="7">
        <v>192</v>
      </c>
      <c r="BA287" s="26">
        <v>10</v>
      </c>
      <c r="BB287" s="26">
        <v>1</v>
      </c>
      <c r="BC287" s="6">
        <v>0.12971428571428573</v>
      </c>
      <c r="BD287" s="6">
        <v>0.13</v>
      </c>
      <c r="BE287" s="11">
        <v>0.47839811666461307</v>
      </c>
      <c r="BF287" s="7">
        <v>189</v>
      </c>
      <c r="BG287" s="26">
        <v>3</v>
      </c>
      <c r="BH287" s="7">
        <v>7</v>
      </c>
    </row>
    <row r="288" spans="2:60" x14ac:dyDescent="0.25">
      <c r="B288" s="3">
        <v>285</v>
      </c>
      <c r="C288" s="3" t="s">
        <v>577</v>
      </c>
      <c r="D288" s="3" t="s">
        <v>578</v>
      </c>
      <c r="E288" s="3" t="s">
        <v>706</v>
      </c>
      <c r="F288" s="3">
        <v>12102</v>
      </c>
      <c r="G288" s="3">
        <v>12</v>
      </c>
      <c r="H288" s="3"/>
      <c r="I288" s="4">
        <v>269</v>
      </c>
      <c r="J288" s="4">
        <v>248</v>
      </c>
      <c r="K288" s="4">
        <v>252</v>
      </c>
      <c r="L288" s="4">
        <v>21</v>
      </c>
      <c r="M288" s="4">
        <v>24</v>
      </c>
      <c r="N288" s="18">
        <v>0</v>
      </c>
      <c r="O288" s="18">
        <v>1</v>
      </c>
      <c r="P288" s="18">
        <v>0</v>
      </c>
      <c r="Q288" s="18">
        <v>0</v>
      </c>
      <c r="R288" s="18">
        <v>23</v>
      </c>
      <c r="S288" s="18">
        <v>0</v>
      </c>
      <c r="T288" s="18">
        <v>24</v>
      </c>
      <c r="U288" s="18" t="b">
        <v>1</v>
      </c>
      <c r="V288" s="4">
        <v>17</v>
      </c>
      <c r="W288" s="4">
        <v>17</v>
      </c>
      <c r="X288" s="3" t="b">
        <v>1</v>
      </c>
      <c r="Y288" s="18">
        <v>0</v>
      </c>
      <c r="Z288" s="18">
        <v>1</v>
      </c>
      <c r="AA288" s="18">
        <v>0</v>
      </c>
      <c r="AB288" s="18">
        <v>0</v>
      </c>
      <c r="AC288" s="18">
        <v>16</v>
      </c>
      <c r="AD288" s="18">
        <v>0</v>
      </c>
      <c r="AE288" s="18">
        <v>17</v>
      </c>
      <c r="AF288" s="4">
        <v>7</v>
      </c>
      <c r="AG288" s="5">
        <v>0.29166666666666669</v>
      </c>
      <c r="AH288" s="18">
        <f t="shared" si="4"/>
        <v>0</v>
      </c>
      <c r="AI288" s="6">
        <v>8.9219330855018583E-2</v>
      </c>
      <c r="AJ288" s="3">
        <v>8.8999999999999996E-2</v>
      </c>
      <c r="AK288" s="6">
        <v>0.42402631660220425</v>
      </c>
      <c r="AL288" s="25">
        <v>0.42399999999999999</v>
      </c>
      <c r="AM288" s="6">
        <v>9.6774193548387094E-2</v>
      </c>
      <c r="AN288" s="3">
        <v>9.7000000000000003E-2</v>
      </c>
      <c r="AO288" s="6">
        <v>0.43709086286296706</v>
      </c>
      <c r="AP288" s="6">
        <v>6.7460317460317457E-2</v>
      </c>
      <c r="AQ288" s="6">
        <v>6.7000000000000004E-2</v>
      </c>
      <c r="AR288" s="6">
        <v>0.4141057168455205</v>
      </c>
      <c r="AS288" s="6">
        <v>0.41499999999999998</v>
      </c>
      <c r="AT288" s="6">
        <v>2.1759013394701127E-2</v>
      </c>
      <c r="AU288" s="6">
        <v>9.9205997566837456E-3</v>
      </c>
      <c r="AV288" s="6">
        <v>2.9313876088069638E-2</v>
      </c>
      <c r="AW288" s="6">
        <v>2.2985146017446556E-2</v>
      </c>
      <c r="AX288" s="7">
        <v>251</v>
      </c>
      <c r="AY288" s="7">
        <v>236</v>
      </c>
      <c r="AZ288" s="7">
        <v>257</v>
      </c>
      <c r="BA288" s="26">
        <v>6</v>
      </c>
      <c r="BB288" s="26">
        <v>21</v>
      </c>
      <c r="BC288" s="6">
        <v>6.3197026022304828E-2</v>
      </c>
      <c r="BD288" s="6">
        <v>6.3E-2</v>
      </c>
      <c r="BE288" s="11">
        <v>0.40694033870772267</v>
      </c>
      <c r="BF288" s="26">
        <v>266</v>
      </c>
      <c r="BG288" s="26">
        <v>-9</v>
      </c>
      <c r="BH288" s="7">
        <v>15</v>
      </c>
    </row>
    <row r="289" spans="2:60" x14ac:dyDescent="0.25">
      <c r="B289" s="3">
        <v>286</v>
      </c>
      <c r="C289" s="3" t="s">
        <v>579</v>
      </c>
      <c r="D289" s="3" t="s">
        <v>580</v>
      </c>
      <c r="E289" s="3" t="s">
        <v>706</v>
      </c>
      <c r="F289" s="3">
        <v>12401</v>
      </c>
      <c r="G289" s="3">
        <v>12</v>
      </c>
      <c r="H289" s="3">
        <v>0.52700000000000002</v>
      </c>
      <c r="I289" s="4">
        <v>24152</v>
      </c>
      <c r="J289" s="4">
        <v>24631</v>
      </c>
      <c r="K289" s="4">
        <v>24447</v>
      </c>
      <c r="L289" s="4">
        <v>-479</v>
      </c>
      <c r="M289" s="4">
        <v>7321</v>
      </c>
      <c r="N289" s="18">
        <v>0</v>
      </c>
      <c r="O289" s="18">
        <v>6934</v>
      </c>
      <c r="P289" s="18">
        <v>0</v>
      </c>
      <c r="Q289" s="18">
        <v>0</v>
      </c>
      <c r="R289" s="18">
        <v>387</v>
      </c>
      <c r="S289" s="18">
        <v>0</v>
      </c>
      <c r="T289" s="18">
        <v>7321</v>
      </c>
      <c r="U289" s="18" t="b">
        <v>1</v>
      </c>
      <c r="V289" s="4">
        <v>7073</v>
      </c>
      <c r="W289" s="4">
        <v>7073</v>
      </c>
      <c r="X289" s="3" t="b">
        <v>1</v>
      </c>
      <c r="Y289" s="18">
        <v>0</v>
      </c>
      <c r="Z289" s="18">
        <v>6754</v>
      </c>
      <c r="AA289" s="18">
        <v>0</v>
      </c>
      <c r="AB289" s="18">
        <v>1</v>
      </c>
      <c r="AC289" s="18">
        <v>318</v>
      </c>
      <c r="AD289" s="18">
        <v>0</v>
      </c>
      <c r="AE289" s="18">
        <v>7073</v>
      </c>
      <c r="AF289" s="4">
        <v>248</v>
      </c>
      <c r="AG289" s="5">
        <v>3.3875153667531757E-2</v>
      </c>
      <c r="AH289" s="18">
        <f t="shared" si="4"/>
        <v>180</v>
      </c>
      <c r="AI289" s="6">
        <v>0.30312189466710832</v>
      </c>
      <c r="AJ289" s="3">
        <v>0.30299999999999999</v>
      </c>
      <c r="AK289" s="6">
        <v>0.64449431305103921</v>
      </c>
      <c r="AL289" s="25">
        <v>0.64400000000000002</v>
      </c>
      <c r="AM289" s="6">
        <v>0.29722707157646866</v>
      </c>
      <c r="AN289" s="3">
        <v>0.29699999999999999</v>
      </c>
      <c r="AO289" s="6">
        <v>0.6648053337111316</v>
      </c>
      <c r="AP289" s="6">
        <v>0.28931975293492046</v>
      </c>
      <c r="AQ289" s="6">
        <v>0.28899999999999998</v>
      </c>
      <c r="AR289" s="6">
        <v>0.67164774501563018</v>
      </c>
      <c r="AS289" s="6">
        <v>0.67200000000000004</v>
      </c>
      <c r="AT289" s="6">
        <v>1.3802141732187856E-2</v>
      </c>
      <c r="AU289" s="6">
        <v>-2.7153431964590968E-2</v>
      </c>
      <c r="AV289" s="6">
        <v>7.9073186415482E-3</v>
      </c>
      <c r="AW289" s="6">
        <v>-6.8424113044985857E-3</v>
      </c>
      <c r="AX289" s="7">
        <v>28</v>
      </c>
      <c r="AY289" s="7">
        <v>20</v>
      </c>
      <c r="AZ289" s="7">
        <v>18</v>
      </c>
      <c r="BA289" s="26">
        <v>-10</v>
      </c>
      <c r="BB289" s="26">
        <v>-2</v>
      </c>
      <c r="BC289" s="6">
        <v>0.29285359390526666</v>
      </c>
      <c r="BD289" s="6">
        <v>0.29299999999999998</v>
      </c>
      <c r="BE289" s="11">
        <v>0.65365447140222743</v>
      </c>
      <c r="BF289" s="7">
        <v>24</v>
      </c>
      <c r="BG289" s="26">
        <v>-6</v>
      </c>
      <c r="BH289" s="7">
        <v>-4</v>
      </c>
    </row>
    <row r="290" spans="2:60" x14ac:dyDescent="0.25">
      <c r="B290" s="3">
        <v>287</v>
      </c>
      <c r="C290" s="3" t="s">
        <v>581</v>
      </c>
      <c r="D290" s="3" t="s">
        <v>582</v>
      </c>
      <c r="E290" s="3" t="s">
        <v>706</v>
      </c>
      <c r="F290" s="3">
        <v>12301</v>
      </c>
      <c r="G290" s="3">
        <v>12</v>
      </c>
      <c r="H290" s="3">
        <v>0.53800000000000003</v>
      </c>
      <c r="I290" s="4">
        <v>6809</v>
      </c>
      <c r="J290" s="4">
        <v>7637</v>
      </c>
      <c r="K290" s="4">
        <v>7570</v>
      </c>
      <c r="L290" s="4">
        <v>-828</v>
      </c>
      <c r="M290" s="4">
        <v>1736</v>
      </c>
      <c r="N290" s="18">
        <v>0</v>
      </c>
      <c r="O290" s="18">
        <v>1682</v>
      </c>
      <c r="P290" s="18">
        <v>0</v>
      </c>
      <c r="Q290" s="18">
        <v>0</v>
      </c>
      <c r="R290" s="18">
        <v>54</v>
      </c>
      <c r="S290" s="18">
        <v>0</v>
      </c>
      <c r="T290" s="18">
        <v>1736</v>
      </c>
      <c r="U290" s="18" t="b">
        <v>1</v>
      </c>
      <c r="V290" s="4">
        <v>1620</v>
      </c>
      <c r="W290" s="4">
        <v>1620</v>
      </c>
      <c r="X290" s="3" t="b">
        <v>1</v>
      </c>
      <c r="Y290" s="18">
        <v>0</v>
      </c>
      <c r="Z290" s="18">
        <v>1597</v>
      </c>
      <c r="AA290" s="18">
        <v>0</v>
      </c>
      <c r="AB290" s="18">
        <v>0</v>
      </c>
      <c r="AC290" s="18">
        <v>23</v>
      </c>
      <c r="AD290" s="18">
        <v>0</v>
      </c>
      <c r="AE290" s="18">
        <v>1620</v>
      </c>
      <c r="AF290" s="4">
        <v>116</v>
      </c>
      <c r="AG290" s="5">
        <v>6.6820276497695855E-2</v>
      </c>
      <c r="AH290" s="18">
        <f t="shared" si="4"/>
        <v>85</v>
      </c>
      <c r="AI290" s="6">
        <v>0.25495667498898517</v>
      </c>
      <c r="AJ290" s="3">
        <v>0.255</v>
      </c>
      <c r="AK290" s="6">
        <v>0.5948507309840082</v>
      </c>
      <c r="AL290" s="25">
        <v>0.59499999999999997</v>
      </c>
      <c r="AM290" s="6">
        <v>0.22731439046746105</v>
      </c>
      <c r="AN290" s="3">
        <v>0.22700000000000001</v>
      </c>
      <c r="AO290" s="6">
        <v>0.58538452748013359</v>
      </c>
      <c r="AP290" s="6">
        <v>0.21400264200792601</v>
      </c>
      <c r="AQ290" s="6">
        <v>0.214</v>
      </c>
      <c r="AR290" s="6">
        <v>0.5846403030662688</v>
      </c>
      <c r="AS290" s="6">
        <v>0.58499999999999996</v>
      </c>
      <c r="AT290" s="6">
        <v>4.0954032981059152E-2</v>
      </c>
      <c r="AU290" s="6">
        <v>1.0210427917739406E-2</v>
      </c>
      <c r="AV290" s="6">
        <v>1.3311748459535033E-2</v>
      </c>
      <c r="AW290" s="6">
        <v>7.4422441386479132E-4</v>
      </c>
      <c r="AX290" s="7">
        <v>59</v>
      </c>
      <c r="AY290" s="7">
        <v>69</v>
      </c>
      <c r="AZ290" s="7">
        <v>72</v>
      </c>
      <c r="BA290" s="26">
        <v>13</v>
      </c>
      <c r="BB290" s="26">
        <v>3</v>
      </c>
      <c r="BC290" s="6">
        <v>0.23792039947128801</v>
      </c>
      <c r="BD290" s="6">
        <v>0.23799999999999999</v>
      </c>
      <c r="BE290" s="11">
        <v>0.59464115623405667</v>
      </c>
      <c r="BF290" s="26">
        <v>67</v>
      </c>
      <c r="BG290" s="26">
        <v>5</v>
      </c>
      <c r="BH290" s="7">
        <v>8</v>
      </c>
    </row>
    <row r="291" spans="2:60" x14ac:dyDescent="0.25">
      <c r="B291" s="3">
        <v>288</v>
      </c>
      <c r="C291" s="3" t="s">
        <v>583</v>
      </c>
      <c r="D291" s="3" t="s">
        <v>584</v>
      </c>
      <c r="E291" s="3" t="s">
        <v>706</v>
      </c>
      <c r="F291" s="3">
        <v>12302</v>
      </c>
      <c r="G291" s="3">
        <v>12</v>
      </c>
      <c r="H291" s="3"/>
      <c r="I291" s="4">
        <v>431</v>
      </c>
      <c r="J291" s="4">
        <v>674</v>
      </c>
      <c r="K291" s="4">
        <v>679</v>
      </c>
      <c r="L291" s="4">
        <v>-243</v>
      </c>
      <c r="M291" s="4">
        <v>39</v>
      </c>
      <c r="N291" s="18">
        <v>0</v>
      </c>
      <c r="O291" s="18">
        <v>0</v>
      </c>
      <c r="P291" s="18">
        <v>0</v>
      </c>
      <c r="Q291" s="18">
        <v>0</v>
      </c>
      <c r="R291" s="18">
        <v>39</v>
      </c>
      <c r="S291" s="18">
        <v>0</v>
      </c>
      <c r="T291" s="18">
        <v>39</v>
      </c>
      <c r="U291" s="18" t="b">
        <v>1</v>
      </c>
      <c r="V291" s="4">
        <v>21</v>
      </c>
      <c r="W291" s="4">
        <v>21</v>
      </c>
      <c r="X291" s="3" t="b">
        <v>1</v>
      </c>
      <c r="Y291" s="18">
        <v>0</v>
      </c>
      <c r="Z291" s="18">
        <v>0</v>
      </c>
      <c r="AA291" s="18">
        <v>0</v>
      </c>
      <c r="AB291" s="18">
        <v>0</v>
      </c>
      <c r="AC291" s="18">
        <v>21</v>
      </c>
      <c r="AD291" s="18">
        <v>0</v>
      </c>
      <c r="AE291" s="18">
        <v>21</v>
      </c>
      <c r="AF291" s="4">
        <v>18</v>
      </c>
      <c r="AG291" s="5">
        <v>0.46153846153846156</v>
      </c>
      <c r="AH291" s="18">
        <f t="shared" si="4"/>
        <v>0</v>
      </c>
      <c r="AI291" s="6">
        <v>9.0487238979118326E-2</v>
      </c>
      <c r="AJ291" s="3">
        <v>0.09</v>
      </c>
      <c r="AK291" s="6">
        <v>0.42533314134904104</v>
      </c>
      <c r="AL291" s="25">
        <v>0.42499999999999999</v>
      </c>
      <c r="AM291" s="6">
        <v>5.7863501483679525E-2</v>
      </c>
      <c r="AN291" s="3">
        <v>5.8000000000000003E-2</v>
      </c>
      <c r="AO291" s="6">
        <v>0.39288831640409561</v>
      </c>
      <c r="AP291" s="6">
        <v>3.0927835051546393E-2</v>
      </c>
      <c r="AQ291" s="6">
        <v>3.1E-2</v>
      </c>
      <c r="AR291" s="6">
        <v>0.37234214470982707</v>
      </c>
      <c r="AS291" s="6">
        <v>0.373</v>
      </c>
      <c r="AT291" s="6">
        <v>5.9559403927571933E-2</v>
      </c>
      <c r="AU291" s="6">
        <v>5.2990996639213972E-2</v>
      </c>
      <c r="AV291" s="6">
        <v>2.6935666432133132E-2</v>
      </c>
      <c r="AW291" s="6">
        <v>2.0546171694268534E-2</v>
      </c>
      <c r="AX291" s="7">
        <v>249</v>
      </c>
      <c r="AY291" s="7">
        <v>294</v>
      </c>
      <c r="AZ291" s="7">
        <v>319</v>
      </c>
      <c r="BA291" s="26">
        <v>70</v>
      </c>
      <c r="BB291" s="26">
        <v>25</v>
      </c>
      <c r="BC291" s="6">
        <v>4.8723897911832945E-2</v>
      </c>
      <c r="BD291" s="6">
        <v>4.9000000000000002E-2</v>
      </c>
      <c r="BE291" s="11">
        <v>0.39139223014689439</v>
      </c>
      <c r="BF291" s="7">
        <v>291</v>
      </c>
      <c r="BG291" s="26">
        <v>28</v>
      </c>
      <c r="BH291" s="7">
        <v>42</v>
      </c>
    </row>
    <row r="292" spans="2:60" x14ac:dyDescent="0.25">
      <c r="B292" s="3">
        <v>289</v>
      </c>
      <c r="C292" s="3" t="s">
        <v>585</v>
      </c>
      <c r="D292" s="3" t="s">
        <v>586</v>
      </c>
      <c r="E292" s="3" t="s">
        <v>706</v>
      </c>
      <c r="F292" s="3">
        <v>12101</v>
      </c>
      <c r="G292" s="3">
        <v>12</v>
      </c>
      <c r="H292" s="3">
        <v>0.61899999999999999</v>
      </c>
      <c r="I292" s="4">
        <v>132363</v>
      </c>
      <c r="J292" s="4">
        <v>145713</v>
      </c>
      <c r="K292" s="4">
        <v>144938</v>
      </c>
      <c r="L292" s="4">
        <v>-13350</v>
      </c>
      <c r="M292" s="4">
        <v>40396</v>
      </c>
      <c r="N292" s="18">
        <v>3</v>
      </c>
      <c r="O292" s="18">
        <v>32599</v>
      </c>
      <c r="P292" s="18">
        <v>7013</v>
      </c>
      <c r="Q292" s="18">
        <v>0</v>
      </c>
      <c r="R292" s="18">
        <v>781</v>
      </c>
      <c r="S292" s="18">
        <v>0</v>
      </c>
      <c r="T292" s="18">
        <v>40396</v>
      </c>
      <c r="U292" s="18" t="b">
        <v>1</v>
      </c>
      <c r="V292" s="4">
        <v>38990</v>
      </c>
      <c r="W292" s="4">
        <v>38990</v>
      </c>
      <c r="X292" s="3" t="b">
        <v>1</v>
      </c>
      <c r="Y292" s="18">
        <v>40</v>
      </c>
      <c r="Z292" s="18">
        <v>31560</v>
      </c>
      <c r="AA292" s="18">
        <v>6905</v>
      </c>
      <c r="AB292" s="18">
        <v>2</v>
      </c>
      <c r="AC292" s="18">
        <v>483</v>
      </c>
      <c r="AD292" s="18">
        <v>0</v>
      </c>
      <c r="AE292" s="18">
        <v>38990</v>
      </c>
      <c r="AF292" s="4">
        <v>1406</v>
      </c>
      <c r="AG292" s="5">
        <v>3.4805426279829688E-2</v>
      </c>
      <c r="AH292" s="18">
        <f t="shared" si="4"/>
        <v>1039</v>
      </c>
      <c r="AI292" s="6">
        <v>0.30519102770411671</v>
      </c>
      <c r="AJ292" s="3">
        <v>0.30499999999999999</v>
      </c>
      <c r="AK292" s="6">
        <v>0.64662695516119206</v>
      </c>
      <c r="AL292" s="25">
        <v>0.64700000000000002</v>
      </c>
      <c r="AM292" s="6">
        <v>0.27722989712654328</v>
      </c>
      <c r="AN292" s="3">
        <v>0.27700000000000002</v>
      </c>
      <c r="AO292" s="6">
        <v>0.6420885433955279</v>
      </c>
      <c r="AP292" s="6">
        <v>0.2690115773641143</v>
      </c>
      <c r="AQ292" s="6">
        <v>0.26900000000000002</v>
      </c>
      <c r="AR292" s="6">
        <v>0.64844576049580049</v>
      </c>
      <c r="AS292" s="6">
        <v>0.64800000000000002</v>
      </c>
      <c r="AT292" s="6">
        <v>3.6179450340002417E-2</v>
      </c>
      <c r="AU292" s="6">
        <v>-1.818805334608431E-3</v>
      </c>
      <c r="AV292" s="6">
        <v>8.2183197624289828E-3</v>
      </c>
      <c r="AW292" s="6">
        <v>-6.3572171002725941E-3</v>
      </c>
      <c r="AX292" s="7">
        <v>25</v>
      </c>
      <c r="AY292" s="7">
        <v>31</v>
      </c>
      <c r="AZ292" s="7">
        <v>27</v>
      </c>
      <c r="BA292" s="26">
        <v>2</v>
      </c>
      <c r="BB292" s="26">
        <v>-4</v>
      </c>
      <c r="BC292" s="6">
        <v>0.29456872388809563</v>
      </c>
      <c r="BD292" s="6">
        <v>0.29499999999999998</v>
      </c>
      <c r="BE292" s="11">
        <v>0.65549699134438577</v>
      </c>
      <c r="BF292" s="26">
        <v>23</v>
      </c>
      <c r="BG292" s="26">
        <v>4</v>
      </c>
      <c r="BH292" s="7">
        <v>-2</v>
      </c>
    </row>
    <row r="293" spans="2:60" x14ac:dyDescent="0.25">
      <c r="B293" s="3">
        <v>290</v>
      </c>
      <c r="C293" s="3" t="s">
        <v>587</v>
      </c>
      <c r="D293" s="3" t="s">
        <v>588</v>
      </c>
      <c r="E293" s="3" t="s">
        <v>706</v>
      </c>
      <c r="F293" s="3">
        <v>12103</v>
      </c>
      <c r="G293" s="3">
        <v>12</v>
      </c>
      <c r="H293" s="3"/>
      <c r="I293" s="4">
        <v>102</v>
      </c>
      <c r="J293" s="4">
        <v>205</v>
      </c>
      <c r="K293" s="4">
        <v>205</v>
      </c>
      <c r="L293" s="4">
        <v>-103</v>
      </c>
      <c r="M293" s="4">
        <v>1</v>
      </c>
      <c r="N293" s="18">
        <v>0</v>
      </c>
      <c r="O293" s="18">
        <v>1</v>
      </c>
      <c r="P293" s="18">
        <v>0</v>
      </c>
      <c r="Q293" s="18">
        <v>0</v>
      </c>
      <c r="R293" s="18">
        <v>0</v>
      </c>
      <c r="S293" s="18">
        <v>0</v>
      </c>
      <c r="T293" s="18">
        <v>1</v>
      </c>
      <c r="U293" s="18" t="b">
        <v>1</v>
      </c>
      <c r="V293" s="4">
        <v>1</v>
      </c>
      <c r="W293" s="4">
        <v>1</v>
      </c>
      <c r="X293" s="3" t="b">
        <v>1</v>
      </c>
      <c r="Y293" s="18">
        <v>0</v>
      </c>
      <c r="Z293" s="18">
        <v>1</v>
      </c>
      <c r="AA293" s="18">
        <v>0</v>
      </c>
      <c r="AB293" s="18">
        <v>0</v>
      </c>
      <c r="AC293" s="18">
        <v>0</v>
      </c>
      <c r="AD293" s="18">
        <v>0</v>
      </c>
      <c r="AE293" s="18">
        <v>1</v>
      </c>
      <c r="AF293" s="4">
        <v>0</v>
      </c>
      <c r="AG293" s="5">
        <v>0</v>
      </c>
      <c r="AH293" s="18">
        <f t="shared" si="4"/>
        <v>0</v>
      </c>
      <c r="AI293" s="6">
        <v>9.8039215686274508E-3</v>
      </c>
      <c r="AJ293" s="3">
        <v>0.01</v>
      </c>
      <c r="AK293" s="6">
        <v>0.34217336514382035</v>
      </c>
      <c r="AL293" s="25">
        <v>0.34200000000000003</v>
      </c>
      <c r="AM293" s="6">
        <v>4.8780487804878049E-3</v>
      </c>
      <c r="AN293" s="3">
        <v>5.0000000000000001E-3</v>
      </c>
      <c r="AO293" s="6">
        <v>0.33269684176102521</v>
      </c>
      <c r="AP293" s="6">
        <v>4.8780487804878049E-3</v>
      </c>
      <c r="AQ293" s="6">
        <v>5.0000000000000001E-3</v>
      </c>
      <c r="AR293" s="6">
        <v>0.34217956483404843</v>
      </c>
      <c r="AS293" s="6">
        <v>0.34200000000000003</v>
      </c>
      <c r="AT293" s="6">
        <v>4.925872788139646E-3</v>
      </c>
      <c r="AU293" s="6">
        <v>-6.1996902280814226E-6</v>
      </c>
      <c r="AV293" s="6">
        <v>0</v>
      </c>
      <c r="AW293" s="6">
        <v>-9.4827230730232248E-3</v>
      </c>
      <c r="AX293" s="7">
        <v>345</v>
      </c>
      <c r="AY293" s="7">
        <v>345</v>
      </c>
      <c r="AZ293" s="7">
        <v>344</v>
      </c>
      <c r="BA293" s="26">
        <v>-1</v>
      </c>
      <c r="BB293" s="26">
        <v>-1</v>
      </c>
      <c r="BC293" s="6">
        <v>9.8039215686274508E-3</v>
      </c>
      <c r="BD293" s="6">
        <v>0.01</v>
      </c>
      <c r="BE293" s="11">
        <v>0.34958150251772402</v>
      </c>
      <c r="BF293" s="7">
        <v>342</v>
      </c>
      <c r="BG293" s="26">
        <v>2</v>
      </c>
      <c r="BH293" s="7">
        <v>-3</v>
      </c>
    </row>
    <row r="294" spans="2:60" x14ac:dyDescent="0.25">
      <c r="B294" s="3">
        <v>291</v>
      </c>
      <c r="C294" s="3" t="s">
        <v>589</v>
      </c>
      <c r="D294" s="3" t="s">
        <v>590</v>
      </c>
      <c r="E294" s="3" t="s">
        <v>706</v>
      </c>
      <c r="F294" s="3">
        <v>12104</v>
      </c>
      <c r="G294" s="3">
        <v>12</v>
      </c>
      <c r="H294" s="3"/>
      <c r="I294" s="4">
        <v>241</v>
      </c>
      <c r="J294" s="4">
        <v>651</v>
      </c>
      <c r="K294" s="4">
        <v>658</v>
      </c>
      <c r="L294" s="4">
        <v>-410</v>
      </c>
      <c r="M294" s="4">
        <v>42</v>
      </c>
      <c r="N294" s="18">
        <v>0</v>
      </c>
      <c r="O294" s="18">
        <v>0</v>
      </c>
      <c r="P294" s="18">
        <v>0</v>
      </c>
      <c r="Q294" s="18">
        <v>0</v>
      </c>
      <c r="R294" s="18">
        <v>42</v>
      </c>
      <c r="S294" s="18">
        <v>0</v>
      </c>
      <c r="T294" s="18">
        <v>42</v>
      </c>
      <c r="U294" s="18" t="b">
        <v>1</v>
      </c>
      <c r="V294" s="4">
        <v>26</v>
      </c>
      <c r="W294" s="4">
        <v>26</v>
      </c>
      <c r="X294" s="3" t="b">
        <v>1</v>
      </c>
      <c r="Y294" s="18">
        <v>0</v>
      </c>
      <c r="Z294" s="18">
        <v>0</v>
      </c>
      <c r="AA294" s="18">
        <v>0</v>
      </c>
      <c r="AB294" s="18">
        <v>0</v>
      </c>
      <c r="AC294" s="18">
        <v>26</v>
      </c>
      <c r="AD294" s="18">
        <v>0</v>
      </c>
      <c r="AE294" s="18">
        <v>26</v>
      </c>
      <c r="AF294" s="4">
        <v>16</v>
      </c>
      <c r="AG294" s="5">
        <v>0.38095238095238093</v>
      </c>
      <c r="AH294" s="18">
        <f t="shared" si="4"/>
        <v>0</v>
      </c>
      <c r="AI294" s="6">
        <v>0.17427385892116182</v>
      </c>
      <c r="AJ294" s="3">
        <v>0.17399999999999999</v>
      </c>
      <c r="AK294" s="6">
        <v>0.51169147150944971</v>
      </c>
      <c r="AL294" s="25">
        <v>0.51200000000000001</v>
      </c>
      <c r="AM294" s="6">
        <v>6.4516129032258063E-2</v>
      </c>
      <c r="AN294" s="3">
        <v>6.5000000000000002E-2</v>
      </c>
      <c r="AO294" s="6">
        <v>0.40044570134601826</v>
      </c>
      <c r="AP294" s="6">
        <v>3.9513677811550151E-2</v>
      </c>
      <c r="AQ294" s="6">
        <v>0.04</v>
      </c>
      <c r="AR294" s="6">
        <v>0.38278303774375039</v>
      </c>
      <c r="AS294" s="6">
        <v>0.38200000000000001</v>
      </c>
      <c r="AT294" s="6">
        <v>0.13476018110961166</v>
      </c>
      <c r="AU294" s="6">
        <v>0.12890843376569933</v>
      </c>
      <c r="AV294" s="6">
        <v>2.5002451220707912E-2</v>
      </c>
      <c r="AW294" s="6">
        <v>1.766266360226787E-2</v>
      </c>
      <c r="AX294" s="7">
        <v>145</v>
      </c>
      <c r="AY294" s="7">
        <v>283</v>
      </c>
      <c r="AZ294" s="7">
        <v>302</v>
      </c>
      <c r="BA294" s="26">
        <v>157</v>
      </c>
      <c r="BB294" s="26">
        <v>19</v>
      </c>
      <c r="BC294" s="6">
        <v>0.1078838174273859</v>
      </c>
      <c r="BD294" s="6">
        <v>0.108</v>
      </c>
      <c r="BE294" s="11">
        <v>0.45494620714873912</v>
      </c>
      <c r="BF294" s="26">
        <v>210</v>
      </c>
      <c r="BG294" s="26">
        <v>92</v>
      </c>
      <c r="BH294" s="7">
        <v>65</v>
      </c>
    </row>
    <row r="295" spans="2:60" x14ac:dyDescent="0.25">
      <c r="B295" s="3">
        <v>292</v>
      </c>
      <c r="C295" s="3" t="s">
        <v>702</v>
      </c>
      <c r="D295" s="29">
        <v>12202</v>
      </c>
      <c r="E295" s="3" t="s">
        <v>706</v>
      </c>
      <c r="F295" s="3">
        <v>12202</v>
      </c>
      <c r="G295" s="3">
        <v>12</v>
      </c>
      <c r="H295" s="3"/>
      <c r="I295" s="4">
        <v>60</v>
      </c>
      <c r="J295" s="4">
        <v>151</v>
      </c>
      <c r="K295" s="4"/>
      <c r="L295" s="4">
        <v>-91</v>
      </c>
      <c r="M295" s="4">
        <v>13</v>
      </c>
      <c r="N295" s="18">
        <v>0</v>
      </c>
      <c r="O295" s="18">
        <v>0</v>
      </c>
      <c r="P295" s="18">
        <v>0</v>
      </c>
      <c r="Q295" s="18">
        <v>0</v>
      </c>
      <c r="R295" s="18">
        <v>13</v>
      </c>
      <c r="S295" s="18">
        <v>0</v>
      </c>
      <c r="T295" s="18">
        <v>13</v>
      </c>
      <c r="U295" s="18" t="b">
        <v>1</v>
      </c>
      <c r="V295" s="4">
        <v>23</v>
      </c>
      <c r="W295" s="4">
        <v>23</v>
      </c>
      <c r="X295" s="3" t="b">
        <v>1</v>
      </c>
      <c r="Y295" s="18">
        <v>0</v>
      </c>
      <c r="Z295" s="18">
        <v>0</v>
      </c>
      <c r="AA295" s="18">
        <v>0</v>
      </c>
      <c r="AB295" s="18">
        <v>0</v>
      </c>
      <c r="AC295" s="18">
        <v>23</v>
      </c>
      <c r="AD295" s="18">
        <v>0</v>
      </c>
      <c r="AE295" s="18">
        <v>23</v>
      </c>
      <c r="AF295" s="4">
        <v>-10</v>
      </c>
      <c r="AG295" s="28">
        <v>-0.76923076923076927</v>
      </c>
      <c r="AH295" s="18">
        <f t="shared" si="4"/>
        <v>0</v>
      </c>
      <c r="AI295" s="6">
        <v>0.21666666666666667</v>
      </c>
      <c r="AJ295" s="3">
        <v>0.217</v>
      </c>
      <c r="AK295" s="6">
        <v>0.55538546573245795</v>
      </c>
      <c r="AL295" s="25">
        <v>0.55500000000000005</v>
      </c>
      <c r="AM295" s="6">
        <v>8.6092715231788075E-2</v>
      </c>
      <c r="AN295" s="3">
        <v>8.5999999999999993E-2</v>
      </c>
      <c r="AO295" s="6">
        <v>0.42495670342026876</v>
      </c>
      <c r="AP295" s="6">
        <v>0.1554054054054054</v>
      </c>
      <c r="AQ295" s="6">
        <v>0.155</v>
      </c>
      <c r="AR295" s="6">
        <v>0.51619444873277121</v>
      </c>
      <c r="AS295" s="6"/>
      <c r="AT295" s="6">
        <v>6.1261261261261274E-2</v>
      </c>
      <c r="AU295" s="6">
        <v>3.9191016999686745E-2</v>
      </c>
      <c r="AV295" s="6">
        <v>-6.9312690173617325E-2</v>
      </c>
      <c r="AW295" s="6">
        <v>-9.123774531250245E-2</v>
      </c>
      <c r="AX295" s="7"/>
      <c r="AY295" s="7"/>
      <c r="AZ295" s="7"/>
      <c r="BA295" s="26"/>
      <c r="BB295" s="26"/>
      <c r="BC295" s="6">
        <v>0.38333333333333336</v>
      </c>
      <c r="BD295" s="6">
        <v>0.38300000000000001</v>
      </c>
      <c r="BE295" s="11">
        <v>0.75085452383354467</v>
      </c>
      <c r="BF295" s="7"/>
      <c r="BG295" s="7"/>
      <c r="BH295" s="7"/>
    </row>
    <row r="296" spans="2:60" x14ac:dyDescent="0.25">
      <c r="B296" s="3">
        <v>293</v>
      </c>
      <c r="C296" s="3" t="s">
        <v>591</v>
      </c>
      <c r="D296" s="3" t="s">
        <v>592</v>
      </c>
      <c r="E296" s="3" t="s">
        <v>706</v>
      </c>
      <c r="F296" s="3">
        <v>12303</v>
      </c>
      <c r="G296" s="3">
        <v>12</v>
      </c>
      <c r="H296" s="3"/>
      <c r="I296" s="4">
        <v>157</v>
      </c>
      <c r="J296" s="4">
        <v>276</v>
      </c>
      <c r="K296" s="4">
        <v>278</v>
      </c>
      <c r="L296" s="4">
        <v>-119</v>
      </c>
      <c r="M296" s="4">
        <v>32</v>
      </c>
      <c r="N296" s="18">
        <v>0</v>
      </c>
      <c r="O296" s="18">
        <v>0</v>
      </c>
      <c r="P296" s="18">
        <v>0</v>
      </c>
      <c r="Q296" s="18">
        <v>0</v>
      </c>
      <c r="R296" s="18">
        <v>32</v>
      </c>
      <c r="S296" s="18">
        <v>0</v>
      </c>
      <c r="T296" s="18">
        <v>32</v>
      </c>
      <c r="U296" s="18" t="b">
        <v>1</v>
      </c>
      <c r="V296" s="4">
        <v>24</v>
      </c>
      <c r="W296" s="4">
        <v>24</v>
      </c>
      <c r="X296" s="3" t="b">
        <v>1</v>
      </c>
      <c r="Y296" s="18">
        <v>0</v>
      </c>
      <c r="Z296" s="18">
        <v>0</v>
      </c>
      <c r="AA296" s="18">
        <v>0</v>
      </c>
      <c r="AB296" s="18">
        <v>0</v>
      </c>
      <c r="AC296" s="18">
        <v>24</v>
      </c>
      <c r="AD296" s="18">
        <v>0</v>
      </c>
      <c r="AE296" s="18">
        <v>24</v>
      </c>
      <c r="AF296" s="4">
        <v>8</v>
      </c>
      <c r="AG296" s="5">
        <v>0.25</v>
      </c>
      <c r="AH296" s="18">
        <f t="shared" si="4"/>
        <v>0</v>
      </c>
      <c r="AI296" s="6">
        <v>0.20382165605095542</v>
      </c>
      <c r="AJ296" s="3">
        <v>0.20399999999999999</v>
      </c>
      <c r="AK296" s="6">
        <v>0.54214619592502511</v>
      </c>
      <c r="AL296" s="25">
        <v>0.54200000000000004</v>
      </c>
      <c r="AM296" s="6">
        <v>0.11594202898550725</v>
      </c>
      <c r="AN296" s="3">
        <v>0.11600000000000001</v>
      </c>
      <c r="AO296" s="6">
        <v>0.45886552405419745</v>
      </c>
      <c r="AP296" s="6">
        <v>8.6330935251798566E-2</v>
      </c>
      <c r="AQ296" s="6">
        <v>8.5999999999999993E-2</v>
      </c>
      <c r="AR296" s="6">
        <v>0.43614760213935871</v>
      </c>
      <c r="AS296" s="6">
        <v>0.437</v>
      </c>
      <c r="AT296" s="6">
        <v>0.11749072079915686</v>
      </c>
      <c r="AU296" s="6">
        <v>0.1059985937856664</v>
      </c>
      <c r="AV296" s="6">
        <v>2.9611093733708682E-2</v>
      </c>
      <c r="AW296" s="6">
        <v>2.2717921914838735E-2</v>
      </c>
      <c r="AX296" s="7">
        <v>116</v>
      </c>
      <c r="AY296" s="7">
        <v>208</v>
      </c>
      <c r="AZ296" s="7">
        <v>233</v>
      </c>
      <c r="BA296" s="26">
        <v>117</v>
      </c>
      <c r="BB296" s="26">
        <v>25</v>
      </c>
      <c r="BC296" s="6">
        <v>0.15286624203821655</v>
      </c>
      <c r="BD296" s="6">
        <v>0.153</v>
      </c>
      <c r="BE296" s="11">
        <v>0.50326966672431162</v>
      </c>
      <c r="BF296" s="26">
        <v>153</v>
      </c>
      <c r="BG296" s="7">
        <v>80</v>
      </c>
      <c r="BH296" s="7">
        <v>37</v>
      </c>
    </row>
    <row r="297" spans="2:60" x14ac:dyDescent="0.25">
      <c r="B297" s="3">
        <v>294</v>
      </c>
      <c r="C297" s="3" t="s">
        <v>593</v>
      </c>
      <c r="D297" s="3" t="s">
        <v>594</v>
      </c>
      <c r="E297" s="3" t="s">
        <v>706</v>
      </c>
      <c r="F297" s="3">
        <v>12402</v>
      </c>
      <c r="G297" s="3">
        <v>12</v>
      </c>
      <c r="H297" s="3"/>
      <c r="I297" s="4">
        <v>203</v>
      </c>
      <c r="J297" s="4">
        <v>1081</v>
      </c>
      <c r="K297" s="4">
        <v>1069</v>
      </c>
      <c r="L297" s="4">
        <v>-878</v>
      </c>
      <c r="M297" s="4">
        <v>125</v>
      </c>
      <c r="N297" s="18">
        <v>0</v>
      </c>
      <c r="O297" s="18">
        <v>0</v>
      </c>
      <c r="P297" s="18">
        <v>0</v>
      </c>
      <c r="Q297" s="18">
        <v>0</v>
      </c>
      <c r="R297" s="18">
        <v>125</v>
      </c>
      <c r="S297" s="18">
        <v>0</v>
      </c>
      <c r="T297" s="18">
        <v>125</v>
      </c>
      <c r="U297" s="18" t="b">
        <v>1</v>
      </c>
      <c r="V297" s="4">
        <v>74</v>
      </c>
      <c r="W297" s="4">
        <v>74</v>
      </c>
      <c r="X297" s="3" t="b">
        <v>1</v>
      </c>
      <c r="Y297" s="18">
        <v>0</v>
      </c>
      <c r="Z297" s="18">
        <v>0</v>
      </c>
      <c r="AA297" s="18">
        <v>0</v>
      </c>
      <c r="AB297" s="18">
        <v>0</v>
      </c>
      <c r="AC297" s="18">
        <v>74</v>
      </c>
      <c r="AD297" s="18">
        <v>0</v>
      </c>
      <c r="AE297" s="18">
        <v>74</v>
      </c>
      <c r="AF297" s="4">
        <v>51</v>
      </c>
      <c r="AG297" s="5">
        <v>0.40799999999999997</v>
      </c>
      <c r="AH297" s="18">
        <f t="shared" si="4"/>
        <v>0</v>
      </c>
      <c r="AI297" s="6">
        <v>0.61576354679802958</v>
      </c>
      <c r="AJ297" s="3">
        <v>0.61599999999999999</v>
      </c>
      <c r="AK297" s="6">
        <v>0.9667320526244163</v>
      </c>
      <c r="AL297" s="25">
        <v>0.96699999999999997</v>
      </c>
      <c r="AM297" s="6">
        <v>0.11563367252543941</v>
      </c>
      <c r="AN297" s="3">
        <v>0.11600000000000001</v>
      </c>
      <c r="AO297" s="6">
        <v>0.45851523111339404</v>
      </c>
      <c r="AP297" s="6">
        <v>6.9223573433115054E-2</v>
      </c>
      <c r="AQ297" s="6">
        <v>6.9000000000000006E-2</v>
      </c>
      <c r="AR297" s="6">
        <v>0.4164259152975035</v>
      </c>
      <c r="AS297" s="6">
        <v>0.41699999999999998</v>
      </c>
      <c r="AT297" s="6">
        <v>0.54653997336491456</v>
      </c>
      <c r="AU297" s="6">
        <v>0.5503061373269128</v>
      </c>
      <c r="AV297" s="6">
        <v>4.6410099092324353E-2</v>
      </c>
      <c r="AW297" s="6">
        <v>4.2089315815890538E-2</v>
      </c>
      <c r="AX297" s="7">
        <v>1</v>
      </c>
      <c r="AY297" s="7">
        <v>209</v>
      </c>
      <c r="AZ297" s="7">
        <v>255</v>
      </c>
      <c r="BA297" s="26">
        <v>254</v>
      </c>
      <c r="BB297" s="26">
        <v>46</v>
      </c>
      <c r="BC297" s="6">
        <v>0.3645320197044335</v>
      </c>
      <c r="BD297" s="6">
        <v>0.36499999999999999</v>
      </c>
      <c r="BE297" s="11">
        <v>0.73065675710633615</v>
      </c>
      <c r="BF297" s="7">
        <v>6</v>
      </c>
      <c r="BG297" s="7">
        <v>249</v>
      </c>
      <c r="BH297" s="7">
        <v>5</v>
      </c>
    </row>
    <row r="298" spans="2:60" x14ac:dyDescent="0.25">
      <c r="B298" s="3">
        <v>295</v>
      </c>
      <c r="C298" s="3" t="s">
        <v>595</v>
      </c>
      <c r="D298" s="3" t="s">
        <v>596</v>
      </c>
      <c r="E298" s="3" t="s">
        <v>707</v>
      </c>
      <c r="F298" s="3">
        <v>13502</v>
      </c>
      <c r="G298" s="3">
        <v>13</v>
      </c>
      <c r="H298" s="3">
        <v>0.46400000000000002</v>
      </c>
      <c r="I298" s="4">
        <v>7768</v>
      </c>
      <c r="J298" s="4">
        <v>7856</v>
      </c>
      <c r="K298" s="4">
        <v>7756</v>
      </c>
      <c r="L298" s="4">
        <v>-88</v>
      </c>
      <c r="M298" s="4">
        <v>2630</v>
      </c>
      <c r="N298" s="18">
        <v>0</v>
      </c>
      <c r="O298" s="18">
        <v>2607</v>
      </c>
      <c r="P298" s="18">
        <v>0</v>
      </c>
      <c r="Q298" s="18">
        <v>0</v>
      </c>
      <c r="R298" s="18">
        <v>23</v>
      </c>
      <c r="S298" s="18">
        <v>0</v>
      </c>
      <c r="T298" s="18">
        <v>2630</v>
      </c>
      <c r="U298" s="18" t="b">
        <v>1</v>
      </c>
      <c r="V298" s="4">
        <v>1408</v>
      </c>
      <c r="W298" s="4">
        <v>1408</v>
      </c>
      <c r="X298" s="3" t="b">
        <v>1</v>
      </c>
      <c r="Y298" s="18">
        <v>0</v>
      </c>
      <c r="Z298" s="18">
        <v>1391</v>
      </c>
      <c r="AA298" s="18">
        <v>0</v>
      </c>
      <c r="AB298" s="18">
        <v>0</v>
      </c>
      <c r="AC298" s="18">
        <v>17</v>
      </c>
      <c r="AD298" s="18">
        <v>0</v>
      </c>
      <c r="AE298" s="18">
        <v>1408</v>
      </c>
      <c r="AF298" s="4">
        <v>1222</v>
      </c>
      <c r="AG298" s="5">
        <v>0.464638783269962</v>
      </c>
      <c r="AH298" s="18">
        <f t="shared" si="4"/>
        <v>1216</v>
      </c>
      <c r="AI298" s="6">
        <v>0.3385684860968074</v>
      </c>
      <c r="AJ298" s="3">
        <v>0.33900000000000002</v>
      </c>
      <c r="AK298" s="6">
        <v>0.68102888680356055</v>
      </c>
      <c r="AL298" s="25">
        <v>0.68100000000000005</v>
      </c>
      <c r="AM298" s="6">
        <v>0.33477596741344195</v>
      </c>
      <c r="AN298" s="3">
        <v>0.33500000000000002</v>
      </c>
      <c r="AO298" s="6">
        <v>0.70746087964572968</v>
      </c>
      <c r="AP298" s="6">
        <v>0.18153687467766891</v>
      </c>
      <c r="AQ298" s="6">
        <v>0.182</v>
      </c>
      <c r="AR298" s="6">
        <v>0.54751712783454132</v>
      </c>
      <c r="AS298" s="6">
        <v>0.54700000000000004</v>
      </c>
      <c r="AT298" s="6">
        <v>0.15703161141913849</v>
      </c>
      <c r="AU298" s="6">
        <v>0.13351175896901923</v>
      </c>
      <c r="AV298" s="6">
        <v>0.15323909273577305</v>
      </c>
      <c r="AW298" s="6">
        <v>0.15994375181118836</v>
      </c>
      <c r="AX298" s="7">
        <v>15</v>
      </c>
      <c r="AY298" s="7">
        <v>10</v>
      </c>
      <c r="AZ298" s="7">
        <v>116</v>
      </c>
      <c r="BA298" s="26">
        <v>101</v>
      </c>
      <c r="BB298" s="26">
        <v>106</v>
      </c>
      <c r="BC298" s="6">
        <v>0.18125643666323377</v>
      </c>
      <c r="BD298" s="6">
        <v>0.18099999999999999</v>
      </c>
      <c r="BE298" s="11">
        <v>0.533768521203008</v>
      </c>
      <c r="BF298" s="26">
        <v>123</v>
      </c>
      <c r="BG298" s="7">
        <v>-7</v>
      </c>
      <c r="BH298" s="7">
        <v>108</v>
      </c>
    </row>
    <row r="299" spans="2:60" x14ac:dyDescent="0.25">
      <c r="B299" s="3">
        <v>296</v>
      </c>
      <c r="C299" s="3" t="s">
        <v>597</v>
      </c>
      <c r="D299" s="3" t="s">
        <v>598</v>
      </c>
      <c r="E299" s="3" t="s">
        <v>707</v>
      </c>
      <c r="F299" s="3">
        <v>13402</v>
      </c>
      <c r="G299" s="3">
        <v>13</v>
      </c>
      <c r="H299" s="3">
        <v>0.53400000000000003</v>
      </c>
      <c r="I299" s="4">
        <v>116969</v>
      </c>
      <c r="J299" s="4">
        <v>117982</v>
      </c>
      <c r="K299" s="4">
        <v>116032</v>
      </c>
      <c r="L299" s="4">
        <v>-1013</v>
      </c>
      <c r="M299" s="4">
        <v>21456</v>
      </c>
      <c r="N299" s="18">
        <v>1</v>
      </c>
      <c r="O299" s="18">
        <v>20877</v>
      </c>
      <c r="P299" s="18">
        <v>84</v>
      </c>
      <c r="Q299" s="18">
        <v>0</v>
      </c>
      <c r="R299" s="18">
        <v>494</v>
      </c>
      <c r="S299" s="18">
        <v>0</v>
      </c>
      <c r="T299" s="18">
        <v>21456</v>
      </c>
      <c r="U299" s="18" t="b">
        <v>1</v>
      </c>
      <c r="V299" s="4">
        <v>21297</v>
      </c>
      <c r="W299" s="4">
        <v>21297</v>
      </c>
      <c r="X299" s="3" t="b">
        <v>1</v>
      </c>
      <c r="Y299" s="18">
        <v>15</v>
      </c>
      <c r="Z299" s="18">
        <v>20720</v>
      </c>
      <c r="AA299" s="18">
        <v>1</v>
      </c>
      <c r="AB299" s="18">
        <v>1</v>
      </c>
      <c r="AC299" s="18">
        <v>560</v>
      </c>
      <c r="AD299" s="18">
        <v>0</v>
      </c>
      <c r="AE299" s="18">
        <v>21297</v>
      </c>
      <c r="AF299" s="4">
        <v>159</v>
      </c>
      <c r="AG299" s="5">
        <v>7.4105145413870246E-3</v>
      </c>
      <c r="AH299" s="18">
        <f t="shared" si="4"/>
        <v>157</v>
      </c>
      <c r="AI299" s="6">
        <v>0.18343321734818627</v>
      </c>
      <c r="AJ299" s="3">
        <v>0.183</v>
      </c>
      <c r="AK299" s="6">
        <v>0.52113196331644274</v>
      </c>
      <c r="AL299" s="25">
        <v>0.52100000000000002</v>
      </c>
      <c r="AM299" s="6">
        <v>0.18185824956349272</v>
      </c>
      <c r="AN299" s="3">
        <v>0.182</v>
      </c>
      <c r="AO299" s="6">
        <v>0.53374635109387747</v>
      </c>
      <c r="AP299" s="6">
        <v>0.18354419470490899</v>
      </c>
      <c r="AQ299" s="6">
        <v>0.184</v>
      </c>
      <c r="AR299" s="6">
        <v>0.54983732628652426</v>
      </c>
      <c r="AS299" s="6">
        <v>0.54900000000000004</v>
      </c>
      <c r="AT299" s="6">
        <v>-1.1097735672271902E-4</v>
      </c>
      <c r="AU299" s="6">
        <v>-2.8705362970081527E-2</v>
      </c>
      <c r="AV299" s="6">
        <v>-1.6859451414162618E-3</v>
      </c>
      <c r="AW299" s="6">
        <v>-1.6090975192646795E-2</v>
      </c>
      <c r="AX299" s="7">
        <v>134</v>
      </c>
      <c r="AY299" s="7">
        <v>125</v>
      </c>
      <c r="AZ299" s="7">
        <v>111</v>
      </c>
      <c r="BA299" s="26">
        <v>-23</v>
      </c>
      <c r="BB299" s="26">
        <v>-14</v>
      </c>
      <c r="BC299" s="6">
        <v>0.18207388282365414</v>
      </c>
      <c r="BD299" s="6">
        <v>0.182</v>
      </c>
      <c r="BE299" s="11">
        <v>0.53464668254780068</v>
      </c>
      <c r="BF299" s="7">
        <v>122</v>
      </c>
      <c r="BG299" s="7">
        <v>-11</v>
      </c>
      <c r="BH299" s="7">
        <v>-12</v>
      </c>
    </row>
    <row r="300" spans="2:60" x14ac:dyDescent="0.25">
      <c r="B300" s="3">
        <v>297</v>
      </c>
      <c r="C300" s="3" t="s">
        <v>599</v>
      </c>
      <c r="D300" s="3" t="s">
        <v>600</v>
      </c>
      <c r="E300" s="3" t="s">
        <v>707</v>
      </c>
      <c r="F300" s="3">
        <v>13403</v>
      </c>
      <c r="G300" s="3">
        <v>13</v>
      </c>
      <c r="H300" s="3">
        <v>0.47899999999999998</v>
      </c>
      <c r="I300" s="4">
        <v>25491</v>
      </c>
      <c r="J300" s="4">
        <v>30283</v>
      </c>
      <c r="K300" s="4">
        <v>29880</v>
      </c>
      <c r="L300" s="4">
        <v>-4792</v>
      </c>
      <c r="M300" s="4">
        <v>3578</v>
      </c>
      <c r="N300" s="18">
        <v>0</v>
      </c>
      <c r="O300" s="18">
        <v>3305</v>
      </c>
      <c r="P300" s="18">
        <v>0</v>
      </c>
      <c r="Q300" s="18">
        <v>0</v>
      </c>
      <c r="R300" s="18">
        <v>273</v>
      </c>
      <c r="S300" s="18">
        <v>0</v>
      </c>
      <c r="T300" s="18">
        <v>3578</v>
      </c>
      <c r="U300" s="18" t="b">
        <v>1</v>
      </c>
      <c r="V300" s="4">
        <v>3302</v>
      </c>
      <c r="W300" s="4">
        <v>3302</v>
      </c>
      <c r="X300" s="3" t="b">
        <v>1</v>
      </c>
      <c r="Y300" s="18">
        <v>3</v>
      </c>
      <c r="Z300" s="18">
        <v>3099</v>
      </c>
      <c r="AA300" s="18">
        <v>0</v>
      </c>
      <c r="AB300" s="18">
        <v>0</v>
      </c>
      <c r="AC300" s="18">
        <v>200</v>
      </c>
      <c r="AD300" s="18">
        <v>0</v>
      </c>
      <c r="AE300" s="18">
        <v>3302</v>
      </c>
      <c r="AF300" s="4">
        <v>276</v>
      </c>
      <c r="AG300" s="5">
        <v>7.7138065958636107E-2</v>
      </c>
      <c r="AH300" s="18">
        <f t="shared" si="4"/>
        <v>206</v>
      </c>
      <c r="AI300" s="6">
        <v>0.14036326546624298</v>
      </c>
      <c r="AJ300" s="3">
        <v>0.14000000000000001</v>
      </c>
      <c r="AK300" s="6">
        <v>0.476740040988193</v>
      </c>
      <c r="AL300" s="25">
        <v>0.47699999999999998</v>
      </c>
      <c r="AM300" s="6">
        <v>0.11815209853713304</v>
      </c>
      <c r="AN300" s="3">
        <v>0.11799999999999999</v>
      </c>
      <c r="AO300" s="6">
        <v>0.46137616308037099</v>
      </c>
      <c r="AP300" s="6">
        <v>0.1105087014725569</v>
      </c>
      <c r="AQ300" s="6">
        <v>0.111</v>
      </c>
      <c r="AR300" s="6">
        <v>0.46515008278914582</v>
      </c>
      <c r="AS300" s="6">
        <v>0.46500000000000002</v>
      </c>
      <c r="AT300" s="6">
        <v>2.9854563993686078E-2</v>
      </c>
      <c r="AU300" s="6">
        <v>1.1589958199047179E-2</v>
      </c>
      <c r="AV300" s="6">
        <v>7.6433970645761462E-3</v>
      </c>
      <c r="AW300" s="6">
        <v>-3.7739197087748311E-3</v>
      </c>
      <c r="AX300" s="7">
        <v>192</v>
      </c>
      <c r="AY300" s="7">
        <v>207</v>
      </c>
      <c r="AZ300" s="7">
        <v>196</v>
      </c>
      <c r="BA300" s="26">
        <v>4</v>
      </c>
      <c r="BB300" s="26">
        <v>-11</v>
      </c>
      <c r="BC300" s="6">
        <v>0.12953591463653838</v>
      </c>
      <c r="BD300" s="6">
        <v>0.13</v>
      </c>
      <c r="BE300" s="11">
        <v>0.47820649721235925</v>
      </c>
      <c r="BF300" s="26">
        <v>190</v>
      </c>
      <c r="BG300" s="7">
        <v>6</v>
      </c>
      <c r="BH300" s="7">
        <v>-2</v>
      </c>
    </row>
    <row r="301" spans="2:60" x14ac:dyDescent="0.25">
      <c r="B301" s="3">
        <v>298</v>
      </c>
      <c r="C301" s="3" t="s">
        <v>601</v>
      </c>
      <c r="D301" s="3" t="s">
        <v>602</v>
      </c>
      <c r="E301" s="3" t="s">
        <v>707</v>
      </c>
      <c r="F301" s="3">
        <v>13102</v>
      </c>
      <c r="G301" s="3">
        <v>13</v>
      </c>
      <c r="H301" s="3">
        <v>0.53800000000000003</v>
      </c>
      <c r="I301" s="4">
        <v>85041</v>
      </c>
      <c r="J301" s="4">
        <v>90182</v>
      </c>
      <c r="K301" s="4">
        <v>90060</v>
      </c>
      <c r="L301" s="4">
        <v>-5141</v>
      </c>
      <c r="M301" s="4">
        <v>21824</v>
      </c>
      <c r="N301" s="18">
        <v>0</v>
      </c>
      <c r="O301" s="18">
        <v>16482</v>
      </c>
      <c r="P301" s="18">
        <v>5047</v>
      </c>
      <c r="Q301" s="18">
        <v>0</v>
      </c>
      <c r="R301" s="18">
        <v>295</v>
      </c>
      <c r="S301" s="18">
        <v>0</v>
      </c>
      <c r="T301" s="18">
        <v>21824</v>
      </c>
      <c r="U301" s="18" t="b">
        <v>1</v>
      </c>
      <c r="V301" s="4">
        <v>21082</v>
      </c>
      <c r="W301" s="4">
        <v>21082</v>
      </c>
      <c r="X301" s="3" t="b">
        <v>1</v>
      </c>
      <c r="Y301" s="18">
        <v>6</v>
      </c>
      <c r="Z301" s="18">
        <v>15247</v>
      </c>
      <c r="AA301" s="18">
        <v>5392</v>
      </c>
      <c r="AB301" s="18">
        <v>0</v>
      </c>
      <c r="AC301" s="18">
        <v>437</v>
      </c>
      <c r="AD301" s="18">
        <v>0</v>
      </c>
      <c r="AE301" s="18">
        <v>21082</v>
      </c>
      <c r="AF301" s="4">
        <v>742</v>
      </c>
      <c r="AG301" s="5">
        <v>3.3999266862170086E-2</v>
      </c>
      <c r="AH301" s="18">
        <f t="shared" si="4"/>
        <v>1235</v>
      </c>
      <c r="AI301" s="6">
        <v>0.25662915534859654</v>
      </c>
      <c r="AJ301" s="3">
        <v>0.25700000000000001</v>
      </c>
      <c r="AK301" s="6">
        <v>0.59657454573130353</v>
      </c>
      <c r="AL301" s="25">
        <v>0.59699999999999998</v>
      </c>
      <c r="AM301" s="6">
        <v>0.24199951209775786</v>
      </c>
      <c r="AN301" s="3">
        <v>0.24199999999999999</v>
      </c>
      <c r="AO301" s="6">
        <v>0.60206682575531978</v>
      </c>
      <c r="AP301" s="6">
        <v>0.23408838552076394</v>
      </c>
      <c r="AQ301" s="6">
        <v>0.23400000000000001</v>
      </c>
      <c r="AR301" s="6">
        <v>0.6078422875860986</v>
      </c>
      <c r="AS301" s="6">
        <v>0.60799999999999998</v>
      </c>
      <c r="AT301" s="6">
        <v>2.2540769827832596E-2</v>
      </c>
      <c r="AU301" s="6">
        <v>-1.1267741854795066E-2</v>
      </c>
      <c r="AV301" s="6">
        <v>7.9111265769939154E-3</v>
      </c>
      <c r="AW301" s="6">
        <v>-5.7754618307788164E-3</v>
      </c>
      <c r="AX301" s="7">
        <v>58</v>
      </c>
      <c r="AY301" s="7">
        <v>55</v>
      </c>
      <c r="AZ301" s="7">
        <v>53</v>
      </c>
      <c r="BA301" s="26">
        <v>-5</v>
      </c>
      <c r="BB301" s="26">
        <v>-2</v>
      </c>
      <c r="BC301" s="6">
        <v>0.24790395221128633</v>
      </c>
      <c r="BD301" s="6">
        <v>0.248</v>
      </c>
      <c r="BE301" s="11">
        <v>0.60536622966942111</v>
      </c>
      <c r="BF301" s="7">
        <v>55</v>
      </c>
      <c r="BG301" s="7">
        <v>-2</v>
      </c>
      <c r="BH301" s="7">
        <v>-3</v>
      </c>
    </row>
    <row r="302" spans="2:60" x14ac:dyDescent="0.25">
      <c r="B302" s="3">
        <v>299</v>
      </c>
      <c r="C302" s="3" t="s">
        <v>603</v>
      </c>
      <c r="D302" s="3" t="s">
        <v>604</v>
      </c>
      <c r="E302" s="3" t="s">
        <v>707</v>
      </c>
      <c r="F302" s="3">
        <v>13103</v>
      </c>
      <c r="G302" s="3">
        <v>13</v>
      </c>
      <c r="H302" s="3">
        <v>0.54600000000000004</v>
      </c>
      <c r="I302" s="4">
        <v>127250</v>
      </c>
      <c r="J302" s="4">
        <v>139632</v>
      </c>
      <c r="K302" s="4">
        <v>140581</v>
      </c>
      <c r="L302" s="4">
        <v>-12382</v>
      </c>
      <c r="M302" s="4">
        <v>27446</v>
      </c>
      <c r="N302" s="18">
        <v>0</v>
      </c>
      <c r="O302" s="18">
        <v>27069</v>
      </c>
      <c r="P302" s="18">
        <v>67</v>
      </c>
      <c r="Q302" s="18">
        <v>0</v>
      </c>
      <c r="R302" s="18">
        <v>310</v>
      </c>
      <c r="S302" s="18">
        <v>0</v>
      </c>
      <c r="T302" s="18">
        <v>27446</v>
      </c>
      <c r="U302" s="18" t="b">
        <v>1</v>
      </c>
      <c r="V302" s="4">
        <v>26102</v>
      </c>
      <c r="W302" s="4">
        <v>26102</v>
      </c>
      <c r="X302" s="3" t="b">
        <v>1</v>
      </c>
      <c r="Y302" s="18">
        <v>6</v>
      </c>
      <c r="Z302" s="18">
        <v>25511</v>
      </c>
      <c r="AA302" s="18">
        <v>4</v>
      </c>
      <c r="AB302" s="18">
        <v>0</v>
      </c>
      <c r="AC302" s="18">
        <v>581</v>
      </c>
      <c r="AD302" s="18">
        <v>0</v>
      </c>
      <c r="AE302" s="18">
        <v>26102</v>
      </c>
      <c r="AF302" s="4">
        <v>1344</v>
      </c>
      <c r="AG302" s="5">
        <v>4.8968884354732928E-2</v>
      </c>
      <c r="AH302" s="18">
        <f t="shared" si="4"/>
        <v>1558</v>
      </c>
      <c r="AI302" s="6">
        <v>0.21568565815324164</v>
      </c>
      <c r="AJ302" s="3">
        <v>0.216</v>
      </c>
      <c r="AK302" s="6">
        <v>0.55437434656866869</v>
      </c>
      <c r="AL302" s="25">
        <v>0.55400000000000005</v>
      </c>
      <c r="AM302" s="6">
        <v>0.19655952790191361</v>
      </c>
      <c r="AN302" s="3">
        <v>0.19700000000000001</v>
      </c>
      <c r="AO302" s="6">
        <v>0.55044700338960617</v>
      </c>
      <c r="AP302" s="6">
        <v>0.18567231702719428</v>
      </c>
      <c r="AQ302" s="6">
        <v>0.186</v>
      </c>
      <c r="AR302" s="6">
        <v>0.55215752473850721</v>
      </c>
      <c r="AS302" s="6">
        <v>0.55200000000000005</v>
      </c>
      <c r="AT302" s="6">
        <v>3.0013341126047366E-2</v>
      </c>
      <c r="AU302" s="6">
        <v>2.216821830161475E-3</v>
      </c>
      <c r="AV302" s="6">
        <v>1.0887210874719333E-2</v>
      </c>
      <c r="AW302" s="6">
        <v>-1.7105213489010396E-3</v>
      </c>
      <c r="AX302" s="7">
        <v>106</v>
      </c>
      <c r="AY302" s="7">
        <v>110</v>
      </c>
      <c r="AZ302" s="7">
        <v>107</v>
      </c>
      <c r="BA302" s="26">
        <v>1</v>
      </c>
      <c r="BB302" s="26">
        <v>-3</v>
      </c>
      <c r="BC302" s="6">
        <v>0.20512377210216109</v>
      </c>
      <c r="BD302" s="6">
        <v>0.20499999999999999</v>
      </c>
      <c r="BE302" s="11">
        <v>0.55940858461083809</v>
      </c>
      <c r="BF302" s="26">
        <v>101</v>
      </c>
      <c r="BG302" s="7">
        <v>6</v>
      </c>
      <c r="BH302" s="7">
        <v>-5</v>
      </c>
    </row>
    <row r="303" spans="2:60" x14ac:dyDescent="0.25">
      <c r="B303" s="3">
        <v>300</v>
      </c>
      <c r="C303" s="3" t="s">
        <v>605</v>
      </c>
      <c r="D303" s="3" t="s">
        <v>606</v>
      </c>
      <c r="E303" s="3" t="s">
        <v>707</v>
      </c>
      <c r="F303" s="3">
        <v>13301</v>
      </c>
      <c r="G303" s="3">
        <v>13</v>
      </c>
      <c r="H303" s="3">
        <v>0.58099999999999996</v>
      </c>
      <c r="I303" s="4">
        <v>173293</v>
      </c>
      <c r="J303" s="4">
        <v>197370</v>
      </c>
      <c r="K303" s="4">
        <v>193594</v>
      </c>
      <c r="L303" s="4">
        <v>-24077</v>
      </c>
      <c r="M303" s="4">
        <v>36431</v>
      </c>
      <c r="N303" s="18">
        <v>7</v>
      </c>
      <c r="O303" s="18">
        <v>31897</v>
      </c>
      <c r="P303" s="18">
        <v>2957</v>
      </c>
      <c r="Q303" s="18">
        <v>0</v>
      </c>
      <c r="R303" s="18">
        <v>1570</v>
      </c>
      <c r="S303" s="18">
        <v>0</v>
      </c>
      <c r="T303" s="18">
        <v>36431</v>
      </c>
      <c r="U303" s="18" t="b">
        <v>1</v>
      </c>
      <c r="V303" s="4">
        <v>34678</v>
      </c>
      <c r="W303" s="4">
        <v>34678</v>
      </c>
      <c r="X303" s="3" t="b">
        <v>1</v>
      </c>
      <c r="Y303" s="18">
        <v>10</v>
      </c>
      <c r="Z303" s="18">
        <v>30277</v>
      </c>
      <c r="AA303" s="18">
        <v>3014</v>
      </c>
      <c r="AB303" s="18">
        <v>0</v>
      </c>
      <c r="AC303" s="18">
        <v>1377</v>
      </c>
      <c r="AD303" s="18">
        <v>0</v>
      </c>
      <c r="AE303" s="18">
        <v>34678</v>
      </c>
      <c r="AF303" s="4">
        <v>1753</v>
      </c>
      <c r="AG303" s="5">
        <v>4.81183607367352E-2</v>
      </c>
      <c r="AH303" s="18">
        <f t="shared" si="4"/>
        <v>1620</v>
      </c>
      <c r="AI303" s="6">
        <v>0.21022776453751738</v>
      </c>
      <c r="AJ303" s="3">
        <v>0.21</v>
      </c>
      <c r="AK303" s="6">
        <v>0.54874893073051778</v>
      </c>
      <c r="AL303" s="25">
        <v>0.54900000000000004</v>
      </c>
      <c r="AM303" s="6">
        <v>0.18458225667527994</v>
      </c>
      <c r="AN303" s="3">
        <v>0.185</v>
      </c>
      <c r="AO303" s="6">
        <v>0.53684082319200499</v>
      </c>
      <c r="AP303" s="6">
        <v>0.17912745229707533</v>
      </c>
      <c r="AQ303" s="6">
        <v>0.17899999999999999</v>
      </c>
      <c r="AR303" s="6">
        <v>0.54403683015656679</v>
      </c>
      <c r="AS303" s="6">
        <v>0.54400000000000004</v>
      </c>
      <c r="AT303" s="6">
        <v>3.1100312240442046E-2</v>
      </c>
      <c r="AU303" s="6">
        <v>4.7121005739509947E-3</v>
      </c>
      <c r="AV303" s="6">
        <v>5.4548043782046141E-3</v>
      </c>
      <c r="AW303" s="6">
        <v>-7.1960069645617963E-3</v>
      </c>
      <c r="AX303" s="7">
        <v>112</v>
      </c>
      <c r="AY303" s="7">
        <v>121</v>
      </c>
      <c r="AZ303" s="7">
        <v>120</v>
      </c>
      <c r="BA303" s="26">
        <v>8</v>
      </c>
      <c r="BB303" s="26">
        <v>-1</v>
      </c>
      <c r="BC303" s="6">
        <v>0.20011194912662369</v>
      </c>
      <c r="BD303" s="6">
        <v>0.2</v>
      </c>
      <c r="BE303" s="11">
        <v>0.55402451234142125</v>
      </c>
      <c r="BF303" s="7">
        <v>108</v>
      </c>
      <c r="BG303" s="7">
        <v>12</v>
      </c>
      <c r="BH303" s="7">
        <v>-4</v>
      </c>
    </row>
    <row r="304" spans="2:60" x14ac:dyDescent="0.25">
      <c r="B304" s="3">
        <v>301</v>
      </c>
      <c r="C304" s="3" t="s">
        <v>607</v>
      </c>
      <c r="D304" s="3" t="s">
        <v>608</v>
      </c>
      <c r="E304" s="3" t="s">
        <v>707</v>
      </c>
      <c r="F304" s="3">
        <v>13104</v>
      </c>
      <c r="G304" s="3">
        <v>13</v>
      </c>
      <c r="H304" s="3">
        <v>0.51</v>
      </c>
      <c r="I304" s="4">
        <v>121587</v>
      </c>
      <c r="J304" s="4">
        <v>136674</v>
      </c>
      <c r="K304" s="4">
        <v>137678</v>
      </c>
      <c r="L304" s="4">
        <v>-15087</v>
      </c>
      <c r="M304" s="4">
        <v>29946</v>
      </c>
      <c r="N304" s="18">
        <v>0</v>
      </c>
      <c r="O304" s="18">
        <v>24145</v>
      </c>
      <c r="P304" s="18">
        <v>5496</v>
      </c>
      <c r="Q304" s="18">
        <v>0</v>
      </c>
      <c r="R304" s="18">
        <v>305</v>
      </c>
      <c r="S304" s="18">
        <v>0</v>
      </c>
      <c r="T304" s="18">
        <v>29946</v>
      </c>
      <c r="U304" s="18" t="b">
        <v>1</v>
      </c>
      <c r="V304" s="4">
        <v>29208</v>
      </c>
      <c r="W304" s="4">
        <v>29208</v>
      </c>
      <c r="X304" s="3" t="b">
        <v>1</v>
      </c>
      <c r="Y304" s="18">
        <v>39</v>
      </c>
      <c r="Z304" s="18">
        <v>22430</v>
      </c>
      <c r="AA304" s="18">
        <v>6149</v>
      </c>
      <c r="AB304" s="18">
        <v>0</v>
      </c>
      <c r="AC304" s="18">
        <v>590</v>
      </c>
      <c r="AD304" s="18">
        <v>0</v>
      </c>
      <c r="AE304" s="18">
        <v>29208</v>
      </c>
      <c r="AF304" s="4">
        <v>738</v>
      </c>
      <c r="AG304" s="5">
        <v>2.4644359847725908E-2</v>
      </c>
      <c r="AH304" s="18">
        <f t="shared" si="4"/>
        <v>1715</v>
      </c>
      <c r="AI304" s="6">
        <v>0.24629277801080707</v>
      </c>
      <c r="AJ304" s="3">
        <v>0.246</v>
      </c>
      <c r="AK304" s="6">
        <v>0.58592090810495168</v>
      </c>
      <c r="AL304" s="25">
        <v>0.58599999999999997</v>
      </c>
      <c r="AM304" s="6">
        <v>0.21910531630010097</v>
      </c>
      <c r="AN304" s="3">
        <v>0.219</v>
      </c>
      <c r="AO304" s="6">
        <v>0.57605901916834035</v>
      </c>
      <c r="AP304" s="6">
        <v>0.21214718400906463</v>
      </c>
      <c r="AQ304" s="6">
        <v>0.21199999999999999</v>
      </c>
      <c r="AR304" s="6">
        <v>0.58232010461428585</v>
      </c>
      <c r="AS304" s="6">
        <v>0.58199999999999996</v>
      </c>
      <c r="AT304" s="6">
        <v>3.4145594001742441E-2</v>
      </c>
      <c r="AU304" s="6">
        <v>3.6008034906658271E-3</v>
      </c>
      <c r="AV304" s="6">
        <v>6.9581322910363397E-3</v>
      </c>
      <c r="AW304" s="6">
        <v>-6.2610854459455023E-3</v>
      </c>
      <c r="AX304" s="7">
        <v>71</v>
      </c>
      <c r="AY304" s="7">
        <v>79</v>
      </c>
      <c r="AZ304" s="7">
        <v>75</v>
      </c>
      <c r="BA304" s="26">
        <v>4</v>
      </c>
      <c r="BB304" s="26">
        <v>-4</v>
      </c>
      <c r="BC304" s="6">
        <v>0.24022305016161266</v>
      </c>
      <c r="BD304" s="6">
        <v>0.24</v>
      </c>
      <c r="BE304" s="11">
        <v>0.59711483453204184</v>
      </c>
      <c r="BF304" s="26">
        <v>66</v>
      </c>
      <c r="BG304" s="7">
        <v>9</v>
      </c>
      <c r="BH304" s="7">
        <v>-5</v>
      </c>
    </row>
    <row r="305" spans="2:60" x14ac:dyDescent="0.25">
      <c r="B305" s="3">
        <v>302</v>
      </c>
      <c r="C305" s="3" t="s">
        <v>609</v>
      </c>
      <c r="D305" s="3" t="s">
        <v>610</v>
      </c>
      <c r="E305" s="3" t="s">
        <v>707</v>
      </c>
      <c r="F305" s="3">
        <v>13503</v>
      </c>
      <c r="G305" s="3">
        <v>13</v>
      </c>
      <c r="H305" s="3">
        <v>0.48499999999999999</v>
      </c>
      <c r="I305" s="4">
        <v>35165</v>
      </c>
      <c r="J305" s="4">
        <v>38367</v>
      </c>
      <c r="K305" s="4">
        <v>37932</v>
      </c>
      <c r="L305" s="4">
        <v>-3202</v>
      </c>
      <c r="M305" s="4">
        <v>3965</v>
      </c>
      <c r="N305" s="18">
        <v>0</v>
      </c>
      <c r="O305" s="18">
        <v>3264</v>
      </c>
      <c r="P305" s="18">
        <v>16</v>
      </c>
      <c r="Q305" s="18">
        <v>0</v>
      </c>
      <c r="R305" s="18">
        <v>685</v>
      </c>
      <c r="S305" s="18">
        <v>0</v>
      </c>
      <c r="T305" s="18">
        <v>3965</v>
      </c>
      <c r="U305" s="18" t="b">
        <v>1</v>
      </c>
      <c r="V305" s="4">
        <v>3473</v>
      </c>
      <c r="W305" s="4">
        <v>3473</v>
      </c>
      <c r="X305" s="3" t="b">
        <v>1</v>
      </c>
      <c r="Y305" s="18">
        <v>2</v>
      </c>
      <c r="Z305" s="18">
        <v>2827</v>
      </c>
      <c r="AA305" s="18">
        <v>0</v>
      </c>
      <c r="AB305" s="18">
        <v>0</v>
      </c>
      <c r="AC305" s="18">
        <v>644</v>
      </c>
      <c r="AD305" s="18">
        <v>0</v>
      </c>
      <c r="AE305" s="18">
        <v>3473</v>
      </c>
      <c r="AF305" s="4">
        <v>492</v>
      </c>
      <c r="AG305" s="5">
        <v>0.12408575031525851</v>
      </c>
      <c r="AH305" s="18">
        <f t="shared" si="4"/>
        <v>437</v>
      </c>
      <c r="AI305" s="6">
        <v>0.11275415896487985</v>
      </c>
      <c r="AJ305" s="3">
        <v>0.113</v>
      </c>
      <c r="AK305" s="6">
        <v>0.44828351253140786</v>
      </c>
      <c r="AL305" s="25">
        <v>0.44800000000000001</v>
      </c>
      <c r="AM305" s="6">
        <v>0.10334401960017724</v>
      </c>
      <c r="AN305" s="3">
        <v>0.10299999999999999</v>
      </c>
      <c r="AO305" s="6">
        <v>0.44455418530395635</v>
      </c>
      <c r="AP305" s="6">
        <v>9.1558578508910679E-2</v>
      </c>
      <c r="AQ305" s="6">
        <v>9.1999999999999998E-2</v>
      </c>
      <c r="AR305" s="6">
        <v>0.44310819749530761</v>
      </c>
      <c r="AS305" s="6">
        <v>0.443</v>
      </c>
      <c r="AT305" s="6">
        <v>2.1195580455969171E-2</v>
      </c>
      <c r="AU305" s="6">
        <v>5.1753150361002476E-3</v>
      </c>
      <c r="AV305" s="6">
        <v>1.1785441091266557E-2</v>
      </c>
      <c r="AW305" s="6">
        <v>1.445987808648741E-3</v>
      </c>
      <c r="AX305" s="7">
        <v>222</v>
      </c>
      <c r="AY305" s="7">
        <v>231</v>
      </c>
      <c r="AZ305" s="7">
        <v>227</v>
      </c>
      <c r="BA305" s="26">
        <v>5</v>
      </c>
      <c r="BB305" s="26">
        <v>-4</v>
      </c>
      <c r="BC305" s="6">
        <v>9.8762974548556801E-2</v>
      </c>
      <c r="BD305" s="6">
        <v>9.9000000000000005E-2</v>
      </c>
      <c r="BE305" s="11">
        <v>0.44514792068544956</v>
      </c>
      <c r="BF305" s="7">
        <v>225</v>
      </c>
      <c r="BG305" s="7">
        <v>2</v>
      </c>
      <c r="BH305" s="7">
        <v>3</v>
      </c>
    </row>
    <row r="306" spans="2:60" x14ac:dyDescent="0.25">
      <c r="B306" s="3">
        <v>303</v>
      </c>
      <c r="C306" s="3" t="s">
        <v>611</v>
      </c>
      <c r="D306" s="3" t="s">
        <v>612</v>
      </c>
      <c r="E306" s="3" t="s">
        <v>707</v>
      </c>
      <c r="F306" s="3">
        <v>13105</v>
      </c>
      <c r="G306" s="3">
        <v>13</v>
      </c>
      <c r="H306" s="3">
        <v>0.56000000000000005</v>
      </c>
      <c r="I306" s="4">
        <v>155257</v>
      </c>
      <c r="J306" s="4">
        <v>169855</v>
      </c>
      <c r="K306" s="4">
        <v>170536</v>
      </c>
      <c r="L306" s="4">
        <v>-14598</v>
      </c>
      <c r="M306" s="4">
        <v>37080</v>
      </c>
      <c r="N306" s="18">
        <v>0</v>
      </c>
      <c r="O306" s="18">
        <v>28086</v>
      </c>
      <c r="P306" s="18">
        <v>8673</v>
      </c>
      <c r="Q306" s="18">
        <v>0</v>
      </c>
      <c r="R306" s="18">
        <v>321</v>
      </c>
      <c r="S306" s="18">
        <v>0</v>
      </c>
      <c r="T306" s="18">
        <v>37080</v>
      </c>
      <c r="U306" s="18" t="b">
        <v>1</v>
      </c>
      <c r="V306" s="4">
        <v>36146</v>
      </c>
      <c r="W306" s="4">
        <v>36146</v>
      </c>
      <c r="X306" s="3" t="b">
        <v>1</v>
      </c>
      <c r="Y306" s="18">
        <v>7</v>
      </c>
      <c r="Z306" s="18">
        <v>25855</v>
      </c>
      <c r="AA306" s="18">
        <v>9757</v>
      </c>
      <c r="AB306" s="18">
        <v>0</v>
      </c>
      <c r="AC306" s="18">
        <v>527</v>
      </c>
      <c r="AD306" s="18">
        <v>0</v>
      </c>
      <c r="AE306" s="18">
        <v>36146</v>
      </c>
      <c r="AF306" s="4">
        <v>934</v>
      </c>
      <c r="AG306" s="5">
        <v>2.5188781014023734E-2</v>
      </c>
      <c r="AH306" s="18">
        <f t="shared" si="4"/>
        <v>2231</v>
      </c>
      <c r="AI306" s="6">
        <v>0.23882981121624144</v>
      </c>
      <c r="AJ306" s="3">
        <v>0.23899999999999999</v>
      </c>
      <c r="AK306" s="6">
        <v>0.57822887624035246</v>
      </c>
      <c r="AL306" s="25">
        <v>0.57799999999999996</v>
      </c>
      <c r="AM306" s="6">
        <v>0.21830384739925229</v>
      </c>
      <c r="AN306" s="3">
        <v>0.218</v>
      </c>
      <c r="AO306" s="6">
        <v>0.57514855049134561</v>
      </c>
      <c r="AP306" s="6">
        <v>0.21195524698597365</v>
      </c>
      <c r="AQ306" s="6">
        <v>0.21199999999999999</v>
      </c>
      <c r="AR306" s="6">
        <v>0.58232010461428585</v>
      </c>
      <c r="AS306" s="6">
        <v>0.58199999999999996</v>
      </c>
      <c r="AT306" s="6">
        <v>2.6874564230267795E-2</v>
      </c>
      <c r="AU306" s="6">
        <v>-4.0912283739333866E-3</v>
      </c>
      <c r="AV306" s="6">
        <v>6.3486004132786433E-3</v>
      </c>
      <c r="AW306" s="6">
        <v>-7.171554122940238E-3</v>
      </c>
      <c r="AX306" s="7">
        <v>80</v>
      </c>
      <c r="AY306" s="7">
        <v>81</v>
      </c>
      <c r="AZ306" s="7">
        <v>76</v>
      </c>
      <c r="BA306" s="26">
        <v>-4</v>
      </c>
      <c r="BB306" s="26">
        <v>-5</v>
      </c>
      <c r="BC306" s="6">
        <v>0.23281397940189491</v>
      </c>
      <c r="BD306" s="6">
        <v>0.23300000000000001</v>
      </c>
      <c r="BE306" s="11">
        <v>0.58915546074444991</v>
      </c>
      <c r="BF306" s="26">
        <v>72</v>
      </c>
      <c r="BG306" s="7">
        <v>4</v>
      </c>
      <c r="BH306" s="7">
        <v>-8</v>
      </c>
    </row>
    <row r="307" spans="2:60" x14ac:dyDescent="0.25">
      <c r="B307" s="3">
        <v>304</v>
      </c>
      <c r="C307" s="3" t="s">
        <v>613</v>
      </c>
      <c r="D307" s="3" t="s">
        <v>614</v>
      </c>
      <c r="E307" s="3" t="s">
        <v>707</v>
      </c>
      <c r="F307" s="3">
        <v>13602</v>
      </c>
      <c r="G307" s="3">
        <v>13</v>
      </c>
      <c r="H307" s="3">
        <v>0.435</v>
      </c>
      <c r="I307" s="4">
        <v>37497</v>
      </c>
      <c r="J307" s="4">
        <v>42233</v>
      </c>
      <c r="K307" s="4">
        <v>41711</v>
      </c>
      <c r="L307" s="4">
        <v>-4736</v>
      </c>
      <c r="M307" s="4">
        <v>6565</v>
      </c>
      <c r="N307" s="18">
        <v>0</v>
      </c>
      <c r="O307" s="18">
        <v>6254</v>
      </c>
      <c r="P307" s="18">
        <v>47</v>
      </c>
      <c r="Q307" s="18">
        <v>0</v>
      </c>
      <c r="R307" s="18">
        <v>264</v>
      </c>
      <c r="S307" s="18">
        <v>0</v>
      </c>
      <c r="T307" s="18">
        <v>6565</v>
      </c>
      <c r="U307" s="18" t="b">
        <v>1</v>
      </c>
      <c r="V307" s="4">
        <v>6532</v>
      </c>
      <c r="W307" s="4">
        <v>6532</v>
      </c>
      <c r="X307" s="3" t="b">
        <v>1</v>
      </c>
      <c r="Y307" s="18">
        <v>1</v>
      </c>
      <c r="Z307" s="18">
        <v>6176</v>
      </c>
      <c r="AA307" s="18">
        <v>8</v>
      </c>
      <c r="AB307" s="18">
        <v>0</v>
      </c>
      <c r="AC307" s="18">
        <v>347</v>
      </c>
      <c r="AD307" s="18">
        <v>0</v>
      </c>
      <c r="AE307" s="18">
        <v>6532</v>
      </c>
      <c r="AF307" s="4">
        <v>33</v>
      </c>
      <c r="AG307" s="5">
        <v>5.0266565118050263E-3</v>
      </c>
      <c r="AH307" s="18">
        <f t="shared" si="4"/>
        <v>78</v>
      </c>
      <c r="AI307" s="6">
        <v>0.17508067312051631</v>
      </c>
      <c r="AJ307" s="3">
        <v>0.17499999999999999</v>
      </c>
      <c r="AK307" s="6">
        <v>0.5125230497143487</v>
      </c>
      <c r="AL307" s="25">
        <v>0.51300000000000001</v>
      </c>
      <c r="AM307" s="6">
        <v>0.15544716217176141</v>
      </c>
      <c r="AN307" s="3">
        <v>0.155</v>
      </c>
      <c r="AO307" s="6">
        <v>0.503743355631322</v>
      </c>
      <c r="AP307" s="6">
        <v>0.15660137613579153</v>
      </c>
      <c r="AQ307" s="6">
        <v>0.157</v>
      </c>
      <c r="AR307" s="6">
        <v>0.51851464718475415</v>
      </c>
      <c r="AS307" s="6">
        <v>0.51800000000000002</v>
      </c>
      <c r="AT307" s="6">
        <v>1.847929698472478E-2</v>
      </c>
      <c r="AU307" s="6">
        <v>-5.991597470405452E-3</v>
      </c>
      <c r="AV307" s="6">
        <v>-1.1542139640301208E-3</v>
      </c>
      <c r="AW307" s="6">
        <v>-1.4771291553432153E-2</v>
      </c>
      <c r="AX307" s="7">
        <v>141</v>
      </c>
      <c r="AY307" s="7">
        <v>158</v>
      </c>
      <c r="AZ307" s="7">
        <v>140</v>
      </c>
      <c r="BA307" s="26">
        <v>-1</v>
      </c>
      <c r="BB307" s="26">
        <v>-18</v>
      </c>
      <c r="BC307" s="6">
        <v>0.17420060271488386</v>
      </c>
      <c r="BD307" s="6">
        <v>0.17399999999999999</v>
      </c>
      <c r="BE307" s="11">
        <v>0.52618862061905991</v>
      </c>
      <c r="BF307" s="7">
        <v>131</v>
      </c>
      <c r="BG307" s="7">
        <v>9</v>
      </c>
      <c r="BH307" s="7">
        <v>-10</v>
      </c>
    </row>
    <row r="308" spans="2:60" x14ac:dyDescent="0.25">
      <c r="B308" s="3">
        <v>305</v>
      </c>
      <c r="C308" s="3" t="s">
        <v>615</v>
      </c>
      <c r="D308" s="3" t="s">
        <v>616</v>
      </c>
      <c r="E308" s="3" t="s">
        <v>707</v>
      </c>
      <c r="F308" s="3">
        <v>13106</v>
      </c>
      <c r="G308" s="3">
        <v>13</v>
      </c>
      <c r="H308" s="3">
        <v>0.54400000000000004</v>
      </c>
      <c r="I308" s="4">
        <v>181049</v>
      </c>
      <c r="J308" s="4">
        <v>221901</v>
      </c>
      <c r="K308" s="4">
        <v>219897</v>
      </c>
      <c r="L308" s="4">
        <v>-40852</v>
      </c>
      <c r="M308" s="4">
        <v>52289</v>
      </c>
      <c r="N308" s="18">
        <v>2</v>
      </c>
      <c r="O308" s="18">
        <v>37036</v>
      </c>
      <c r="P308" s="18">
        <v>14911</v>
      </c>
      <c r="Q308" s="18">
        <v>0</v>
      </c>
      <c r="R308" s="18">
        <v>340</v>
      </c>
      <c r="S308" s="18">
        <v>0</v>
      </c>
      <c r="T308" s="18">
        <v>52289</v>
      </c>
      <c r="U308" s="18" t="b">
        <v>1</v>
      </c>
      <c r="V308" s="4">
        <v>50808</v>
      </c>
      <c r="W308" s="4">
        <v>50808</v>
      </c>
      <c r="X308" s="3" t="b">
        <v>1</v>
      </c>
      <c r="Y308" s="18">
        <v>22</v>
      </c>
      <c r="Z308" s="18">
        <v>32900</v>
      </c>
      <c r="AA308" s="18">
        <v>17314</v>
      </c>
      <c r="AB308" s="18">
        <v>0</v>
      </c>
      <c r="AC308" s="18">
        <v>572</v>
      </c>
      <c r="AD308" s="18">
        <v>0</v>
      </c>
      <c r="AE308" s="18">
        <v>50808</v>
      </c>
      <c r="AF308" s="4">
        <v>1481</v>
      </c>
      <c r="AG308" s="5">
        <v>2.8323356728948729E-2</v>
      </c>
      <c r="AH308" s="18">
        <f t="shared" si="4"/>
        <v>4136</v>
      </c>
      <c r="AI308" s="6">
        <v>0.28881131627349504</v>
      </c>
      <c r="AJ308" s="3">
        <v>0.28899999999999998</v>
      </c>
      <c r="AK308" s="6">
        <v>0.62974449196317439</v>
      </c>
      <c r="AL308" s="25">
        <v>0.63</v>
      </c>
      <c r="AM308" s="6">
        <v>0.23564111923785833</v>
      </c>
      <c r="AN308" s="3">
        <v>0.23599999999999999</v>
      </c>
      <c r="AO308" s="6">
        <v>0.5948436914218036</v>
      </c>
      <c r="AP308" s="6">
        <v>0.2310536296538834</v>
      </c>
      <c r="AQ308" s="6">
        <v>0.23100000000000001</v>
      </c>
      <c r="AR308" s="6">
        <v>0.60436198990812406</v>
      </c>
      <c r="AS308" s="6">
        <v>0.60399999999999998</v>
      </c>
      <c r="AT308" s="6">
        <v>5.7757686619611642E-2</v>
      </c>
      <c r="AU308" s="6">
        <v>2.5382502055050327E-2</v>
      </c>
      <c r="AV308" s="6">
        <v>4.5874895839749241E-3</v>
      </c>
      <c r="AW308" s="6">
        <v>-9.5182984863204645E-3</v>
      </c>
      <c r="AX308" s="7">
        <v>35</v>
      </c>
      <c r="AY308" s="7">
        <v>63</v>
      </c>
      <c r="AZ308" s="7">
        <v>56</v>
      </c>
      <c r="BA308" s="26">
        <v>21</v>
      </c>
      <c r="BB308" s="26">
        <v>-7</v>
      </c>
      <c r="BC308" s="6">
        <v>0.28063121033532357</v>
      </c>
      <c r="BD308" s="6">
        <v>0.28100000000000003</v>
      </c>
      <c r="BE308" s="11">
        <v>0.64052427970026482</v>
      </c>
      <c r="BF308" s="26">
        <v>33</v>
      </c>
      <c r="BG308" s="7">
        <v>23</v>
      </c>
      <c r="BH308" s="7">
        <v>-2</v>
      </c>
    </row>
    <row r="309" spans="2:60" x14ac:dyDescent="0.25">
      <c r="B309" s="3">
        <v>306</v>
      </c>
      <c r="C309" s="3" t="s">
        <v>617</v>
      </c>
      <c r="D309" s="3" t="s">
        <v>618</v>
      </c>
      <c r="E309" s="3" t="s">
        <v>707</v>
      </c>
      <c r="F309" s="3">
        <v>13107</v>
      </c>
      <c r="G309" s="3">
        <v>13</v>
      </c>
      <c r="H309" s="3">
        <v>0.57099999999999995</v>
      </c>
      <c r="I309" s="4">
        <v>101808</v>
      </c>
      <c r="J309" s="4">
        <v>118327</v>
      </c>
      <c r="K309" s="4">
        <v>117121</v>
      </c>
      <c r="L309" s="4">
        <v>-16519</v>
      </c>
      <c r="M309" s="4">
        <v>25496</v>
      </c>
      <c r="N309" s="18">
        <v>11</v>
      </c>
      <c r="O309" s="18">
        <v>22435</v>
      </c>
      <c r="P309" s="18">
        <v>2761</v>
      </c>
      <c r="Q309" s="18">
        <v>0</v>
      </c>
      <c r="R309" s="18">
        <v>289</v>
      </c>
      <c r="S309" s="18">
        <v>0</v>
      </c>
      <c r="T309" s="18">
        <v>25496</v>
      </c>
      <c r="U309" s="18" t="b">
        <v>1</v>
      </c>
      <c r="V309" s="4">
        <v>23994</v>
      </c>
      <c r="W309" s="4">
        <v>23994</v>
      </c>
      <c r="X309" s="3" t="b">
        <v>1</v>
      </c>
      <c r="Y309" s="18">
        <v>43</v>
      </c>
      <c r="Z309" s="18">
        <v>21038</v>
      </c>
      <c r="AA309" s="18">
        <v>2579</v>
      </c>
      <c r="AB309" s="18">
        <v>0</v>
      </c>
      <c r="AC309" s="18">
        <v>334</v>
      </c>
      <c r="AD309" s="18">
        <v>0</v>
      </c>
      <c r="AE309" s="18">
        <v>23994</v>
      </c>
      <c r="AF309" s="4">
        <v>1502</v>
      </c>
      <c r="AG309" s="5">
        <v>5.8911201757138376E-2</v>
      </c>
      <c r="AH309" s="18">
        <f t="shared" si="4"/>
        <v>1397</v>
      </c>
      <c r="AI309" s="6">
        <v>0.25043218607575041</v>
      </c>
      <c r="AJ309" s="3">
        <v>0.25</v>
      </c>
      <c r="AK309" s="6">
        <v>0.5901873693679589</v>
      </c>
      <c r="AL309" s="25">
        <v>0.59</v>
      </c>
      <c r="AM309" s="6">
        <v>0.21547068716353834</v>
      </c>
      <c r="AN309" s="3">
        <v>0.215</v>
      </c>
      <c r="AO309" s="6">
        <v>0.57193008044367055</v>
      </c>
      <c r="AP309" s="6">
        <v>0.20486505408936057</v>
      </c>
      <c r="AQ309" s="6">
        <v>0.20499999999999999</v>
      </c>
      <c r="AR309" s="6">
        <v>0.57419941003234543</v>
      </c>
      <c r="AS309" s="6">
        <v>0.57399999999999995</v>
      </c>
      <c r="AT309" s="6">
        <v>4.5567131986389842E-2</v>
      </c>
      <c r="AU309" s="6">
        <v>1.5987959335613477E-2</v>
      </c>
      <c r="AV309" s="6">
        <v>1.0605633074177778E-2</v>
      </c>
      <c r="AW309" s="6">
        <v>-2.2693295886748732E-3</v>
      </c>
      <c r="AX309" s="7">
        <v>67</v>
      </c>
      <c r="AY309" s="7">
        <v>85</v>
      </c>
      <c r="AZ309" s="7">
        <v>88</v>
      </c>
      <c r="BA309" s="26">
        <v>21</v>
      </c>
      <c r="BB309" s="26">
        <v>3</v>
      </c>
      <c r="BC309" s="6">
        <v>0.23567892503536067</v>
      </c>
      <c r="BD309" s="6">
        <v>0.23599999999999999</v>
      </c>
      <c r="BE309" s="11">
        <v>0.59223319800967644</v>
      </c>
      <c r="BF309" s="7">
        <v>69</v>
      </c>
      <c r="BG309" s="7">
        <v>19</v>
      </c>
      <c r="BH309" s="7">
        <v>2</v>
      </c>
    </row>
    <row r="310" spans="2:60" x14ac:dyDescent="0.25">
      <c r="B310" s="3">
        <v>307</v>
      </c>
      <c r="C310" s="3" t="s">
        <v>619</v>
      </c>
      <c r="D310" s="3" t="s">
        <v>620</v>
      </c>
      <c r="E310" s="3" t="s">
        <v>707</v>
      </c>
      <c r="F310" s="3">
        <v>13108</v>
      </c>
      <c r="G310" s="3">
        <v>13</v>
      </c>
      <c r="H310" s="3">
        <v>0.55800000000000005</v>
      </c>
      <c r="I310" s="4">
        <v>116943</v>
      </c>
      <c r="J310" s="4">
        <v>153624</v>
      </c>
      <c r="K310" s="4">
        <v>151890</v>
      </c>
      <c r="L310" s="4">
        <v>-36681</v>
      </c>
      <c r="M310" s="4">
        <v>32588</v>
      </c>
      <c r="N310" s="18">
        <v>2</v>
      </c>
      <c r="O310" s="18">
        <v>19566</v>
      </c>
      <c r="P310" s="18">
        <v>12767</v>
      </c>
      <c r="Q310" s="18">
        <v>0</v>
      </c>
      <c r="R310" s="18">
        <v>253</v>
      </c>
      <c r="S310" s="18">
        <v>0</v>
      </c>
      <c r="T310" s="18">
        <v>32588</v>
      </c>
      <c r="U310" s="18" t="b">
        <v>1</v>
      </c>
      <c r="V310" s="4">
        <v>31969</v>
      </c>
      <c r="W310" s="4">
        <v>31969</v>
      </c>
      <c r="X310" s="3" t="b">
        <v>1</v>
      </c>
      <c r="Y310" s="18">
        <v>19</v>
      </c>
      <c r="Z310" s="18">
        <v>16883</v>
      </c>
      <c r="AA310" s="18">
        <v>14632</v>
      </c>
      <c r="AB310" s="18">
        <v>0</v>
      </c>
      <c r="AC310" s="18">
        <v>435</v>
      </c>
      <c r="AD310" s="18">
        <v>0</v>
      </c>
      <c r="AE310" s="18">
        <v>31969</v>
      </c>
      <c r="AF310" s="4">
        <v>619</v>
      </c>
      <c r="AG310" s="5">
        <v>1.8994721983552228E-2</v>
      </c>
      <c r="AH310" s="18">
        <f t="shared" si="4"/>
        <v>2683</v>
      </c>
      <c r="AI310" s="6">
        <v>0.27866567473042425</v>
      </c>
      <c r="AJ310" s="3">
        <v>0.27900000000000003</v>
      </c>
      <c r="AK310" s="6">
        <v>0.61928744449340278</v>
      </c>
      <c r="AL310" s="25">
        <v>0.61899999999999999</v>
      </c>
      <c r="AM310" s="6">
        <v>0.21212831328438264</v>
      </c>
      <c r="AN310" s="3">
        <v>0.21199999999999999</v>
      </c>
      <c r="AO310" s="6">
        <v>0.56813314369346801</v>
      </c>
      <c r="AP310" s="6">
        <v>0.21047468562775692</v>
      </c>
      <c r="AQ310" s="6">
        <v>0.21</v>
      </c>
      <c r="AR310" s="6">
        <v>0.5799999061623029</v>
      </c>
      <c r="AS310" s="6">
        <v>0.58099999999999996</v>
      </c>
      <c r="AT310" s="6">
        <v>6.8190989102667326E-2</v>
      </c>
      <c r="AU310" s="6">
        <v>3.928753833109988E-2</v>
      </c>
      <c r="AV310" s="6">
        <v>1.6536276566257169E-3</v>
      </c>
      <c r="AW310" s="6">
        <v>-1.186676246883489E-2</v>
      </c>
      <c r="AX310" s="7">
        <v>43</v>
      </c>
      <c r="AY310" s="7">
        <v>93</v>
      </c>
      <c r="AZ310" s="7">
        <v>77</v>
      </c>
      <c r="BA310" s="26">
        <v>34</v>
      </c>
      <c r="BB310" s="26">
        <v>-16</v>
      </c>
      <c r="BC310" s="6">
        <v>0.27337249771256084</v>
      </c>
      <c r="BD310" s="6">
        <v>0.27300000000000002</v>
      </c>
      <c r="BE310" s="11">
        <v>0.63272643178451871</v>
      </c>
      <c r="BF310" s="26">
        <v>39</v>
      </c>
      <c r="BG310" s="7">
        <v>38</v>
      </c>
      <c r="BH310" s="7">
        <v>-4</v>
      </c>
    </row>
    <row r="311" spans="2:60" x14ac:dyDescent="0.25">
      <c r="B311" s="3">
        <v>308</v>
      </c>
      <c r="C311" s="3" t="s">
        <v>621</v>
      </c>
      <c r="D311" s="3" t="s">
        <v>622</v>
      </c>
      <c r="E311" s="3" t="s">
        <v>707</v>
      </c>
      <c r="F311" s="3">
        <v>13603</v>
      </c>
      <c r="G311" s="3">
        <v>13</v>
      </c>
      <c r="H311" s="3">
        <v>0.43</v>
      </c>
      <c r="I311" s="4">
        <v>39274</v>
      </c>
      <c r="J311" s="4">
        <v>42393</v>
      </c>
      <c r="K311" s="4">
        <v>41876</v>
      </c>
      <c r="L311" s="4">
        <v>-3119</v>
      </c>
      <c r="M311" s="4">
        <v>6009</v>
      </c>
      <c r="N311" s="18">
        <v>0</v>
      </c>
      <c r="O311" s="18">
        <v>5803</v>
      </c>
      <c r="P311" s="18">
        <v>24</v>
      </c>
      <c r="Q311" s="18">
        <v>0</v>
      </c>
      <c r="R311" s="18">
        <v>182</v>
      </c>
      <c r="S311" s="18">
        <v>0</v>
      </c>
      <c r="T311" s="18">
        <v>6009</v>
      </c>
      <c r="U311" s="18" t="b">
        <v>1</v>
      </c>
      <c r="V311" s="4">
        <v>4628</v>
      </c>
      <c r="W311" s="4">
        <v>4628</v>
      </c>
      <c r="X311" s="3" t="b">
        <v>1</v>
      </c>
      <c r="Y311" s="18">
        <v>1</v>
      </c>
      <c r="Z311" s="18">
        <v>4445</v>
      </c>
      <c r="AA311" s="18">
        <v>1</v>
      </c>
      <c r="AB311" s="18">
        <v>0</v>
      </c>
      <c r="AC311" s="18">
        <v>181</v>
      </c>
      <c r="AD311" s="18">
        <v>0</v>
      </c>
      <c r="AE311" s="18">
        <v>4628</v>
      </c>
      <c r="AF311" s="4">
        <v>1381</v>
      </c>
      <c r="AG311" s="5">
        <v>0.22982193376601764</v>
      </c>
      <c r="AH311" s="18">
        <f t="shared" si="4"/>
        <v>1358</v>
      </c>
      <c r="AI311" s="6">
        <v>0.15300198604674847</v>
      </c>
      <c r="AJ311" s="3">
        <v>0.153</v>
      </c>
      <c r="AK311" s="6">
        <v>0.48976668898343884</v>
      </c>
      <c r="AL311" s="25">
        <v>0.49</v>
      </c>
      <c r="AM311" s="6">
        <v>0.14174509942679217</v>
      </c>
      <c r="AN311" s="3">
        <v>0.14199999999999999</v>
      </c>
      <c r="AO311" s="6">
        <v>0.48817781225677431</v>
      </c>
      <c r="AP311" s="6">
        <v>0.11051676377877544</v>
      </c>
      <c r="AQ311" s="6">
        <v>0.111</v>
      </c>
      <c r="AR311" s="6">
        <v>0.46515008278914582</v>
      </c>
      <c r="AS311" s="6">
        <v>0.46500000000000002</v>
      </c>
      <c r="AT311" s="6">
        <v>4.2485222267973036E-2</v>
      </c>
      <c r="AU311" s="6">
        <v>2.4616606194293011E-2</v>
      </c>
      <c r="AV311" s="6">
        <v>3.1228335648016733E-2</v>
      </c>
      <c r="AW311" s="6">
        <v>2.3027729467628488E-2</v>
      </c>
      <c r="AX311" s="7">
        <v>175</v>
      </c>
      <c r="AY311" s="7">
        <v>176</v>
      </c>
      <c r="AZ311" s="7">
        <v>197</v>
      </c>
      <c r="BA311" s="26">
        <v>22</v>
      </c>
      <c r="BB311" s="26">
        <v>21</v>
      </c>
      <c r="BC311" s="6">
        <v>0.1178387737434435</v>
      </c>
      <c r="BD311" s="6">
        <v>0.11799999999999999</v>
      </c>
      <c r="BE311" s="11">
        <v>0.46564056018278549</v>
      </c>
      <c r="BF311" s="7">
        <v>198</v>
      </c>
      <c r="BG311" s="7">
        <v>-1</v>
      </c>
      <c r="BH311" s="7">
        <v>23</v>
      </c>
    </row>
    <row r="312" spans="2:60" x14ac:dyDescent="0.25">
      <c r="B312" s="3">
        <v>309</v>
      </c>
      <c r="C312" s="3" t="s">
        <v>623</v>
      </c>
      <c r="D312" s="3" t="s">
        <v>624</v>
      </c>
      <c r="E312" s="3" t="s">
        <v>707</v>
      </c>
      <c r="F312" s="3">
        <v>13109</v>
      </c>
      <c r="G312" s="3">
        <v>13</v>
      </c>
      <c r="H312" s="3">
        <v>0.55500000000000005</v>
      </c>
      <c r="I312" s="4">
        <v>103157</v>
      </c>
      <c r="J312" s="4">
        <v>101401</v>
      </c>
      <c r="K312" s="4">
        <v>101377</v>
      </c>
      <c r="L312" s="4">
        <v>1756</v>
      </c>
      <c r="M312" s="4">
        <v>33621</v>
      </c>
      <c r="N312" s="18">
        <v>6</v>
      </c>
      <c r="O312" s="18">
        <v>22390</v>
      </c>
      <c r="P312" s="18">
        <v>11032</v>
      </c>
      <c r="Q312" s="18">
        <v>0</v>
      </c>
      <c r="R312" s="18">
        <v>193</v>
      </c>
      <c r="S312" s="18">
        <v>0</v>
      </c>
      <c r="T312" s="18">
        <v>33621</v>
      </c>
      <c r="U312" s="18" t="b">
        <v>1</v>
      </c>
      <c r="V312" s="4">
        <v>31607</v>
      </c>
      <c r="W312" s="4">
        <v>31607</v>
      </c>
      <c r="X312" s="3" t="b">
        <v>1</v>
      </c>
      <c r="Y312" s="18">
        <v>29</v>
      </c>
      <c r="Z312" s="18">
        <v>18873</v>
      </c>
      <c r="AA312" s="18">
        <v>12396</v>
      </c>
      <c r="AB312" s="18">
        <v>0</v>
      </c>
      <c r="AC312" s="18">
        <v>309</v>
      </c>
      <c r="AD312" s="18">
        <v>0</v>
      </c>
      <c r="AE312" s="18">
        <v>31607</v>
      </c>
      <c r="AF312" s="4">
        <v>2014</v>
      </c>
      <c r="AG312" s="5">
        <v>5.9903036792480893E-2</v>
      </c>
      <c r="AH312" s="18">
        <f t="shared" si="4"/>
        <v>3517</v>
      </c>
      <c r="AI312" s="6">
        <v>0.32592068400593271</v>
      </c>
      <c r="AJ312" s="3">
        <v>0.32600000000000001</v>
      </c>
      <c r="AK312" s="6">
        <v>0.66799287855400014</v>
      </c>
      <c r="AL312" s="25">
        <v>0.66800000000000004</v>
      </c>
      <c r="AM312" s="6">
        <v>0.33156477746767782</v>
      </c>
      <c r="AN312" s="3">
        <v>0.33200000000000002</v>
      </c>
      <c r="AO312" s="6">
        <v>0.70381296784478165</v>
      </c>
      <c r="AP312" s="6">
        <v>0.31177683300945974</v>
      </c>
      <c r="AQ312" s="6">
        <v>0.312</v>
      </c>
      <c r="AR312" s="6">
        <v>0.6983300272134344</v>
      </c>
      <c r="AS312" s="6">
        <v>0.69799999999999995</v>
      </c>
      <c r="AT312" s="6">
        <v>1.4143850996472973E-2</v>
      </c>
      <c r="AU312" s="6">
        <v>-3.0337148659434265E-2</v>
      </c>
      <c r="AV312" s="6">
        <v>1.9787944458218076E-2</v>
      </c>
      <c r="AW312" s="6">
        <v>5.482940631347244E-3</v>
      </c>
      <c r="AX312" s="7">
        <v>20</v>
      </c>
      <c r="AY312" s="7">
        <v>12</v>
      </c>
      <c r="AZ312" s="7">
        <v>13</v>
      </c>
      <c r="BA312" s="26">
        <v>-7</v>
      </c>
      <c r="BB312" s="26">
        <v>1</v>
      </c>
      <c r="BC312" s="6">
        <v>0.30639704528049477</v>
      </c>
      <c r="BD312" s="6">
        <v>0.30599999999999999</v>
      </c>
      <c r="BE312" s="11">
        <v>0.66820385220387923</v>
      </c>
      <c r="BF312" s="26">
        <v>18</v>
      </c>
      <c r="BG312" s="7">
        <v>-5</v>
      </c>
      <c r="BH312" s="7">
        <v>-2</v>
      </c>
    </row>
    <row r="313" spans="2:60" x14ac:dyDescent="0.25">
      <c r="B313" s="3">
        <v>310</v>
      </c>
      <c r="C313" s="3" t="s">
        <v>625</v>
      </c>
      <c r="D313" s="3" t="s">
        <v>626</v>
      </c>
      <c r="E313" s="3" t="s">
        <v>707</v>
      </c>
      <c r="F313" s="3">
        <v>13110</v>
      </c>
      <c r="G313" s="3">
        <v>13</v>
      </c>
      <c r="H313" s="3">
        <v>0.56000000000000005</v>
      </c>
      <c r="I313" s="4">
        <v>374836</v>
      </c>
      <c r="J313" s="4">
        <v>407297</v>
      </c>
      <c r="K313" s="4">
        <v>406796</v>
      </c>
      <c r="L313" s="4">
        <v>-32461</v>
      </c>
      <c r="M313" s="4">
        <v>113775</v>
      </c>
      <c r="N313" s="18">
        <v>14</v>
      </c>
      <c r="O313" s="18">
        <v>80524</v>
      </c>
      <c r="P313" s="18">
        <v>32813</v>
      </c>
      <c r="Q313" s="18">
        <v>0</v>
      </c>
      <c r="R313" s="18">
        <v>424</v>
      </c>
      <c r="S313" s="18">
        <v>0</v>
      </c>
      <c r="T313" s="18">
        <v>113775</v>
      </c>
      <c r="U313" s="18" t="b">
        <v>1</v>
      </c>
      <c r="V313" s="4">
        <v>109407</v>
      </c>
      <c r="W313" s="4">
        <v>109407</v>
      </c>
      <c r="X313" s="3" t="b">
        <v>1</v>
      </c>
      <c r="Y313" s="18">
        <v>67</v>
      </c>
      <c r="Z313" s="18">
        <v>73641</v>
      </c>
      <c r="AA313" s="18">
        <v>35119</v>
      </c>
      <c r="AB313" s="18">
        <v>1</v>
      </c>
      <c r="AC313" s="18">
        <v>579</v>
      </c>
      <c r="AD313" s="18">
        <v>0</v>
      </c>
      <c r="AE313" s="18">
        <v>109407</v>
      </c>
      <c r="AF313" s="4">
        <v>4368</v>
      </c>
      <c r="AG313" s="5">
        <v>3.839156229400132E-2</v>
      </c>
      <c r="AH313" s="18">
        <f t="shared" si="4"/>
        <v>6883</v>
      </c>
      <c r="AI313" s="6">
        <v>0.30353274498714106</v>
      </c>
      <c r="AJ313" s="3">
        <v>0.30399999999999999</v>
      </c>
      <c r="AK313" s="6">
        <v>0.64491777383282556</v>
      </c>
      <c r="AL313" s="25">
        <v>0.64500000000000002</v>
      </c>
      <c r="AM313" s="6">
        <v>0.27934161066739993</v>
      </c>
      <c r="AN313" s="3">
        <v>0.27900000000000003</v>
      </c>
      <c r="AO313" s="6">
        <v>0.64448744999277674</v>
      </c>
      <c r="AP313" s="6">
        <v>0.26894807225243117</v>
      </c>
      <c r="AQ313" s="6">
        <v>0.26900000000000002</v>
      </c>
      <c r="AR313" s="6">
        <v>0.64844576049580049</v>
      </c>
      <c r="AS313" s="6">
        <v>0.64800000000000002</v>
      </c>
      <c r="AT313" s="6">
        <v>3.4584672734709887E-2</v>
      </c>
      <c r="AU313" s="6">
        <v>-3.5279866629749357E-3</v>
      </c>
      <c r="AV313" s="6">
        <v>1.0393538414968762E-2</v>
      </c>
      <c r="AW313" s="6">
        <v>-3.9583105030237542E-3</v>
      </c>
      <c r="AX313" s="7">
        <v>26</v>
      </c>
      <c r="AY313" s="7">
        <v>28</v>
      </c>
      <c r="AZ313" s="7">
        <v>28</v>
      </c>
      <c r="BA313" s="26">
        <v>2</v>
      </c>
      <c r="BB313" s="26">
        <v>0</v>
      </c>
      <c r="BC313" s="6">
        <v>0.29187964869969801</v>
      </c>
      <c r="BD313" s="6">
        <v>0.29199999999999998</v>
      </c>
      <c r="BE313" s="11">
        <v>0.65260818716616631</v>
      </c>
      <c r="BF313" s="7">
        <v>26</v>
      </c>
      <c r="BG313" s="7">
        <v>2</v>
      </c>
      <c r="BH313" s="7">
        <v>0</v>
      </c>
    </row>
    <row r="314" spans="2:60" x14ac:dyDescent="0.25">
      <c r="B314" s="3">
        <v>311</v>
      </c>
      <c r="C314" s="3" t="s">
        <v>627</v>
      </c>
      <c r="D314" s="3" t="s">
        <v>628</v>
      </c>
      <c r="E314" s="3" t="s">
        <v>707</v>
      </c>
      <c r="F314" s="3">
        <v>13111</v>
      </c>
      <c r="G314" s="3">
        <v>13</v>
      </c>
      <c r="H314" s="3">
        <v>0.59399999999999997</v>
      </c>
      <c r="I314" s="4">
        <v>112022</v>
      </c>
      <c r="J314" s="4">
        <v>119321</v>
      </c>
      <c r="K314" s="4">
        <v>120249</v>
      </c>
      <c r="L314" s="4">
        <v>-7299</v>
      </c>
      <c r="M314" s="4">
        <v>25273</v>
      </c>
      <c r="N314" s="18">
        <v>0</v>
      </c>
      <c r="O314" s="18">
        <v>20957</v>
      </c>
      <c r="P314" s="18">
        <v>4072</v>
      </c>
      <c r="Q314" s="18">
        <v>0</v>
      </c>
      <c r="R314" s="18">
        <v>244</v>
      </c>
      <c r="S314" s="18">
        <v>0</v>
      </c>
      <c r="T314" s="18">
        <v>25273</v>
      </c>
      <c r="U314" s="18" t="b">
        <v>1</v>
      </c>
      <c r="V314" s="4">
        <v>24390</v>
      </c>
      <c r="W314" s="4">
        <v>24390</v>
      </c>
      <c r="X314" s="3" t="b">
        <v>1</v>
      </c>
      <c r="Y314" s="18">
        <v>5</v>
      </c>
      <c r="Z314" s="18">
        <v>19411</v>
      </c>
      <c r="AA314" s="18">
        <v>4464</v>
      </c>
      <c r="AB314" s="18">
        <v>0</v>
      </c>
      <c r="AC314" s="18">
        <v>510</v>
      </c>
      <c r="AD314" s="18">
        <v>0</v>
      </c>
      <c r="AE314" s="18">
        <v>24390</v>
      </c>
      <c r="AF314" s="4">
        <v>883</v>
      </c>
      <c r="AG314" s="5">
        <v>3.4938471886994026E-2</v>
      </c>
      <c r="AH314" s="18">
        <f t="shared" si="4"/>
        <v>1546</v>
      </c>
      <c r="AI314" s="6">
        <v>0.22560746996125761</v>
      </c>
      <c r="AJ314" s="3">
        <v>0.22600000000000001</v>
      </c>
      <c r="AK314" s="6">
        <v>0.56460069417045489</v>
      </c>
      <c r="AL314" s="25">
        <v>0.56499999999999995</v>
      </c>
      <c r="AM314" s="6">
        <v>0.21180680684875253</v>
      </c>
      <c r="AN314" s="3">
        <v>0.21199999999999999</v>
      </c>
      <c r="AO314" s="6">
        <v>0.56776791238033353</v>
      </c>
      <c r="AP314" s="6">
        <v>0.20282912955617094</v>
      </c>
      <c r="AQ314" s="6">
        <v>0.20300000000000001</v>
      </c>
      <c r="AR314" s="6">
        <v>0.57187921158036248</v>
      </c>
      <c r="AS314" s="6">
        <v>0.57199999999999995</v>
      </c>
      <c r="AT314" s="6">
        <v>2.2778340405086667E-2</v>
      </c>
      <c r="AU314" s="6">
        <v>-7.2785174099075922E-3</v>
      </c>
      <c r="AV314" s="6">
        <v>8.9776772925815873E-3</v>
      </c>
      <c r="AW314" s="6">
        <v>-4.1112992000289506E-3</v>
      </c>
      <c r="AX314" s="7">
        <v>100</v>
      </c>
      <c r="AY314" s="7">
        <v>96</v>
      </c>
      <c r="AZ314" s="7">
        <v>93</v>
      </c>
      <c r="BA314" s="26">
        <v>-7</v>
      </c>
      <c r="BB314" s="26">
        <v>-3</v>
      </c>
      <c r="BC314" s="6">
        <v>0.21772508971452037</v>
      </c>
      <c r="BD314" s="6">
        <v>0.218</v>
      </c>
      <c r="BE314" s="11">
        <v>0.57294585538954967</v>
      </c>
      <c r="BF314" s="26">
        <v>90</v>
      </c>
      <c r="BG314" s="7">
        <v>3</v>
      </c>
      <c r="BH314" s="7">
        <v>-10</v>
      </c>
    </row>
    <row r="315" spans="2:60" x14ac:dyDescent="0.25">
      <c r="B315" s="3">
        <v>312</v>
      </c>
      <c r="C315" s="3" t="s">
        <v>629</v>
      </c>
      <c r="D315" s="3" t="s">
        <v>630</v>
      </c>
      <c r="E315" s="3" t="s">
        <v>707</v>
      </c>
      <c r="F315" s="3">
        <v>13112</v>
      </c>
      <c r="G315" s="3">
        <v>13</v>
      </c>
      <c r="H315" s="3">
        <v>0.51300000000000001</v>
      </c>
      <c r="I315" s="4">
        <v>175421</v>
      </c>
      <c r="J315" s="4">
        <v>188980</v>
      </c>
      <c r="K315" s="4">
        <v>189151</v>
      </c>
      <c r="L315" s="4">
        <v>-13559</v>
      </c>
      <c r="M315" s="4">
        <v>16151</v>
      </c>
      <c r="N315" s="18">
        <v>1</v>
      </c>
      <c r="O315" s="18">
        <v>15588</v>
      </c>
      <c r="P315" s="18">
        <v>1</v>
      </c>
      <c r="Q315" s="18">
        <v>0</v>
      </c>
      <c r="R315" s="18">
        <v>561</v>
      </c>
      <c r="S315" s="18">
        <v>0</v>
      </c>
      <c r="T315" s="18">
        <v>16151</v>
      </c>
      <c r="U315" s="18" t="b">
        <v>1</v>
      </c>
      <c r="V315" s="4">
        <v>16424</v>
      </c>
      <c r="W315" s="4">
        <v>16424</v>
      </c>
      <c r="X315" s="3" t="b">
        <v>1</v>
      </c>
      <c r="Y315" s="18">
        <v>2</v>
      </c>
      <c r="Z315" s="18">
        <v>15556</v>
      </c>
      <c r="AA315" s="18">
        <v>0</v>
      </c>
      <c r="AB315" s="18">
        <v>0</v>
      </c>
      <c r="AC315" s="18">
        <v>866</v>
      </c>
      <c r="AD315" s="18">
        <v>0</v>
      </c>
      <c r="AE315" s="18">
        <v>16424</v>
      </c>
      <c r="AF315" s="4">
        <v>-273</v>
      </c>
      <c r="AG315" s="5">
        <v>-1.6902978143768187E-2</v>
      </c>
      <c r="AH315" s="18">
        <f t="shared" si="4"/>
        <v>32</v>
      </c>
      <c r="AI315" s="6">
        <v>9.2069934614441823E-2</v>
      </c>
      <c r="AJ315" s="3">
        <v>9.1999999999999998E-2</v>
      </c>
      <c r="AK315" s="6">
        <v>0.42696441555861347</v>
      </c>
      <c r="AL315" s="25">
        <v>0.42699999999999999</v>
      </c>
      <c r="AM315" s="6">
        <v>8.546407027198645E-2</v>
      </c>
      <c r="AN315" s="3">
        <v>8.5000000000000006E-2</v>
      </c>
      <c r="AO315" s="6">
        <v>0.42424256274151761</v>
      </c>
      <c r="AP315" s="6">
        <v>8.6830098704209865E-2</v>
      </c>
      <c r="AQ315" s="6">
        <v>8.6999999999999994E-2</v>
      </c>
      <c r="AR315" s="6">
        <v>0.43730770136535019</v>
      </c>
      <c r="AS315" s="6">
        <v>0.437</v>
      </c>
      <c r="AT315" s="6">
        <v>5.2398359102319575E-3</v>
      </c>
      <c r="AU315" s="6">
        <v>-1.0343285806736713E-2</v>
      </c>
      <c r="AV315" s="6">
        <v>-1.3660284322234151E-3</v>
      </c>
      <c r="AW315" s="6">
        <v>-1.3065138623832573E-2</v>
      </c>
      <c r="AX315" s="7">
        <v>245</v>
      </c>
      <c r="AY315" s="7">
        <v>252</v>
      </c>
      <c r="AZ315" s="7">
        <v>234</v>
      </c>
      <c r="BA315" s="26">
        <v>-11</v>
      </c>
      <c r="BB315" s="26">
        <v>-18</v>
      </c>
      <c r="BC315" s="6">
        <v>9.3626190706927903E-2</v>
      </c>
      <c r="BD315" s="6">
        <v>9.4E-2</v>
      </c>
      <c r="BE315" s="11">
        <v>0.43962960617779534</v>
      </c>
      <c r="BF315" s="7">
        <v>233</v>
      </c>
      <c r="BG315" s="7">
        <v>1</v>
      </c>
      <c r="BH315" s="7">
        <v>-12</v>
      </c>
    </row>
    <row r="316" spans="2:60" x14ac:dyDescent="0.25">
      <c r="B316" s="3">
        <v>313</v>
      </c>
      <c r="C316" s="3" t="s">
        <v>631</v>
      </c>
      <c r="D316" s="3" t="s">
        <v>632</v>
      </c>
      <c r="E316" s="3" t="s">
        <v>707</v>
      </c>
      <c r="F316" s="3">
        <v>13113</v>
      </c>
      <c r="G316" s="3">
        <v>13</v>
      </c>
      <c r="H316" s="3">
        <v>0.61399999999999999</v>
      </c>
      <c r="I316" s="4">
        <v>89870</v>
      </c>
      <c r="J316" s="4">
        <v>99212</v>
      </c>
      <c r="K316" s="4">
        <v>99686</v>
      </c>
      <c r="L316" s="4">
        <v>-9342</v>
      </c>
      <c r="M316" s="4">
        <v>27174</v>
      </c>
      <c r="N316" s="18">
        <v>16</v>
      </c>
      <c r="O316" s="18">
        <v>17753</v>
      </c>
      <c r="P316" s="18">
        <v>9188</v>
      </c>
      <c r="Q316" s="18">
        <v>0</v>
      </c>
      <c r="R316" s="18">
        <v>217</v>
      </c>
      <c r="S316" s="18">
        <v>0</v>
      </c>
      <c r="T316" s="18">
        <v>27174</v>
      </c>
      <c r="U316" s="18" t="b">
        <v>1</v>
      </c>
      <c r="V316" s="4">
        <v>26797</v>
      </c>
      <c r="W316" s="4">
        <v>26797</v>
      </c>
      <c r="X316" s="3" t="b">
        <v>1</v>
      </c>
      <c r="Y316" s="18">
        <v>74</v>
      </c>
      <c r="Z316" s="18">
        <v>16882</v>
      </c>
      <c r="AA316" s="18">
        <v>9668</v>
      </c>
      <c r="AB316" s="18">
        <v>0</v>
      </c>
      <c r="AC316" s="18">
        <v>173</v>
      </c>
      <c r="AD316" s="18">
        <v>0</v>
      </c>
      <c r="AE316" s="18">
        <v>26797</v>
      </c>
      <c r="AF316" s="4">
        <v>377</v>
      </c>
      <c r="AG316" s="5">
        <v>1.3873555604622065E-2</v>
      </c>
      <c r="AH316" s="18">
        <f t="shared" si="4"/>
        <v>871</v>
      </c>
      <c r="AI316" s="6">
        <v>0.30237009013018806</v>
      </c>
      <c r="AJ316" s="3">
        <v>0.30199999999999999</v>
      </c>
      <c r="AK316" s="6">
        <v>0.6437194329513245</v>
      </c>
      <c r="AL316" s="25">
        <v>0.64400000000000002</v>
      </c>
      <c r="AM316" s="6">
        <v>0.2738983187517639</v>
      </c>
      <c r="AN316" s="3">
        <v>0.27400000000000002</v>
      </c>
      <c r="AO316" s="6">
        <v>0.63830387033837288</v>
      </c>
      <c r="AP316" s="6">
        <v>0.26881407619926567</v>
      </c>
      <c r="AQ316" s="6">
        <v>0.26900000000000002</v>
      </c>
      <c r="AR316" s="6">
        <v>0.64844576049580049</v>
      </c>
      <c r="AS316" s="6">
        <v>0.64800000000000002</v>
      </c>
      <c r="AT316" s="6">
        <v>3.355601393092239E-2</v>
      </c>
      <c r="AU316" s="6">
        <v>-4.7263275444759945E-3</v>
      </c>
      <c r="AV316" s="6">
        <v>5.0842425524982304E-3</v>
      </c>
      <c r="AW316" s="6">
        <v>-1.0141890157427613E-2</v>
      </c>
      <c r="AX316" s="7">
        <v>30</v>
      </c>
      <c r="AY316" s="7">
        <v>33</v>
      </c>
      <c r="AZ316" s="7">
        <v>29</v>
      </c>
      <c r="BA316" s="26">
        <v>-1</v>
      </c>
      <c r="BB316" s="26">
        <v>-4</v>
      </c>
      <c r="BC316" s="6">
        <v>0.29817514187159228</v>
      </c>
      <c r="BD316" s="6">
        <v>0.29799999999999999</v>
      </c>
      <c r="BE316" s="11">
        <v>0.65937127324772626</v>
      </c>
      <c r="BF316" s="26">
        <v>21</v>
      </c>
      <c r="BG316" s="7">
        <v>8</v>
      </c>
      <c r="BH316" s="7">
        <v>-9</v>
      </c>
    </row>
    <row r="317" spans="2:60" x14ac:dyDescent="0.25">
      <c r="B317" s="3">
        <v>314</v>
      </c>
      <c r="C317" s="3" t="s">
        <v>633</v>
      </c>
      <c r="D317" s="3" t="s">
        <v>634</v>
      </c>
      <c r="E317" s="3" t="s">
        <v>707</v>
      </c>
      <c r="F317" s="3">
        <v>13302</v>
      </c>
      <c r="G317" s="3">
        <v>13</v>
      </c>
      <c r="H317" s="3">
        <v>0.48899999999999999</v>
      </c>
      <c r="I317" s="4">
        <v>145160</v>
      </c>
      <c r="J317" s="4">
        <v>143032</v>
      </c>
      <c r="K317" s="4">
        <v>139266</v>
      </c>
      <c r="L317" s="4">
        <v>2128</v>
      </c>
      <c r="M317" s="4">
        <v>24037</v>
      </c>
      <c r="N317" s="18">
        <v>0</v>
      </c>
      <c r="O317" s="18">
        <v>19935</v>
      </c>
      <c r="P317" s="18">
        <v>3070</v>
      </c>
      <c r="Q317" s="18">
        <v>0</v>
      </c>
      <c r="R317" s="18">
        <v>1032</v>
      </c>
      <c r="S317" s="18">
        <v>0</v>
      </c>
      <c r="T317" s="18">
        <v>24037</v>
      </c>
      <c r="U317" s="18" t="b">
        <v>1</v>
      </c>
      <c r="V317" s="4">
        <v>22688</v>
      </c>
      <c r="W317" s="4">
        <v>22688</v>
      </c>
      <c r="X317" s="3" t="b">
        <v>1</v>
      </c>
      <c r="Y317" s="18">
        <v>0</v>
      </c>
      <c r="Z317" s="18">
        <v>18547</v>
      </c>
      <c r="AA317" s="18">
        <v>3180</v>
      </c>
      <c r="AB317" s="18">
        <v>0</v>
      </c>
      <c r="AC317" s="18">
        <v>961</v>
      </c>
      <c r="AD317" s="18">
        <v>0</v>
      </c>
      <c r="AE317" s="18">
        <v>22688</v>
      </c>
      <c r="AF317" s="4">
        <v>1349</v>
      </c>
      <c r="AG317" s="5">
        <v>5.6121812206182134E-2</v>
      </c>
      <c r="AH317" s="18">
        <f t="shared" si="4"/>
        <v>1388</v>
      </c>
      <c r="AI317" s="6">
        <v>0.1655896941306145</v>
      </c>
      <c r="AJ317" s="3">
        <v>0.16600000000000001</v>
      </c>
      <c r="AK317" s="6">
        <v>0.50274075872657065</v>
      </c>
      <c r="AL317" s="25">
        <v>0.503</v>
      </c>
      <c r="AM317" s="6">
        <v>0.16805330275742492</v>
      </c>
      <c r="AN317" s="3">
        <v>0.16800000000000001</v>
      </c>
      <c r="AO317" s="6">
        <v>0.51806393142519902</v>
      </c>
      <c r="AP317" s="6">
        <v>0.16291126333778524</v>
      </c>
      <c r="AQ317" s="6">
        <v>0.16300000000000001</v>
      </c>
      <c r="AR317" s="6">
        <v>0.5254752425407031</v>
      </c>
      <c r="AS317" s="6">
        <v>0.52500000000000002</v>
      </c>
      <c r="AT317" s="6">
        <v>2.6784307928292561E-3</v>
      </c>
      <c r="AU317" s="6">
        <v>-2.2734483814132456E-2</v>
      </c>
      <c r="AV317" s="6">
        <v>5.1420394196396713E-3</v>
      </c>
      <c r="AW317" s="6">
        <v>-7.4113111155040823E-3</v>
      </c>
      <c r="AX317" s="7">
        <v>159</v>
      </c>
      <c r="AY317" s="7">
        <v>142</v>
      </c>
      <c r="AZ317" s="7">
        <v>133</v>
      </c>
      <c r="BA317" s="26">
        <v>-26</v>
      </c>
      <c r="BB317" s="26">
        <v>-9</v>
      </c>
      <c r="BC317" s="6">
        <v>0.15629650041333701</v>
      </c>
      <c r="BD317" s="6">
        <v>0.156</v>
      </c>
      <c r="BE317" s="11">
        <v>0.50695470489995487</v>
      </c>
      <c r="BF317" s="7">
        <v>150</v>
      </c>
      <c r="BG317" s="7">
        <v>-17</v>
      </c>
      <c r="BH317" s="7">
        <v>-9</v>
      </c>
    </row>
    <row r="318" spans="2:60" x14ac:dyDescent="0.25">
      <c r="B318" s="3">
        <v>315</v>
      </c>
      <c r="C318" s="3" t="s">
        <v>635</v>
      </c>
      <c r="D318" s="3" t="s">
        <v>636</v>
      </c>
      <c r="E318" s="3" t="s">
        <v>707</v>
      </c>
      <c r="F318" s="3">
        <v>13114</v>
      </c>
      <c r="G318" s="3">
        <v>13</v>
      </c>
      <c r="H318" s="3">
        <v>0.69</v>
      </c>
      <c r="I318" s="4">
        <v>296134</v>
      </c>
      <c r="J318" s="4">
        <v>343632</v>
      </c>
      <c r="K318" s="4">
        <v>341183</v>
      </c>
      <c r="L318" s="4">
        <v>-47498</v>
      </c>
      <c r="M318" s="4">
        <v>111283</v>
      </c>
      <c r="N318" s="18">
        <v>82</v>
      </c>
      <c r="O318" s="18">
        <v>66696</v>
      </c>
      <c r="P318" s="18">
        <v>43821</v>
      </c>
      <c r="Q318" s="18">
        <v>0</v>
      </c>
      <c r="R318" s="18">
        <v>684</v>
      </c>
      <c r="S318" s="18">
        <v>0</v>
      </c>
      <c r="T318" s="18">
        <v>111283</v>
      </c>
      <c r="U318" s="18" t="b">
        <v>1</v>
      </c>
      <c r="V318" s="4">
        <v>109460</v>
      </c>
      <c r="W318" s="4">
        <v>109460</v>
      </c>
      <c r="X318" s="3" t="b">
        <v>1</v>
      </c>
      <c r="Y318" s="18">
        <v>269</v>
      </c>
      <c r="Z318" s="18">
        <v>62390</v>
      </c>
      <c r="AA318" s="18">
        <v>46201</v>
      </c>
      <c r="AB318" s="18">
        <v>1</v>
      </c>
      <c r="AC318" s="18">
        <v>599</v>
      </c>
      <c r="AD318" s="18">
        <v>0</v>
      </c>
      <c r="AE318" s="18">
        <v>109460</v>
      </c>
      <c r="AF318" s="4">
        <v>1823</v>
      </c>
      <c r="AG318" s="5">
        <v>1.6381657575730346E-2</v>
      </c>
      <c r="AH318" s="18">
        <f t="shared" si="4"/>
        <v>4306</v>
      </c>
      <c r="AI318" s="6">
        <v>0.37578596176055434</v>
      </c>
      <c r="AJ318" s="3">
        <v>0.376</v>
      </c>
      <c r="AK318" s="6">
        <v>0.71938869954370976</v>
      </c>
      <c r="AL318" s="25">
        <v>0.71899999999999997</v>
      </c>
      <c r="AM318" s="6">
        <v>0.32384353028821528</v>
      </c>
      <c r="AN318" s="3">
        <v>0.32400000000000001</v>
      </c>
      <c r="AO318" s="6">
        <v>0.69504163099466731</v>
      </c>
      <c r="AP318" s="6">
        <v>0.32082489455805241</v>
      </c>
      <c r="AQ318" s="6">
        <v>0.32100000000000001</v>
      </c>
      <c r="AR318" s="6">
        <v>0.70877092024735777</v>
      </c>
      <c r="AS318" s="6">
        <v>0.70799999999999996</v>
      </c>
      <c r="AT318" s="6">
        <v>5.4961067202501934E-2</v>
      </c>
      <c r="AU318" s="6">
        <v>1.0617779296351992E-2</v>
      </c>
      <c r="AV318" s="6">
        <v>3.0186357301628663E-3</v>
      </c>
      <c r="AW318" s="6">
        <v>-1.3729289252690458E-2</v>
      </c>
      <c r="AX318" s="7">
        <v>6</v>
      </c>
      <c r="AY318" s="7">
        <v>13</v>
      </c>
      <c r="AZ318" s="7">
        <v>9</v>
      </c>
      <c r="BA318" s="26">
        <v>3</v>
      </c>
      <c r="BB318" s="26">
        <v>-4</v>
      </c>
      <c r="BC318" s="6">
        <v>0.36962996481322646</v>
      </c>
      <c r="BD318" s="6">
        <v>0.37</v>
      </c>
      <c r="BE318" s="11">
        <v>0.73613334816416742</v>
      </c>
      <c r="BF318" s="26">
        <v>5</v>
      </c>
      <c r="BG318" s="7">
        <v>4</v>
      </c>
      <c r="BH318" s="7">
        <v>-1</v>
      </c>
    </row>
    <row r="319" spans="2:60" x14ac:dyDescent="0.25">
      <c r="B319" s="3">
        <v>316</v>
      </c>
      <c r="C319" s="3" t="s">
        <v>637</v>
      </c>
      <c r="D319" s="3" t="s">
        <v>638</v>
      </c>
      <c r="E319" s="3" t="s">
        <v>707</v>
      </c>
      <c r="F319" s="3">
        <v>13115</v>
      </c>
      <c r="G319" s="3">
        <v>13</v>
      </c>
      <c r="H319" s="3">
        <v>0.59</v>
      </c>
      <c r="I319" s="4">
        <v>112620</v>
      </c>
      <c r="J319" s="4">
        <v>131053</v>
      </c>
      <c r="K319" s="4">
        <v>129790</v>
      </c>
      <c r="L319" s="4">
        <v>-18433</v>
      </c>
      <c r="M319" s="4">
        <v>27417</v>
      </c>
      <c r="N319" s="18">
        <v>39</v>
      </c>
      <c r="O319" s="18">
        <v>21451</v>
      </c>
      <c r="P319" s="18">
        <v>5355</v>
      </c>
      <c r="Q319" s="18">
        <v>0</v>
      </c>
      <c r="R319" s="18">
        <v>572</v>
      </c>
      <c r="S319" s="18">
        <v>0</v>
      </c>
      <c r="T319" s="18">
        <v>27417</v>
      </c>
      <c r="U319" s="18" t="b">
        <v>1</v>
      </c>
      <c r="V319" s="4">
        <v>26481</v>
      </c>
      <c r="W319" s="4">
        <v>26481</v>
      </c>
      <c r="X319" s="3" t="b">
        <v>1</v>
      </c>
      <c r="Y319" s="18">
        <v>68</v>
      </c>
      <c r="Z319" s="18">
        <v>20288</v>
      </c>
      <c r="AA319" s="18">
        <v>5708</v>
      </c>
      <c r="AB319" s="18">
        <v>0</v>
      </c>
      <c r="AC319" s="18">
        <v>417</v>
      </c>
      <c r="AD319" s="18">
        <v>0</v>
      </c>
      <c r="AE319" s="18">
        <v>26481</v>
      </c>
      <c r="AF319" s="4">
        <v>936</v>
      </c>
      <c r="AG319" s="5">
        <v>3.4139402560455195E-2</v>
      </c>
      <c r="AH319" s="18">
        <f t="shared" si="4"/>
        <v>1163</v>
      </c>
      <c r="AI319" s="6">
        <v>0.24344698987746405</v>
      </c>
      <c r="AJ319" s="3">
        <v>0.24299999999999999</v>
      </c>
      <c r="AK319" s="6">
        <v>0.58298777258336365</v>
      </c>
      <c r="AL319" s="25">
        <v>0.58299999999999996</v>
      </c>
      <c r="AM319" s="6">
        <v>0.2092054359686539</v>
      </c>
      <c r="AN319" s="3">
        <v>0.20899999999999999</v>
      </c>
      <c r="AO319" s="6">
        <v>0.5648127550422658</v>
      </c>
      <c r="AP319" s="6">
        <v>0.20402958625471918</v>
      </c>
      <c r="AQ319" s="6">
        <v>0.20399999999999999</v>
      </c>
      <c r="AR319" s="6">
        <v>0.57303931080635395</v>
      </c>
      <c r="AS319" s="6">
        <v>0.57299999999999995</v>
      </c>
      <c r="AT319" s="6">
        <v>3.9417403622744873E-2</v>
      </c>
      <c r="AU319" s="6">
        <v>9.9484617770096984E-3</v>
      </c>
      <c r="AV319" s="6">
        <v>5.175849713934727E-3</v>
      </c>
      <c r="AW319" s="6">
        <v>-8.2265557640881504E-3</v>
      </c>
      <c r="AX319" s="7">
        <v>74</v>
      </c>
      <c r="AY319" s="7">
        <v>100</v>
      </c>
      <c r="AZ319" s="7">
        <v>91</v>
      </c>
      <c r="BA319" s="26">
        <v>17</v>
      </c>
      <c r="BB319" s="26">
        <v>-9</v>
      </c>
      <c r="BC319" s="6">
        <v>0.23513585508790624</v>
      </c>
      <c r="BD319" s="6">
        <v>0.23499999999999999</v>
      </c>
      <c r="BE319" s="11">
        <v>0.59164979195987888</v>
      </c>
      <c r="BF319" s="7">
        <v>70</v>
      </c>
      <c r="BG319" s="7">
        <v>21</v>
      </c>
      <c r="BH319" s="7">
        <v>-4</v>
      </c>
    </row>
    <row r="320" spans="2:60" x14ac:dyDescent="0.25">
      <c r="B320" s="3">
        <v>317</v>
      </c>
      <c r="C320" s="3" t="s">
        <v>639</v>
      </c>
      <c r="D320" s="3" t="s">
        <v>640</v>
      </c>
      <c r="E320" s="3" t="s">
        <v>707</v>
      </c>
      <c r="F320" s="3">
        <v>13116</v>
      </c>
      <c r="G320" s="3">
        <v>13</v>
      </c>
      <c r="H320" s="3">
        <v>0.54</v>
      </c>
      <c r="I320" s="4">
        <v>87295</v>
      </c>
      <c r="J320" s="4">
        <v>100694</v>
      </c>
      <c r="K320" s="4">
        <v>101615</v>
      </c>
      <c r="L320" s="4">
        <v>-13399</v>
      </c>
      <c r="M320" s="4">
        <v>15192</v>
      </c>
      <c r="N320" s="18">
        <v>1</v>
      </c>
      <c r="O320" s="18">
        <v>14442</v>
      </c>
      <c r="P320" s="18">
        <v>387</v>
      </c>
      <c r="Q320" s="18">
        <v>0</v>
      </c>
      <c r="R320" s="18">
        <v>362</v>
      </c>
      <c r="S320" s="18">
        <v>0</v>
      </c>
      <c r="T320" s="18">
        <v>15192</v>
      </c>
      <c r="U320" s="18" t="b">
        <v>1</v>
      </c>
      <c r="V320" s="4">
        <v>14382</v>
      </c>
      <c r="W320" s="4">
        <v>14382</v>
      </c>
      <c r="X320" s="3" t="b">
        <v>1</v>
      </c>
      <c r="Y320" s="18">
        <v>4</v>
      </c>
      <c r="Z320" s="18">
        <v>13500</v>
      </c>
      <c r="AA320" s="18">
        <v>287</v>
      </c>
      <c r="AB320" s="18">
        <v>0</v>
      </c>
      <c r="AC320" s="18">
        <v>591</v>
      </c>
      <c r="AD320" s="18">
        <v>0</v>
      </c>
      <c r="AE320" s="18">
        <v>14382</v>
      </c>
      <c r="AF320" s="4">
        <v>810</v>
      </c>
      <c r="AG320" s="5">
        <v>5.3317535545023699E-2</v>
      </c>
      <c r="AH320" s="18">
        <f t="shared" si="4"/>
        <v>942</v>
      </c>
      <c r="AI320" s="6">
        <v>0.17403058594421214</v>
      </c>
      <c r="AJ320" s="3">
        <v>0.17399999999999999</v>
      </c>
      <c r="AK320" s="6">
        <v>0.51144073161712489</v>
      </c>
      <c r="AL320" s="25">
        <v>0.51100000000000001</v>
      </c>
      <c r="AM320" s="6">
        <v>0.15087294178401892</v>
      </c>
      <c r="AN320" s="3">
        <v>0.151</v>
      </c>
      <c r="AO320" s="6">
        <v>0.49854704123871074</v>
      </c>
      <c r="AP320" s="6">
        <v>0.14153422230969837</v>
      </c>
      <c r="AQ320" s="6">
        <v>0.14199999999999999</v>
      </c>
      <c r="AR320" s="6">
        <v>0.50111315879488183</v>
      </c>
      <c r="AS320" s="6">
        <v>0.501</v>
      </c>
      <c r="AT320" s="6">
        <v>3.2496363634513775E-2</v>
      </c>
      <c r="AU320" s="6">
        <v>1.0327572822243059E-2</v>
      </c>
      <c r="AV320" s="6">
        <v>9.3387194743205504E-3</v>
      </c>
      <c r="AW320" s="6">
        <v>-2.5661175561710881E-3</v>
      </c>
      <c r="AX320" s="7">
        <v>146</v>
      </c>
      <c r="AY320" s="7">
        <v>165</v>
      </c>
      <c r="AZ320" s="7">
        <v>158</v>
      </c>
      <c r="BA320" s="26">
        <v>12</v>
      </c>
      <c r="BB320" s="26">
        <v>-7</v>
      </c>
      <c r="BC320" s="6">
        <v>0.16475170399221031</v>
      </c>
      <c r="BD320" s="6">
        <v>0.16500000000000001</v>
      </c>
      <c r="BE320" s="11">
        <v>0.51603791221663076</v>
      </c>
      <c r="BF320" s="26">
        <v>138</v>
      </c>
      <c r="BG320" s="7">
        <v>20</v>
      </c>
      <c r="BH320" s="7">
        <v>-8</v>
      </c>
    </row>
    <row r="321" spans="2:60" x14ac:dyDescent="0.25">
      <c r="B321" s="3">
        <v>318</v>
      </c>
      <c r="C321" s="3" t="s">
        <v>641</v>
      </c>
      <c r="D321" s="3" t="s">
        <v>642</v>
      </c>
      <c r="E321" s="3" t="s">
        <v>707</v>
      </c>
      <c r="F321" s="3">
        <v>13117</v>
      </c>
      <c r="G321" s="3">
        <v>13</v>
      </c>
      <c r="H321" s="3">
        <v>0.48399999999999999</v>
      </c>
      <c r="I321" s="4">
        <v>91290</v>
      </c>
      <c r="J321" s="4">
        <v>102078</v>
      </c>
      <c r="K321" s="4">
        <v>102923</v>
      </c>
      <c r="L321" s="4">
        <v>-10788</v>
      </c>
      <c r="M321" s="4">
        <v>21806</v>
      </c>
      <c r="N321" s="18">
        <v>0</v>
      </c>
      <c r="O321" s="18">
        <v>18699</v>
      </c>
      <c r="P321" s="18">
        <v>2908</v>
      </c>
      <c r="Q321" s="18">
        <v>0</v>
      </c>
      <c r="R321" s="18">
        <v>199</v>
      </c>
      <c r="S321" s="18">
        <v>0</v>
      </c>
      <c r="T321" s="18">
        <v>21806</v>
      </c>
      <c r="U321" s="18" t="b">
        <v>1</v>
      </c>
      <c r="V321" s="4">
        <v>20843</v>
      </c>
      <c r="W321" s="4">
        <v>20843</v>
      </c>
      <c r="X321" s="3" t="b">
        <v>1</v>
      </c>
      <c r="Y321" s="18">
        <v>5</v>
      </c>
      <c r="Z321" s="18">
        <v>17306</v>
      </c>
      <c r="AA321" s="18">
        <v>3122</v>
      </c>
      <c r="AB321" s="18">
        <v>0</v>
      </c>
      <c r="AC321" s="18">
        <v>410</v>
      </c>
      <c r="AD321" s="18">
        <v>0</v>
      </c>
      <c r="AE321" s="18">
        <v>20843</v>
      </c>
      <c r="AF321" s="4">
        <v>963</v>
      </c>
      <c r="AG321" s="5">
        <v>4.4162157204439147E-2</v>
      </c>
      <c r="AH321" s="18">
        <f t="shared" si="4"/>
        <v>1393</v>
      </c>
      <c r="AI321" s="6">
        <v>0.2388651550005477</v>
      </c>
      <c r="AJ321" s="3">
        <v>0.23899999999999999</v>
      </c>
      <c r="AK321" s="6">
        <v>0.57826530485146421</v>
      </c>
      <c r="AL321" s="25">
        <v>0.57799999999999996</v>
      </c>
      <c r="AM321" s="6">
        <v>0.21362095652344285</v>
      </c>
      <c r="AN321" s="3">
        <v>0.214</v>
      </c>
      <c r="AO321" s="6">
        <v>0.56982878642352686</v>
      </c>
      <c r="AP321" s="6">
        <v>0.20251061473140114</v>
      </c>
      <c r="AQ321" s="6">
        <v>0.20300000000000001</v>
      </c>
      <c r="AR321" s="6">
        <v>0.57187921158036248</v>
      </c>
      <c r="AS321" s="6">
        <v>0.57099999999999995</v>
      </c>
      <c r="AT321" s="6">
        <v>3.6354540269146557E-2</v>
      </c>
      <c r="AU321" s="6">
        <v>6.3860932711017337E-3</v>
      </c>
      <c r="AV321" s="6">
        <v>1.1110341792041706E-2</v>
      </c>
      <c r="AW321" s="6">
        <v>-2.0504251568356224E-3</v>
      </c>
      <c r="AX321" s="7">
        <v>79</v>
      </c>
      <c r="AY321" s="7">
        <v>91</v>
      </c>
      <c r="AZ321" s="7">
        <v>95</v>
      </c>
      <c r="BA321" s="26">
        <v>16</v>
      </c>
      <c r="BB321" s="26">
        <v>4</v>
      </c>
      <c r="BC321" s="6">
        <v>0.22831635447475079</v>
      </c>
      <c r="BD321" s="6">
        <v>0.22800000000000001</v>
      </c>
      <c r="BE321" s="11">
        <v>0.58432377818768955</v>
      </c>
      <c r="BF321" s="7">
        <v>81</v>
      </c>
      <c r="BG321" s="7">
        <v>14</v>
      </c>
      <c r="BH321" s="7">
        <v>2</v>
      </c>
    </row>
    <row r="322" spans="2:60" x14ac:dyDescent="0.25">
      <c r="B322" s="3">
        <v>319</v>
      </c>
      <c r="C322" s="3" t="s">
        <v>643</v>
      </c>
      <c r="D322" s="3" t="s">
        <v>644</v>
      </c>
      <c r="E322" s="3" t="s">
        <v>707</v>
      </c>
      <c r="F322" s="3">
        <v>13118</v>
      </c>
      <c r="G322" s="3">
        <v>13</v>
      </c>
      <c r="H322" s="3">
        <v>0.55900000000000005</v>
      </c>
      <c r="I322" s="4">
        <v>123800</v>
      </c>
      <c r="J322" s="4">
        <v>138361</v>
      </c>
      <c r="K322" s="4">
        <v>137735</v>
      </c>
      <c r="L322" s="4">
        <v>-14561</v>
      </c>
      <c r="M322" s="4">
        <v>40786</v>
      </c>
      <c r="N322" s="18">
        <v>5</v>
      </c>
      <c r="O322" s="18">
        <v>29522</v>
      </c>
      <c r="P322" s="18">
        <v>11097</v>
      </c>
      <c r="Q322" s="18">
        <v>0</v>
      </c>
      <c r="R322" s="18">
        <v>162</v>
      </c>
      <c r="S322" s="18">
        <v>0</v>
      </c>
      <c r="T322" s="18">
        <v>40786</v>
      </c>
      <c r="U322" s="18" t="b">
        <v>1</v>
      </c>
      <c r="V322" s="4">
        <v>39621</v>
      </c>
      <c r="W322" s="4">
        <v>39621</v>
      </c>
      <c r="X322" s="3" t="b">
        <v>1</v>
      </c>
      <c r="Y322" s="18">
        <v>26</v>
      </c>
      <c r="Z322" s="18">
        <v>27267</v>
      </c>
      <c r="AA322" s="18">
        <v>12101</v>
      </c>
      <c r="AB322" s="18">
        <v>2</v>
      </c>
      <c r="AC322" s="18">
        <v>225</v>
      </c>
      <c r="AD322" s="18">
        <v>0</v>
      </c>
      <c r="AE322" s="18">
        <v>39621</v>
      </c>
      <c r="AF322" s="4">
        <v>1165</v>
      </c>
      <c r="AG322" s="5">
        <v>2.8563722846074634E-2</v>
      </c>
      <c r="AH322" s="18">
        <f t="shared" si="4"/>
        <v>2255</v>
      </c>
      <c r="AI322" s="6">
        <v>0.32945072697899841</v>
      </c>
      <c r="AJ322" s="3">
        <v>0.32900000000000001</v>
      </c>
      <c r="AK322" s="6">
        <v>0.67163127113696031</v>
      </c>
      <c r="AL322" s="25">
        <v>0.67200000000000004</v>
      </c>
      <c r="AM322" s="6">
        <v>0.29477959829720801</v>
      </c>
      <c r="AN322" s="3">
        <v>0.29499999999999998</v>
      </c>
      <c r="AO322" s="6">
        <v>0.66202500404869702</v>
      </c>
      <c r="AP322" s="6">
        <v>0.28766108832177734</v>
      </c>
      <c r="AQ322" s="6">
        <v>0.28799999999999998</v>
      </c>
      <c r="AR322" s="6">
        <v>0.67048764578963871</v>
      </c>
      <c r="AS322" s="6">
        <v>0.67</v>
      </c>
      <c r="AT322" s="6">
        <v>4.1789638657221073E-2</v>
      </c>
      <c r="AU322" s="6">
        <v>1.1436253473215974E-3</v>
      </c>
      <c r="AV322" s="6">
        <v>7.1185099754306758E-3</v>
      </c>
      <c r="AW322" s="6">
        <v>-8.4626417409416899E-3</v>
      </c>
      <c r="AX322" s="7">
        <v>19</v>
      </c>
      <c r="AY322" s="7">
        <v>21</v>
      </c>
      <c r="AZ322" s="7">
        <v>19</v>
      </c>
      <c r="BA322" s="26">
        <v>0</v>
      </c>
      <c r="BB322" s="26">
        <v>-2</v>
      </c>
      <c r="BC322" s="6">
        <v>0.32004038772213245</v>
      </c>
      <c r="BD322" s="6">
        <v>0.32</v>
      </c>
      <c r="BE322" s="11">
        <v>0.68286054340401137</v>
      </c>
      <c r="BF322" s="26">
        <v>14</v>
      </c>
      <c r="BG322" s="7">
        <v>5</v>
      </c>
      <c r="BH322" s="7">
        <v>-5</v>
      </c>
    </row>
    <row r="323" spans="2:60" x14ac:dyDescent="0.25">
      <c r="B323" s="3">
        <v>320</v>
      </c>
      <c r="C323" s="3" t="s">
        <v>645</v>
      </c>
      <c r="D323" s="3" t="s">
        <v>646</v>
      </c>
      <c r="E323" s="3" t="s">
        <v>707</v>
      </c>
      <c r="F323" s="3">
        <v>13119</v>
      </c>
      <c r="G323" s="3">
        <v>13</v>
      </c>
      <c r="H323" s="3">
        <v>0.54800000000000004</v>
      </c>
      <c r="I323" s="4">
        <v>503635</v>
      </c>
      <c r="J323" s="4">
        <v>586812</v>
      </c>
      <c r="K323" s="4">
        <v>586337</v>
      </c>
      <c r="L323" s="4">
        <v>-83177</v>
      </c>
      <c r="M323" s="4">
        <v>142581</v>
      </c>
      <c r="N323" s="18">
        <v>6</v>
      </c>
      <c r="O323" s="18">
        <v>98778</v>
      </c>
      <c r="P323" s="18">
        <v>43209</v>
      </c>
      <c r="Q323" s="18">
        <v>0</v>
      </c>
      <c r="R323" s="18">
        <v>588</v>
      </c>
      <c r="S323" s="18">
        <v>0</v>
      </c>
      <c r="T323" s="18">
        <v>142581</v>
      </c>
      <c r="U323" s="18" t="b">
        <v>1</v>
      </c>
      <c r="V323" s="4">
        <v>141847</v>
      </c>
      <c r="W323" s="4">
        <v>141847</v>
      </c>
      <c r="X323" s="3" t="b">
        <v>1</v>
      </c>
      <c r="Y323" s="18">
        <v>29</v>
      </c>
      <c r="Z323" s="18">
        <v>94951</v>
      </c>
      <c r="AA323" s="18">
        <v>46098</v>
      </c>
      <c r="AB323" s="18">
        <v>0</v>
      </c>
      <c r="AC323" s="18">
        <v>769</v>
      </c>
      <c r="AD323" s="18">
        <v>0</v>
      </c>
      <c r="AE323" s="18">
        <v>141847</v>
      </c>
      <c r="AF323" s="4">
        <v>734</v>
      </c>
      <c r="AG323" s="5">
        <v>5.1479509892622443E-3</v>
      </c>
      <c r="AH323" s="18">
        <f t="shared" si="4"/>
        <v>3827</v>
      </c>
      <c r="AI323" s="6">
        <v>0.28310383511868714</v>
      </c>
      <c r="AJ323" s="3">
        <v>0.28299999999999997</v>
      </c>
      <c r="AK323" s="6">
        <v>0.62386182785412991</v>
      </c>
      <c r="AL323" s="25">
        <v>0.624</v>
      </c>
      <c r="AM323" s="6">
        <v>0.24297560377088404</v>
      </c>
      <c r="AN323" s="3">
        <v>0.24299999999999999</v>
      </c>
      <c r="AO323" s="6">
        <v>0.60317566590284855</v>
      </c>
      <c r="AP323" s="6">
        <v>0.24192060197463233</v>
      </c>
      <c r="AQ323" s="6">
        <v>0.24199999999999999</v>
      </c>
      <c r="AR323" s="6">
        <v>0.61712308139403038</v>
      </c>
      <c r="AS323" s="6">
        <v>0.61699999999999999</v>
      </c>
      <c r="AT323" s="6">
        <v>4.1183233144054809E-2</v>
      </c>
      <c r="AU323" s="6">
        <v>6.7387464600995317E-3</v>
      </c>
      <c r="AV323" s="6">
        <v>1.0550017962517033E-3</v>
      </c>
      <c r="AW323" s="6">
        <v>-1.3947415491181836E-2</v>
      </c>
      <c r="AX323" s="7">
        <v>41</v>
      </c>
      <c r="AY323" s="7">
        <v>54</v>
      </c>
      <c r="AZ323" s="7">
        <v>46</v>
      </c>
      <c r="BA323" s="26">
        <v>5</v>
      </c>
      <c r="BB323" s="26">
        <v>-8</v>
      </c>
      <c r="BC323" s="6">
        <v>0.28164643045062399</v>
      </c>
      <c r="BD323" s="6">
        <v>0.28199999999999997</v>
      </c>
      <c r="BE323" s="11">
        <v>0.64161490450820857</v>
      </c>
      <c r="BF323" s="7">
        <v>32</v>
      </c>
      <c r="BG323" s="7">
        <v>14</v>
      </c>
      <c r="BH323" s="7">
        <v>-9</v>
      </c>
    </row>
    <row r="324" spans="2:60" x14ac:dyDescent="0.25">
      <c r="B324" s="3">
        <v>321</v>
      </c>
      <c r="C324" s="3" t="s">
        <v>647</v>
      </c>
      <c r="D324" s="3" t="s">
        <v>648</v>
      </c>
      <c r="E324" s="3" t="s">
        <v>707</v>
      </c>
      <c r="F324" s="3">
        <v>13504</v>
      </c>
      <c r="G324" s="3">
        <v>13</v>
      </c>
      <c r="H324" s="3">
        <v>0.40699999999999997</v>
      </c>
      <c r="I324" s="4">
        <v>15352</v>
      </c>
      <c r="J324" s="4">
        <v>15669</v>
      </c>
      <c r="K324" s="4">
        <v>15503</v>
      </c>
      <c r="L324" s="4">
        <v>-317</v>
      </c>
      <c r="M324" s="4">
        <v>2882</v>
      </c>
      <c r="N324" s="18">
        <v>0</v>
      </c>
      <c r="O324" s="18">
        <v>2737</v>
      </c>
      <c r="P324" s="18">
        <v>0</v>
      </c>
      <c r="Q324" s="18">
        <v>0</v>
      </c>
      <c r="R324" s="18">
        <v>145</v>
      </c>
      <c r="S324" s="18">
        <v>0</v>
      </c>
      <c r="T324" s="18">
        <v>2882</v>
      </c>
      <c r="U324" s="18" t="b">
        <v>1</v>
      </c>
      <c r="V324" s="4">
        <v>274</v>
      </c>
      <c r="W324" s="4">
        <v>274</v>
      </c>
      <c r="X324" s="3" t="b">
        <v>1</v>
      </c>
      <c r="Y324" s="18">
        <v>0</v>
      </c>
      <c r="Z324" s="18">
        <v>155</v>
      </c>
      <c r="AA324" s="18">
        <v>0</v>
      </c>
      <c r="AB324" s="18">
        <v>0</v>
      </c>
      <c r="AC324" s="18">
        <v>119</v>
      </c>
      <c r="AD324" s="18">
        <v>0</v>
      </c>
      <c r="AE324" s="18">
        <v>274</v>
      </c>
      <c r="AF324" s="4">
        <v>2608</v>
      </c>
      <c r="AG324" s="5">
        <v>0.90492713393476754</v>
      </c>
      <c r="AH324" s="18">
        <f t="shared" ref="AH324:AH348" si="5">O324-Z324</f>
        <v>2582</v>
      </c>
      <c r="AI324" s="6">
        <v>0.18772798332464827</v>
      </c>
      <c r="AJ324" s="3">
        <v>0.188</v>
      </c>
      <c r="AK324" s="6">
        <v>0.52555855097940785</v>
      </c>
      <c r="AL324" s="25">
        <v>0.52600000000000002</v>
      </c>
      <c r="AM324" s="6">
        <v>0.18393005297083412</v>
      </c>
      <c r="AN324" s="3">
        <v>0.184</v>
      </c>
      <c r="AO324" s="6">
        <v>0.5360999197791726</v>
      </c>
      <c r="AP324" s="6">
        <v>1.7673998580919822E-2</v>
      </c>
      <c r="AQ324" s="6">
        <v>1.7999999999999999E-2</v>
      </c>
      <c r="AR324" s="6">
        <v>0.3572608547719377</v>
      </c>
      <c r="AS324" s="6">
        <v>0.35699999999999998</v>
      </c>
      <c r="AT324" s="6">
        <v>0.17005398474372846</v>
      </c>
      <c r="AU324" s="6">
        <v>0.16829769620747015</v>
      </c>
      <c r="AV324" s="6">
        <v>0.16625605438991431</v>
      </c>
      <c r="AW324" s="6">
        <v>0.1788390650072349</v>
      </c>
      <c r="AX324" s="7">
        <v>129</v>
      </c>
      <c r="AY324" s="7">
        <v>122</v>
      </c>
      <c r="AZ324" s="7">
        <v>334</v>
      </c>
      <c r="BA324" s="26">
        <v>205</v>
      </c>
      <c r="BB324" s="26">
        <v>212</v>
      </c>
      <c r="BC324" s="6">
        <v>1.7847837415320478E-2</v>
      </c>
      <c r="BD324" s="6">
        <v>1.7999999999999999E-2</v>
      </c>
      <c r="BE324" s="11">
        <v>0.35822287402248248</v>
      </c>
      <c r="BF324" s="26">
        <v>337</v>
      </c>
      <c r="BG324" s="7">
        <v>-3</v>
      </c>
      <c r="BH324" s="7">
        <v>208</v>
      </c>
    </row>
    <row r="325" spans="2:60" x14ac:dyDescent="0.25">
      <c r="B325" s="3">
        <v>322</v>
      </c>
      <c r="C325" s="3" t="s">
        <v>649</v>
      </c>
      <c r="D325" s="3" t="s">
        <v>650</v>
      </c>
      <c r="E325" s="3" t="s">
        <v>707</v>
      </c>
      <c r="F325" s="3">
        <v>13501</v>
      </c>
      <c r="G325" s="3">
        <v>13</v>
      </c>
      <c r="H325" s="3">
        <v>0.54300000000000004</v>
      </c>
      <c r="I325" s="4">
        <v>136325</v>
      </c>
      <c r="J325" s="4">
        <v>148899</v>
      </c>
      <c r="K325" s="4">
        <v>147275</v>
      </c>
      <c r="L325" s="4">
        <v>-12574</v>
      </c>
      <c r="M325" s="4">
        <v>18834</v>
      </c>
      <c r="N325" s="18">
        <v>2</v>
      </c>
      <c r="O325" s="18">
        <v>16757</v>
      </c>
      <c r="P325" s="18">
        <v>1383</v>
      </c>
      <c r="Q325" s="18">
        <v>0</v>
      </c>
      <c r="R325" s="18">
        <v>692</v>
      </c>
      <c r="S325" s="18">
        <v>0</v>
      </c>
      <c r="T325" s="18">
        <v>18834</v>
      </c>
      <c r="U325" s="18" t="b">
        <v>1</v>
      </c>
      <c r="V325" s="4">
        <v>18290</v>
      </c>
      <c r="W325" s="4">
        <v>18290</v>
      </c>
      <c r="X325" s="3" t="b">
        <v>1</v>
      </c>
      <c r="Y325" s="18">
        <v>44</v>
      </c>
      <c r="Z325" s="18">
        <v>15978</v>
      </c>
      <c r="AA325" s="18">
        <v>1629</v>
      </c>
      <c r="AB325" s="18">
        <v>0</v>
      </c>
      <c r="AC325" s="18">
        <v>639</v>
      </c>
      <c r="AD325" s="18">
        <v>0</v>
      </c>
      <c r="AE325" s="18">
        <v>18290</v>
      </c>
      <c r="AF325" s="4">
        <v>544</v>
      </c>
      <c r="AG325" s="5">
        <v>2.8883933312095145E-2</v>
      </c>
      <c r="AH325" s="18">
        <f t="shared" si="5"/>
        <v>779</v>
      </c>
      <c r="AI325" s="6">
        <v>0.13815514395745462</v>
      </c>
      <c r="AJ325" s="3">
        <v>0.13800000000000001</v>
      </c>
      <c r="AK325" s="6">
        <v>0.47446414435431344</v>
      </c>
      <c r="AL325" s="25">
        <v>0.47399999999999998</v>
      </c>
      <c r="AM325" s="6">
        <v>0.12648842503979207</v>
      </c>
      <c r="AN325" s="3">
        <v>0.126</v>
      </c>
      <c r="AO325" s="6">
        <v>0.47084623004595777</v>
      </c>
      <c r="AP325" s="6">
        <v>0.12418944152096419</v>
      </c>
      <c r="AQ325" s="6">
        <v>0.124</v>
      </c>
      <c r="AR325" s="6">
        <v>0.48023137272703514</v>
      </c>
      <c r="AS325" s="6">
        <v>0.48099999999999998</v>
      </c>
      <c r="AT325" s="6">
        <v>1.3965702436490438E-2</v>
      </c>
      <c r="AU325" s="6">
        <v>-5.7672283727217E-3</v>
      </c>
      <c r="AV325" s="6">
        <v>2.2989835188278879E-3</v>
      </c>
      <c r="AW325" s="6">
        <v>-9.3851426810773741E-3</v>
      </c>
      <c r="AX325" s="7">
        <v>194</v>
      </c>
      <c r="AY325" s="7">
        <v>196</v>
      </c>
      <c r="AZ325" s="7">
        <v>186</v>
      </c>
      <c r="BA325" s="26">
        <v>-8</v>
      </c>
      <c r="BB325" s="26">
        <v>-10</v>
      </c>
      <c r="BC325" s="6">
        <v>0.1341646799926646</v>
      </c>
      <c r="BD325" s="6">
        <v>0.13400000000000001</v>
      </c>
      <c r="BE325" s="11">
        <v>0.4831790605525248</v>
      </c>
      <c r="BF325" s="7">
        <v>181</v>
      </c>
      <c r="BG325" s="7">
        <v>5</v>
      </c>
      <c r="BH325" s="7">
        <v>-13</v>
      </c>
    </row>
    <row r="326" spans="2:60" x14ac:dyDescent="0.25">
      <c r="B326" s="3">
        <v>323</v>
      </c>
      <c r="C326" s="3" t="s">
        <v>651</v>
      </c>
      <c r="D326" s="3" t="s">
        <v>652</v>
      </c>
      <c r="E326" s="3" t="s">
        <v>707</v>
      </c>
      <c r="F326" s="3">
        <v>13120</v>
      </c>
      <c r="G326" s="3">
        <v>13</v>
      </c>
      <c r="H326" s="3">
        <v>0.63100000000000001</v>
      </c>
      <c r="I326" s="4">
        <v>241467</v>
      </c>
      <c r="J326" s="4">
        <v>266906</v>
      </c>
      <c r="K326" s="4">
        <v>263319</v>
      </c>
      <c r="L326" s="4">
        <v>-25439</v>
      </c>
      <c r="M326" s="4">
        <v>100630</v>
      </c>
      <c r="N326" s="18">
        <v>12</v>
      </c>
      <c r="O326" s="18">
        <v>71692</v>
      </c>
      <c r="P326" s="18">
        <v>28587</v>
      </c>
      <c r="Q326" s="18">
        <v>0</v>
      </c>
      <c r="R326" s="18">
        <v>339</v>
      </c>
      <c r="S326" s="18">
        <v>0</v>
      </c>
      <c r="T326" s="18">
        <v>100630</v>
      </c>
      <c r="U326" s="18" t="b">
        <v>1</v>
      </c>
      <c r="V326" s="4">
        <v>96407</v>
      </c>
      <c r="W326" s="4">
        <v>96407</v>
      </c>
      <c r="X326" s="3" t="b">
        <v>1</v>
      </c>
      <c r="Y326" s="18">
        <v>78</v>
      </c>
      <c r="Z326" s="18">
        <v>65952</v>
      </c>
      <c r="AA326" s="18">
        <v>30041</v>
      </c>
      <c r="AB326" s="18">
        <v>1</v>
      </c>
      <c r="AC326" s="18">
        <v>335</v>
      </c>
      <c r="AD326" s="18">
        <v>0</v>
      </c>
      <c r="AE326" s="18">
        <v>96407</v>
      </c>
      <c r="AF326" s="4">
        <v>4223</v>
      </c>
      <c r="AG326" s="5">
        <v>4.1965616615323463E-2</v>
      </c>
      <c r="AH326" s="18">
        <f t="shared" si="5"/>
        <v>5740</v>
      </c>
      <c r="AI326" s="6">
        <v>0.41674431702882797</v>
      </c>
      <c r="AJ326" s="3">
        <v>0.41699999999999998</v>
      </c>
      <c r="AK326" s="6">
        <v>0.76160421282651725</v>
      </c>
      <c r="AL326" s="25">
        <v>0.76200000000000001</v>
      </c>
      <c r="AM326" s="6">
        <v>0.37702412085153575</v>
      </c>
      <c r="AN326" s="3">
        <v>0.377</v>
      </c>
      <c r="AO326" s="6">
        <v>0.75545478224821483</v>
      </c>
      <c r="AP326" s="6">
        <v>0.36612245983009201</v>
      </c>
      <c r="AQ326" s="6">
        <v>0.36599999999999999</v>
      </c>
      <c r="AR326" s="6">
        <v>0.76097538541697451</v>
      </c>
      <c r="AS326" s="6">
        <v>0.76100000000000001</v>
      </c>
      <c r="AT326" s="6">
        <v>5.0621857198735964E-2</v>
      </c>
      <c r="AU326" s="6">
        <v>6.2882740954273153E-4</v>
      </c>
      <c r="AV326" s="6">
        <v>1.0901661021443743E-2</v>
      </c>
      <c r="AW326" s="6">
        <v>-5.5206031687596857E-3</v>
      </c>
      <c r="AX326" s="7">
        <v>4</v>
      </c>
      <c r="AY326" s="7">
        <v>5</v>
      </c>
      <c r="AZ326" s="7">
        <v>5</v>
      </c>
      <c r="BA326" s="26">
        <v>1</v>
      </c>
      <c r="BB326" s="26">
        <v>0</v>
      </c>
      <c r="BC326" s="6">
        <v>0.39925538479378136</v>
      </c>
      <c r="BD326" s="6">
        <v>0.39900000000000002</v>
      </c>
      <c r="BE326" s="11">
        <v>0.76795917341092412</v>
      </c>
      <c r="BF326" s="26">
        <v>3</v>
      </c>
      <c r="BG326" s="7">
        <v>2</v>
      </c>
      <c r="BH326" s="7">
        <v>-1</v>
      </c>
    </row>
    <row r="327" spans="2:60" x14ac:dyDescent="0.25">
      <c r="B327" s="3">
        <v>324</v>
      </c>
      <c r="C327" s="3" t="s">
        <v>653</v>
      </c>
      <c r="D327" s="3" t="s">
        <v>654</v>
      </c>
      <c r="E327" s="3" t="s">
        <v>707</v>
      </c>
      <c r="F327" s="3">
        <v>13604</v>
      </c>
      <c r="G327" s="3">
        <v>13</v>
      </c>
      <c r="H327" s="3">
        <v>0.56399999999999995</v>
      </c>
      <c r="I327" s="4">
        <v>81243</v>
      </c>
      <c r="J327" s="4">
        <v>81743</v>
      </c>
      <c r="K327" s="4">
        <v>79925</v>
      </c>
      <c r="L327" s="4">
        <v>-500</v>
      </c>
      <c r="M327" s="4">
        <v>20699</v>
      </c>
      <c r="N327" s="18">
        <v>0</v>
      </c>
      <c r="O327" s="18">
        <v>16601</v>
      </c>
      <c r="P327" s="18">
        <v>3799</v>
      </c>
      <c r="Q327" s="18">
        <v>0</v>
      </c>
      <c r="R327" s="18">
        <v>299</v>
      </c>
      <c r="S327" s="18">
        <v>0</v>
      </c>
      <c r="T327" s="18">
        <v>20699</v>
      </c>
      <c r="U327" s="18" t="b">
        <v>1</v>
      </c>
      <c r="V327" s="4">
        <v>19737</v>
      </c>
      <c r="W327" s="4">
        <v>19737</v>
      </c>
      <c r="X327" s="3" t="b">
        <v>1</v>
      </c>
      <c r="Y327" s="18">
        <v>3</v>
      </c>
      <c r="Z327" s="18">
        <v>15291</v>
      </c>
      <c r="AA327" s="18">
        <v>4154</v>
      </c>
      <c r="AB327" s="18">
        <v>0</v>
      </c>
      <c r="AC327" s="18">
        <v>289</v>
      </c>
      <c r="AD327" s="18">
        <v>0</v>
      </c>
      <c r="AE327" s="18">
        <v>19737</v>
      </c>
      <c r="AF327" s="4">
        <v>962</v>
      </c>
      <c r="AG327" s="5">
        <v>4.6475675153389052E-2</v>
      </c>
      <c r="AH327" s="18">
        <f t="shared" si="5"/>
        <v>1310</v>
      </c>
      <c r="AI327" s="6">
        <v>0.2547788732567729</v>
      </c>
      <c r="AJ327" s="3">
        <v>0.255</v>
      </c>
      <c r="AK327" s="6">
        <v>0.5946674718824464</v>
      </c>
      <c r="AL327" s="25">
        <v>0.59499999999999997</v>
      </c>
      <c r="AM327" s="6">
        <v>0.25322045924421666</v>
      </c>
      <c r="AN327" s="3">
        <v>0.253</v>
      </c>
      <c r="AO327" s="6">
        <v>0.61481382179252875</v>
      </c>
      <c r="AP327" s="6">
        <v>0.24694401000938379</v>
      </c>
      <c r="AQ327" s="6">
        <v>0.247</v>
      </c>
      <c r="AR327" s="6">
        <v>0.62292357752398786</v>
      </c>
      <c r="AS327" s="6">
        <v>0.623</v>
      </c>
      <c r="AT327" s="6">
        <v>7.8348632473891067E-3</v>
      </c>
      <c r="AU327" s="6">
        <v>-2.8256105641541462E-2</v>
      </c>
      <c r="AV327" s="6">
        <v>6.2764492348328649E-3</v>
      </c>
      <c r="AW327" s="6">
        <v>-8.1097557314591118E-3</v>
      </c>
      <c r="AX327" s="7">
        <v>60</v>
      </c>
      <c r="AY327" s="7">
        <v>47</v>
      </c>
      <c r="AZ327" s="7">
        <v>42</v>
      </c>
      <c r="BA327" s="26">
        <v>-18</v>
      </c>
      <c r="BB327" s="26">
        <v>-5</v>
      </c>
      <c r="BC327" s="6">
        <v>0.24293785310734464</v>
      </c>
      <c r="BD327" s="6">
        <v>0.24299999999999999</v>
      </c>
      <c r="BE327" s="11">
        <v>0.60003127737696882</v>
      </c>
      <c r="BF327" s="7">
        <v>63</v>
      </c>
      <c r="BG327" s="7">
        <v>-21</v>
      </c>
      <c r="BH327" s="7">
        <v>3</v>
      </c>
    </row>
    <row r="328" spans="2:60" x14ac:dyDescent="0.25">
      <c r="B328" s="3">
        <v>325</v>
      </c>
      <c r="C328" s="3" t="s">
        <v>655</v>
      </c>
      <c r="D328" s="3" t="s">
        <v>656</v>
      </c>
      <c r="E328" s="3" t="s">
        <v>707</v>
      </c>
      <c r="F328" s="3">
        <v>13404</v>
      </c>
      <c r="G328" s="3">
        <v>13</v>
      </c>
      <c r="H328" s="3">
        <v>0.47699999999999998</v>
      </c>
      <c r="I328" s="4">
        <v>78828</v>
      </c>
      <c r="J328" s="4">
        <v>88317</v>
      </c>
      <c r="K328" s="4">
        <v>87059</v>
      </c>
      <c r="L328" s="4">
        <v>-9489</v>
      </c>
      <c r="M328" s="4">
        <v>7997</v>
      </c>
      <c r="N328" s="18">
        <v>0</v>
      </c>
      <c r="O328" s="18">
        <v>7382</v>
      </c>
      <c r="P328" s="18">
        <v>0</v>
      </c>
      <c r="Q328" s="18">
        <v>0</v>
      </c>
      <c r="R328" s="18">
        <v>615</v>
      </c>
      <c r="S328" s="18">
        <v>0</v>
      </c>
      <c r="T328" s="18">
        <v>7997</v>
      </c>
      <c r="U328" s="18" t="b">
        <v>1</v>
      </c>
      <c r="V328" s="4">
        <v>7425</v>
      </c>
      <c r="W328" s="4">
        <v>7425</v>
      </c>
      <c r="X328" s="3" t="b">
        <v>1</v>
      </c>
      <c r="Y328" s="18">
        <v>0</v>
      </c>
      <c r="Z328" s="18">
        <v>6897</v>
      </c>
      <c r="AA328" s="18">
        <v>0</v>
      </c>
      <c r="AB328" s="18">
        <v>0</v>
      </c>
      <c r="AC328" s="18">
        <v>528</v>
      </c>
      <c r="AD328" s="18">
        <v>0</v>
      </c>
      <c r="AE328" s="18">
        <v>7425</v>
      </c>
      <c r="AF328" s="4">
        <v>572</v>
      </c>
      <c r="AG328" s="5">
        <v>7.1526822558459421E-2</v>
      </c>
      <c r="AH328" s="18">
        <f t="shared" si="5"/>
        <v>485</v>
      </c>
      <c r="AI328" s="6">
        <v>0.10144872380372456</v>
      </c>
      <c r="AJ328" s="3">
        <v>0.10100000000000001</v>
      </c>
      <c r="AK328" s="6">
        <v>0.43663107324063</v>
      </c>
      <c r="AL328" s="25">
        <v>0.437</v>
      </c>
      <c r="AM328" s="6">
        <v>9.0548818460771993E-2</v>
      </c>
      <c r="AN328" s="3">
        <v>9.0999999999999998E-2</v>
      </c>
      <c r="AO328" s="6">
        <v>0.43001883671970043</v>
      </c>
      <c r="AP328" s="6">
        <v>8.5286989283129833E-2</v>
      </c>
      <c r="AQ328" s="6">
        <v>8.5000000000000006E-2</v>
      </c>
      <c r="AR328" s="6">
        <v>0.43498750291336724</v>
      </c>
      <c r="AS328" s="6">
        <v>0.435</v>
      </c>
      <c r="AT328" s="6">
        <v>1.6161734520594731E-2</v>
      </c>
      <c r="AU328" s="6">
        <v>1.6435703272627555E-3</v>
      </c>
      <c r="AV328" s="6">
        <v>5.2618291776421605E-3</v>
      </c>
      <c r="AW328" s="6">
        <v>-4.9686661936668153E-3</v>
      </c>
      <c r="AX328" s="7">
        <v>236</v>
      </c>
      <c r="AY328" s="7">
        <v>245</v>
      </c>
      <c r="AZ328" s="7">
        <v>236</v>
      </c>
      <c r="BA328" s="26">
        <v>0</v>
      </c>
      <c r="BB328" s="26">
        <v>-9</v>
      </c>
      <c r="BC328" s="6">
        <v>9.4192418937433395E-2</v>
      </c>
      <c r="BD328" s="6">
        <v>9.4E-2</v>
      </c>
      <c r="BE328" s="11">
        <v>0.44023789057429252</v>
      </c>
      <c r="BF328" s="26">
        <v>231</v>
      </c>
      <c r="BG328" s="7">
        <v>5</v>
      </c>
      <c r="BH328" s="7">
        <v>-5</v>
      </c>
    </row>
    <row r="329" spans="2:60" x14ac:dyDescent="0.25">
      <c r="B329" s="3">
        <v>326</v>
      </c>
      <c r="C329" s="3" t="s">
        <v>657</v>
      </c>
      <c r="D329" s="3" t="s">
        <v>658</v>
      </c>
      <c r="E329" s="3" t="s">
        <v>707</v>
      </c>
      <c r="F329" s="3">
        <v>13121</v>
      </c>
      <c r="G329" s="3">
        <v>13</v>
      </c>
      <c r="H329" s="3">
        <v>0.60799999999999998</v>
      </c>
      <c r="I329" s="4">
        <v>96062</v>
      </c>
      <c r="J329" s="4">
        <v>104462</v>
      </c>
      <c r="K329" s="4">
        <v>105483</v>
      </c>
      <c r="L329" s="4">
        <v>-8400</v>
      </c>
      <c r="M329" s="4">
        <v>22974</v>
      </c>
      <c r="N329" s="18">
        <v>0</v>
      </c>
      <c r="O329" s="18">
        <v>16230</v>
      </c>
      <c r="P329" s="18">
        <v>6519</v>
      </c>
      <c r="Q329" s="18">
        <v>0</v>
      </c>
      <c r="R329" s="18">
        <v>225</v>
      </c>
      <c r="S329" s="18">
        <v>0</v>
      </c>
      <c r="T329" s="18">
        <v>22974</v>
      </c>
      <c r="U329" s="18" t="b">
        <v>1</v>
      </c>
      <c r="V329" s="4">
        <v>22056</v>
      </c>
      <c r="W329" s="4">
        <v>22056</v>
      </c>
      <c r="X329" s="3" t="b">
        <v>1</v>
      </c>
      <c r="Y329" s="18">
        <v>4</v>
      </c>
      <c r="Z329" s="18">
        <v>15137</v>
      </c>
      <c r="AA329" s="18">
        <v>6494</v>
      </c>
      <c r="AB329" s="18">
        <v>0</v>
      </c>
      <c r="AC329" s="18">
        <v>421</v>
      </c>
      <c r="AD329" s="18">
        <v>0</v>
      </c>
      <c r="AE329" s="18">
        <v>22056</v>
      </c>
      <c r="AF329" s="4">
        <v>918</v>
      </c>
      <c r="AG329" s="5">
        <v>3.9958213632802296E-2</v>
      </c>
      <c r="AH329" s="18">
        <f t="shared" si="5"/>
        <v>1093</v>
      </c>
      <c r="AI329" s="6">
        <v>0.2391580437634028</v>
      </c>
      <c r="AJ329" s="3">
        <v>0.23899999999999999</v>
      </c>
      <c r="AK329" s="6">
        <v>0.5785671834151348</v>
      </c>
      <c r="AL329" s="25">
        <v>0.57899999999999996</v>
      </c>
      <c r="AM329" s="6">
        <v>0.2199268633570102</v>
      </c>
      <c r="AN329" s="3">
        <v>0.22</v>
      </c>
      <c r="AO329" s="6">
        <v>0.57699229663076101</v>
      </c>
      <c r="AP329" s="6">
        <v>0.20909530445664229</v>
      </c>
      <c r="AQ329" s="6">
        <v>0.20899999999999999</v>
      </c>
      <c r="AR329" s="6">
        <v>0.57883980693631143</v>
      </c>
      <c r="AS329" s="6">
        <v>0.57899999999999996</v>
      </c>
      <c r="AT329" s="6">
        <v>3.0062739306760511E-2</v>
      </c>
      <c r="AU329" s="6">
        <v>-2.7262352117662925E-4</v>
      </c>
      <c r="AV329" s="6">
        <v>1.083155890036791E-2</v>
      </c>
      <c r="AW329" s="6">
        <v>-1.847510305550415E-3</v>
      </c>
      <c r="AX329" s="7">
        <v>78</v>
      </c>
      <c r="AY329" s="7">
        <v>78</v>
      </c>
      <c r="AZ329" s="7">
        <v>81</v>
      </c>
      <c r="BA329" s="26">
        <v>3</v>
      </c>
      <c r="BB329" s="26">
        <v>3</v>
      </c>
      <c r="BC329" s="6">
        <v>0.22960171555870168</v>
      </c>
      <c r="BD329" s="6">
        <v>0.23</v>
      </c>
      <c r="BE329" s="11">
        <v>0.58570460847680117</v>
      </c>
      <c r="BF329" s="7">
        <v>79</v>
      </c>
      <c r="BG329" s="7">
        <v>2</v>
      </c>
      <c r="BH329" s="7">
        <v>1</v>
      </c>
    </row>
    <row r="330" spans="2:60" x14ac:dyDescent="0.25">
      <c r="B330" s="3">
        <v>327</v>
      </c>
      <c r="C330" s="3" t="s">
        <v>659</v>
      </c>
      <c r="D330" s="3" t="s">
        <v>660</v>
      </c>
      <c r="E330" s="3" t="s">
        <v>707</v>
      </c>
      <c r="F330" s="3">
        <v>13605</v>
      </c>
      <c r="G330" s="3">
        <v>13</v>
      </c>
      <c r="H330" s="3">
        <v>0.58299999999999996</v>
      </c>
      <c r="I330" s="4">
        <v>94402</v>
      </c>
      <c r="J330" s="4">
        <v>106840</v>
      </c>
      <c r="K330" s="4">
        <v>105498</v>
      </c>
      <c r="L330" s="4">
        <v>-12438</v>
      </c>
      <c r="M330" s="4">
        <v>22482</v>
      </c>
      <c r="N330" s="18">
        <v>2</v>
      </c>
      <c r="O330" s="18">
        <v>18014</v>
      </c>
      <c r="P330" s="18">
        <v>3960</v>
      </c>
      <c r="Q330" s="18">
        <v>0</v>
      </c>
      <c r="R330" s="18">
        <v>506</v>
      </c>
      <c r="S330" s="18">
        <v>0</v>
      </c>
      <c r="T330" s="18">
        <v>22482</v>
      </c>
      <c r="U330" s="18" t="b">
        <v>1</v>
      </c>
      <c r="V330" s="4">
        <v>22016</v>
      </c>
      <c r="W330" s="4">
        <v>22016</v>
      </c>
      <c r="X330" s="3" t="b">
        <v>1</v>
      </c>
      <c r="Y330" s="18">
        <v>5</v>
      </c>
      <c r="Z330" s="18">
        <v>16966</v>
      </c>
      <c r="AA330" s="18">
        <v>4360</v>
      </c>
      <c r="AB330" s="18">
        <v>0</v>
      </c>
      <c r="AC330" s="18">
        <v>685</v>
      </c>
      <c r="AD330" s="18">
        <v>0</v>
      </c>
      <c r="AE330" s="18">
        <v>22016</v>
      </c>
      <c r="AF330" s="4">
        <v>466</v>
      </c>
      <c r="AG330" s="5">
        <v>2.0727693265723691E-2</v>
      </c>
      <c r="AH330" s="18">
        <f t="shared" si="5"/>
        <v>1048</v>
      </c>
      <c r="AI330" s="6">
        <v>0.23815173407343065</v>
      </c>
      <c r="AJ330" s="3">
        <v>0.23799999999999999</v>
      </c>
      <c r="AK330" s="6">
        <v>0.57752998649144527</v>
      </c>
      <c r="AL330" s="25">
        <v>0.57799999999999996</v>
      </c>
      <c r="AM330" s="6">
        <v>0.21042680643953576</v>
      </c>
      <c r="AN330" s="3">
        <v>0.21</v>
      </c>
      <c r="AO330" s="6">
        <v>0.56620023190576818</v>
      </c>
      <c r="AP330" s="6">
        <v>0.2086864205956511</v>
      </c>
      <c r="AQ330" s="6">
        <v>0.20899999999999999</v>
      </c>
      <c r="AR330" s="6">
        <v>0.57883980693631143</v>
      </c>
      <c r="AS330" s="6">
        <v>0.57799999999999996</v>
      </c>
      <c r="AT330" s="6">
        <v>2.9465313477779559E-2</v>
      </c>
      <c r="AU330" s="6">
        <v>-1.309820444866161E-3</v>
      </c>
      <c r="AV330" s="6">
        <v>1.7403858438846675E-3</v>
      </c>
      <c r="AW330" s="6">
        <v>-1.2639575030543249E-2</v>
      </c>
      <c r="AX330" s="7">
        <v>81</v>
      </c>
      <c r="AY330" s="7">
        <v>98</v>
      </c>
      <c r="AZ330" s="7">
        <v>82</v>
      </c>
      <c r="BA330" s="26">
        <v>1</v>
      </c>
      <c r="BB330" s="26">
        <v>-16</v>
      </c>
      <c r="BC330" s="6">
        <v>0.23321539797885638</v>
      </c>
      <c r="BD330" s="6">
        <v>0.23300000000000001</v>
      </c>
      <c r="BE330" s="11">
        <v>0.58958669437724098</v>
      </c>
      <c r="BF330" s="26">
        <v>71</v>
      </c>
      <c r="BG330" s="7">
        <v>11</v>
      </c>
      <c r="BH330" s="7">
        <v>-10</v>
      </c>
    </row>
    <row r="331" spans="2:60" x14ac:dyDescent="0.25">
      <c r="B331" s="3">
        <v>328</v>
      </c>
      <c r="C331" s="3" t="s">
        <v>661</v>
      </c>
      <c r="D331" s="3" t="s">
        <v>662</v>
      </c>
      <c r="E331" s="3" t="s">
        <v>707</v>
      </c>
      <c r="F331" s="3">
        <v>13122</v>
      </c>
      <c r="G331" s="3">
        <v>13</v>
      </c>
      <c r="H331" s="3">
        <v>0.55200000000000005</v>
      </c>
      <c r="I331" s="4">
        <v>236478</v>
      </c>
      <c r="J331" s="4">
        <v>272913</v>
      </c>
      <c r="K331" s="4">
        <v>271854</v>
      </c>
      <c r="L331" s="4">
        <v>-36435</v>
      </c>
      <c r="M331" s="4">
        <v>54799</v>
      </c>
      <c r="N331" s="18">
        <v>8</v>
      </c>
      <c r="O331" s="18">
        <v>43083</v>
      </c>
      <c r="P331" s="18">
        <v>11218</v>
      </c>
      <c r="Q331" s="18">
        <v>0</v>
      </c>
      <c r="R331" s="18">
        <v>490</v>
      </c>
      <c r="S331" s="18">
        <v>0</v>
      </c>
      <c r="T331" s="18">
        <v>54799</v>
      </c>
      <c r="U331" s="18" t="b">
        <v>1</v>
      </c>
      <c r="V331" s="4">
        <v>53699</v>
      </c>
      <c r="W331" s="4">
        <v>53699</v>
      </c>
      <c r="X331" s="3" t="b">
        <v>1</v>
      </c>
      <c r="Y331" s="18">
        <v>25</v>
      </c>
      <c r="Z331" s="18">
        <v>41064</v>
      </c>
      <c r="AA331" s="18">
        <v>11985</v>
      </c>
      <c r="AB331" s="18">
        <v>0</v>
      </c>
      <c r="AC331" s="18">
        <v>625</v>
      </c>
      <c r="AD331" s="18">
        <v>0</v>
      </c>
      <c r="AE331" s="18">
        <v>53699</v>
      </c>
      <c r="AF331" s="4">
        <v>1100</v>
      </c>
      <c r="AG331" s="5">
        <v>2.0073359002901511E-2</v>
      </c>
      <c r="AH331" s="18">
        <f t="shared" si="5"/>
        <v>2019</v>
      </c>
      <c r="AI331" s="6">
        <v>0.23172980150373396</v>
      </c>
      <c r="AJ331" s="3">
        <v>0.23200000000000001</v>
      </c>
      <c r="AK331" s="6">
        <v>0.5709109419052647</v>
      </c>
      <c r="AL331" s="25">
        <v>0.57099999999999995</v>
      </c>
      <c r="AM331" s="6">
        <v>0.20079292668359514</v>
      </c>
      <c r="AN331" s="3">
        <v>0.20100000000000001</v>
      </c>
      <c r="AO331" s="6">
        <v>0.55525614443533777</v>
      </c>
      <c r="AP331" s="6">
        <v>0.19752882061694879</v>
      </c>
      <c r="AQ331" s="6">
        <v>0.19800000000000001</v>
      </c>
      <c r="AR331" s="6">
        <v>0.56607871545040511</v>
      </c>
      <c r="AS331" s="6">
        <v>0.56599999999999995</v>
      </c>
      <c r="AT331" s="6">
        <v>3.4200980886785165E-2</v>
      </c>
      <c r="AU331" s="6">
        <v>4.8322264548595895E-3</v>
      </c>
      <c r="AV331" s="6">
        <v>3.264106066646344E-3</v>
      </c>
      <c r="AW331" s="6">
        <v>-1.0822571015067339E-2</v>
      </c>
      <c r="AX331" s="7">
        <v>88</v>
      </c>
      <c r="AY331" s="7">
        <v>106</v>
      </c>
      <c r="AZ331" s="7">
        <v>98</v>
      </c>
      <c r="BA331" s="26">
        <v>10</v>
      </c>
      <c r="BB331" s="26">
        <v>-8</v>
      </c>
      <c r="BC331" s="6">
        <v>0.22707820600647841</v>
      </c>
      <c r="BD331" s="6">
        <v>0.22700000000000001</v>
      </c>
      <c r="BE331" s="11">
        <v>0.58299366719494616</v>
      </c>
      <c r="BF331" s="7">
        <v>84</v>
      </c>
      <c r="BG331" s="7">
        <v>14</v>
      </c>
      <c r="BH331" s="7">
        <v>-4</v>
      </c>
    </row>
    <row r="332" spans="2:60" x14ac:dyDescent="0.25">
      <c r="B332" s="3">
        <v>329</v>
      </c>
      <c r="C332" s="3" t="s">
        <v>663</v>
      </c>
      <c r="D332" s="3" t="s">
        <v>664</v>
      </c>
      <c r="E332" s="3" t="s">
        <v>707</v>
      </c>
      <c r="F332" s="3">
        <v>13202</v>
      </c>
      <c r="G332" s="3">
        <v>13</v>
      </c>
      <c r="H332" s="3">
        <v>0.45100000000000001</v>
      </c>
      <c r="I332" s="4">
        <v>29060</v>
      </c>
      <c r="J332" s="4">
        <v>33021</v>
      </c>
      <c r="K332" s="4">
        <v>32412</v>
      </c>
      <c r="L332" s="4">
        <v>-3961</v>
      </c>
      <c r="M332" s="4">
        <v>3083</v>
      </c>
      <c r="N332" s="18">
        <v>0</v>
      </c>
      <c r="O332" s="18">
        <v>2864</v>
      </c>
      <c r="P332" s="18">
        <v>37</v>
      </c>
      <c r="Q332" s="18">
        <v>0</v>
      </c>
      <c r="R332" s="18">
        <v>182</v>
      </c>
      <c r="S332" s="18">
        <v>0</v>
      </c>
      <c r="T332" s="18">
        <v>3083</v>
      </c>
      <c r="U332" s="18" t="b">
        <v>1</v>
      </c>
      <c r="V332" s="4">
        <v>2828</v>
      </c>
      <c r="W332" s="4">
        <v>2828</v>
      </c>
      <c r="X332" s="3" t="b">
        <v>1</v>
      </c>
      <c r="Y332" s="18">
        <v>6</v>
      </c>
      <c r="Z332" s="18">
        <v>2674</v>
      </c>
      <c r="AA332" s="18">
        <v>0</v>
      </c>
      <c r="AB332" s="18">
        <v>0</v>
      </c>
      <c r="AC332" s="18">
        <v>148</v>
      </c>
      <c r="AD332" s="18">
        <v>0</v>
      </c>
      <c r="AE332" s="18">
        <v>2828</v>
      </c>
      <c r="AF332" s="4">
        <v>255</v>
      </c>
      <c r="AG332" s="5">
        <v>8.2711644502108342E-2</v>
      </c>
      <c r="AH332" s="18">
        <f t="shared" si="5"/>
        <v>190</v>
      </c>
      <c r="AI332" s="6">
        <v>0.10609084652443221</v>
      </c>
      <c r="AJ332" s="3">
        <v>0.106</v>
      </c>
      <c r="AK332" s="6">
        <v>0.44141567926528291</v>
      </c>
      <c r="AL332" s="25">
        <v>0.441</v>
      </c>
      <c r="AM332" s="6">
        <v>9.3364828442506279E-2</v>
      </c>
      <c r="AN332" s="3">
        <v>9.2999999999999999E-2</v>
      </c>
      <c r="AO332" s="6">
        <v>0.43321782407873421</v>
      </c>
      <c r="AP332" s="6">
        <v>8.7251635196840677E-2</v>
      </c>
      <c r="AQ332" s="6">
        <v>8.6999999999999994E-2</v>
      </c>
      <c r="AR332" s="6">
        <v>0.43730770136535019</v>
      </c>
      <c r="AS332" s="6">
        <v>0.438</v>
      </c>
      <c r="AT332" s="6">
        <v>1.8839211327591532E-2</v>
      </c>
      <c r="AU332" s="6">
        <v>4.1079778999327243E-3</v>
      </c>
      <c r="AV332" s="6">
        <v>6.1131932456656018E-3</v>
      </c>
      <c r="AW332" s="6">
        <v>-4.0898772866159727E-3</v>
      </c>
      <c r="AX332" s="7">
        <v>231</v>
      </c>
      <c r="AY332" s="7">
        <v>239</v>
      </c>
      <c r="AZ332" s="7">
        <v>232</v>
      </c>
      <c r="BA332" s="26">
        <v>1</v>
      </c>
      <c r="BB332" s="26">
        <v>-7</v>
      </c>
      <c r="BC332" s="6">
        <v>9.7315898141775631E-2</v>
      </c>
      <c r="BD332" s="6">
        <v>9.7000000000000003E-2</v>
      </c>
      <c r="BE332" s="11">
        <v>0.44359336379237763</v>
      </c>
      <c r="BF332" s="26">
        <v>227</v>
      </c>
      <c r="BG332" s="7">
        <v>5</v>
      </c>
      <c r="BH332" s="7">
        <v>-4</v>
      </c>
    </row>
    <row r="333" spans="2:60" x14ac:dyDescent="0.25">
      <c r="B333" s="3">
        <v>330</v>
      </c>
      <c r="C333" s="3" t="s">
        <v>665</v>
      </c>
      <c r="D333" s="3" t="s">
        <v>666</v>
      </c>
      <c r="E333" s="3" t="s">
        <v>707</v>
      </c>
      <c r="F333" s="3">
        <v>13123</v>
      </c>
      <c r="G333" s="3">
        <v>13</v>
      </c>
      <c r="H333" s="3">
        <v>0.63</v>
      </c>
      <c r="I333" s="4">
        <v>143974</v>
      </c>
      <c r="J333" s="4">
        <v>164009</v>
      </c>
      <c r="K333" s="4">
        <v>162837</v>
      </c>
      <c r="L333" s="4">
        <v>-20035</v>
      </c>
      <c r="M333" s="4">
        <v>62238</v>
      </c>
      <c r="N333" s="18">
        <v>37</v>
      </c>
      <c r="O333" s="18">
        <v>39343</v>
      </c>
      <c r="P333" s="18">
        <v>22378</v>
      </c>
      <c r="Q333" s="18">
        <v>0</v>
      </c>
      <c r="R333" s="18">
        <v>480</v>
      </c>
      <c r="S333" s="18">
        <v>0</v>
      </c>
      <c r="T333" s="18">
        <v>62238</v>
      </c>
      <c r="U333" s="18" t="b">
        <v>1</v>
      </c>
      <c r="V333" s="4">
        <v>61628</v>
      </c>
      <c r="W333" s="4">
        <v>61628</v>
      </c>
      <c r="X333" s="3" t="b">
        <v>1</v>
      </c>
      <c r="Y333" s="18">
        <v>283</v>
      </c>
      <c r="Z333" s="18">
        <v>37515</v>
      </c>
      <c r="AA333" s="18">
        <v>23302</v>
      </c>
      <c r="AB333" s="18">
        <v>1</v>
      </c>
      <c r="AC333" s="18">
        <v>527</v>
      </c>
      <c r="AD333" s="18">
        <v>0</v>
      </c>
      <c r="AE333" s="18">
        <v>61628</v>
      </c>
      <c r="AF333" s="4">
        <v>610</v>
      </c>
      <c r="AG333" s="5">
        <v>9.8010861531540212E-3</v>
      </c>
      <c r="AH333" s="18">
        <f t="shared" si="5"/>
        <v>1828</v>
      </c>
      <c r="AI333" s="6">
        <v>0.43228638504174366</v>
      </c>
      <c r="AJ333" s="3">
        <v>0.432</v>
      </c>
      <c r="AK333" s="6">
        <v>0.77762332234261078</v>
      </c>
      <c r="AL333" s="25">
        <v>0.77800000000000002</v>
      </c>
      <c r="AM333" s="6">
        <v>0.37947917492332739</v>
      </c>
      <c r="AN333" s="3">
        <v>0.379</v>
      </c>
      <c r="AO333" s="6">
        <v>0.758243723691018</v>
      </c>
      <c r="AP333" s="6">
        <v>0.37846435392447664</v>
      </c>
      <c r="AQ333" s="6">
        <v>0.378</v>
      </c>
      <c r="AR333" s="6">
        <v>0.77489657612887242</v>
      </c>
      <c r="AS333" s="6">
        <v>0.77500000000000002</v>
      </c>
      <c r="AT333" s="6">
        <v>5.3822031117267022E-2</v>
      </c>
      <c r="AU333" s="6">
        <v>2.7267462137383625E-3</v>
      </c>
      <c r="AV333" s="6">
        <v>1.0148209988507517E-3</v>
      </c>
      <c r="AW333" s="6">
        <v>-1.6652852437854415E-2</v>
      </c>
      <c r="AX333" s="7">
        <v>3</v>
      </c>
      <c r="AY333" s="7">
        <v>4</v>
      </c>
      <c r="AZ333" s="7">
        <v>3</v>
      </c>
      <c r="BA333" s="26">
        <v>0</v>
      </c>
      <c r="BB333" s="26">
        <v>-1</v>
      </c>
      <c r="BC333" s="6">
        <v>0.42804950893911403</v>
      </c>
      <c r="BD333" s="6">
        <v>0.42799999999999999</v>
      </c>
      <c r="BE333" s="11">
        <v>0.79889195896415055</v>
      </c>
      <c r="BF333" s="7">
        <v>1</v>
      </c>
      <c r="BG333" s="7">
        <v>2</v>
      </c>
      <c r="BH333" s="7">
        <v>-2</v>
      </c>
    </row>
    <row r="334" spans="2:60" x14ac:dyDescent="0.25">
      <c r="B334" s="3">
        <v>331</v>
      </c>
      <c r="C334" s="3" t="s">
        <v>667</v>
      </c>
      <c r="D334" s="3" t="s">
        <v>668</v>
      </c>
      <c r="E334" s="3" t="s">
        <v>707</v>
      </c>
      <c r="F334" s="3">
        <v>13124</v>
      </c>
      <c r="G334" s="3">
        <v>13</v>
      </c>
      <c r="H334" s="3">
        <v>0.54900000000000004</v>
      </c>
      <c r="I334" s="4">
        <v>227820</v>
      </c>
      <c r="J334" s="4">
        <v>261596</v>
      </c>
      <c r="K334" s="4">
        <v>260129</v>
      </c>
      <c r="L334" s="4">
        <v>-33776</v>
      </c>
      <c r="M334" s="4">
        <v>57856</v>
      </c>
      <c r="N334" s="18">
        <v>3</v>
      </c>
      <c r="O334" s="18">
        <v>48063</v>
      </c>
      <c r="P334" s="18">
        <v>9064</v>
      </c>
      <c r="Q334" s="18">
        <v>0</v>
      </c>
      <c r="R334" s="18">
        <v>726</v>
      </c>
      <c r="S334" s="18">
        <v>0</v>
      </c>
      <c r="T334" s="18">
        <v>57856</v>
      </c>
      <c r="U334" s="18" t="b">
        <v>1</v>
      </c>
      <c r="V334" s="4">
        <v>56388</v>
      </c>
      <c r="W334" s="4">
        <v>56388</v>
      </c>
      <c r="X334" s="3" t="b">
        <v>1</v>
      </c>
      <c r="Y334" s="18">
        <v>12</v>
      </c>
      <c r="Z334" s="18">
        <v>45381</v>
      </c>
      <c r="AA334" s="18">
        <v>10070</v>
      </c>
      <c r="AB334" s="18">
        <v>0</v>
      </c>
      <c r="AC334" s="18">
        <v>925</v>
      </c>
      <c r="AD334" s="18">
        <v>0</v>
      </c>
      <c r="AE334" s="18">
        <v>56388</v>
      </c>
      <c r="AF334" s="4">
        <v>1468</v>
      </c>
      <c r="AG334" s="5">
        <v>2.5373340707964601E-2</v>
      </c>
      <c r="AH334" s="18">
        <f t="shared" si="5"/>
        <v>2682</v>
      </c>
      <c r="AI334" s="6">
        <v>0.25395487665700994</v>
      </c>
      <c r="AJ334" s="3">
        <v>0.254</v>
      </c>
      <c r="AK334" s="6">
        <v>0.5938181838879838</v>
      </c>
      <c r="AL334" s="25">
        <v>0.59399999999999997</v>
      </c>
      <c r="AM334" s="6">
        <v>0.22116546124558478</v>
      </c>
      <c r="AN334" s="3">
        <v>0.221</v>
      </c>
      <c r="AO334" s="6">
        <v>0.57839934384088343</v>
      </c>
      <c r="AP334" s="6">
        <v>0.21676937211921776</v>
      </c>
      <c r="AQ334" s="6">
        <v>0.217</v>
      </c>
      <c r="AR334" s="6">
        <v>0.58812060074424333</v>
      </c>
      <c r="AS334" s="6">
        <v>0.58799999999999997</v>
      </c>
      <c r="AT334" s="6">
        <v>3.718550453779218E-2</v>
      </c>
      <c r="AU334" s="6">
        <v>5.69758314374047E-3</v>
      </c>
      <c r="AV334" s="6">
        <v>4.3960891263670199E-3</v>
      </c>
      <c r="AW334" s="6">
        <v>-9.7212569033598983E-3</v>
      </c>
      <c r="AX334" s="7">
        <v>62</v>
      </c>
      <c r="AY334" s="7">
        <v>76</v>
      </c>
      <c r="AZ334" s="7">
        <v>67</v>
      </c>
      <c r="BA334" s="26">
        <v>5</v>
      </c>
      <c r="BB334" s="26">
        <v>-9</v>
      </c>
      <c r="BC334" s="6">
        <v>0.24751119304714247</v>
      </c>
      <c r="BD334" s="6">
        <v>0.248</v>
      </c>
      <c r="BE334" s="11">
        <v>0.60494429862066945</v>
      </c>
      <c r="BF334" s="26">
        <v>56</v>
      </c>
      <c r="BG334" s="7">
        <v>11</v>
      </c>
      <c r="BH334" s="7">
        <v>-6</v>
      </c>
    </row>
    <row r="335" spans="2:60" x14ac:dyDescent="0.25">
      <c r="B335" s="3">
        <v>332</v>
      </c>
      <c r="C335" s="3" t="s">
        <v>669</v>
      </c>
      <c r="D335" s="3" t="s">
        <v>670</v>
      </c>
      <c r="E335" s="3" t="s">
        <v>707</v>
      </c>
      <c r="F335" s="3">
        <v>13201</v>
      </c>
      <c r="G335" s="3">
        <v>13</v>
      </c>
      <c r="H335" s="3">
        <v>0.57499999999999996</v>
      </c>
      <c r="I335" s="4">
        <v>568086</v>
      </c>
      <c r="J335" s="4">
        <v>667904</v>
      </c>
      <c r="K335" s="4">
        <v>664370</v>
      </c>
      <c r="L335" s="4">
        <v>-99818</v>
      </c>
      <c r="M335" s="4">
        <v>143900</v>
      </c>
      <c r="N335" s="18">
        <v>9</v>
      </c>
      <c r="O335" s="18">
        <v>95993</v>
      </c>
      <c r="P335" s="18">
        <v>47128</v>
      </c>
      <c r="Q335" s="18">
        <v>0</v>
      </c>
      <c r="R335" s="18">
        <v>770</v>
      </c>
      <c r="S335" s="18">
        <v>0</v>
      </c>
      <c r="T335" s="18">
        <v>143900</v>
      </c>
      <c r="U335" s="18" t="b">
        <v>1</v>
      </c>
      <c r="V335" s="4">
        <v>141976</v>
      </c>
      <c r="W335" s="4">
        <v>141976</v>
      </c>
      <c r="X335" s="3" t="b">
        <v>1</v>
      </c>
      <c r="Y335" s="18">
        <v>33</v>
      </c>
      <c r="Z335" s="18">
        <v>89811</v>
      </c>
      <c r="AA335" s="18">
        <v>50823</v>
      </c>
      <c r="AB335" s="18">
        <v>0</v>
      </c>
      <c r="AC335" s="18">
        <v>1309</v>
      </c>
      <c r="AD335" s="18">
        <v>0</v>
      </c>
      <c r="AE335" s="18">
        <v>141976</v>
      </c>
      <c r="AF335" s="4">
        <v>1924</v>
      </c>
      <c r="AG335" s="5">
        <v>1.3370396108408617E-2</v>
      </c>
      <c r="AH335" s="18">
        <f t="shared" si="5"/>
        <v>6182</v>
      </c>
      <c r="AI335" s="6">
        <v>0.25330671764486362</v>
      </c>
      <c r="AJ335" s="3">
        <v>0.253</v>
      </c>
      <c r="AK335" s="6">
        <v>0.59315013056388388</v>
      </c>
      <c r="AL335" s="25">
        <v>0.59299999999999997</v>
      </c>
      <c r="AM335" s="6">
        <v>0.21545012456880031</v>
      </c>
      <c r="AN335" s="3">
        <v>0.215</v>
      </c>
      <c r="AO335" s="6">
        <v>0.57190672133590359</v>
      </c>
      <c r="AP335" s="6">
        <v>0.21370019717928262</v>
      </c>
      <c r="AQ335" s="6">
        <v>0.214</v>
      </c>
      <c r="AR335" s="6">
        <v>0.5846403030662688</v>
      </c>
      <c r="AS335" s="6">
        <v>0.58399999999999996</v>
      </c>
      <c r="AT335" s="6">
        <v>3.9606520465580997E-2</v>
      </c>
      <c r="AU335" s="6">
        <v>8.5098274976150856E-3</v>
      </c>
      <c r="AV335" s="6">
        <v>1.7499273895176803E-3</v>
      </c>
      <c r="AW335" s="6">
        <v>-1.2733581730365207E-2</v>
      </c>
      <c r="AX335" s="7">
        <v>63</v>
      </c>
      <c r="AY335" s="7">
        <v>86</v>
      </c>
      <c r="AZ335" s="7">
        <v>74</v>
      </c>
      <c r="BA335" s="26">
        <v>11</v>
      </c>
      <c r="BB335" s="26">
        <v>-12</v>
      </c>
      <c r="BC335" s="6">
        <v>0.24991990649303097</v>
      </c>
      <c r="BD335" s="6">
        <v>0.25</v>
      </c>
      <c r="BE335" s="11">
        <v>0.6075319174037509</v>
      </c>
      <c r="BF335" s="7">
        <v>54</v>
      </c>
      <c r="BG335" s="7">
        <v>20</v>
      </c>
      <c r="BH335" s="7">
        <v>-9</v>
      </c>
    </row>
    <row r="336" spans="2:60" x14ac:dyDescent="0.25">
      <c r="B336" s="3">
        <v>333</v>
      </c>
      <c r="C336" s="3" t="s">
        <v>671</v>
      </c>
      <c r="D336" s="3" t="s">
        <v>672</v>
      </c>
      <c r="E336" s="3" t="s">
        <v>707</v>
      </c>
      <c r="F336" s="3">
        <v>13125</v>
      </c>
      <c r="G336" s="3">
        <v>13</v>
      </c>
      <c r="H336" s="3">
        <v>0.54200000000000004</v>
      </c>
      <c r="I336" s="4">
        <v>205624</v>
      </c>
      <c r="J336" s="4">
        <v>275744</v>
      </c>
      <c r="K336" s="4">
        <v>271385</v>
      </c>
      <c r="L336" s="4">
        <v>-70120</v>
      </c>
      <c r="M336" s="4">
        <v>48622</v>
      </c>
      <c r="N336" s="18">
        <v>5</v>
      </c>
      <c r="O336" s="18">
        <v>35912</v>
      </c>
      <c r="P336" s="18">
        <v>11999</v>
      </c>
      <c r="Q336" s="18">
        <v>0</v>
      </c>
      <c r="R336" s="18">
        <v>706</v>
      </c>
      <c r="S336" s="18">
        <v>0</v>
      </c>
      <c r="T336" s="18">
        <v>48622</v>
      </c>
      <c r="U336" s="18" t="b">
        <v>1</v>
      </c>
      <c r="V336" s="4">
        <v>47352</v>
      </c>
      <c r="W336" s="4">
        <v>47352</v>
      </c>
      <c r="X336" s="3" t="b">
        <v>1</v>
      </c>
      <c r="Y336" s="18">
        <v>18</v>
      </c>
      <c r="Z336" s="18">
        <v>33715</v>
      </c>
      <c r="AA336" s="18">
        <v>12822</v>
      </c>
      <c r="AB336" s="18">
        <v>1</v>
      </c>
      <c r="AC336" s="18">
        <v>796</v>
      </c>
      <c r="AD336" s="18">
        <v>0</v>
      </c>
      <c r="AE336" s="18">
        <v>47352</v>
      </c>
      <c r="AF336" s="4">
        <v>1270</v>
      </c>
      <c r="AG336" s="5">
        <v>2.6119863436304555E-2</v>
      </c>
      <c r="AH336" s="18">
        <f t="shared" si="5"/>
        <v>2197</v>
      </c>
      <c r="AI336" s="6">
        <v>0.23646072442905497</v>
      </c>
      <c r="AJ336" s="3">
        <v>0.23599999999999999</v>
      </c>
      <c r="AK336" s="6">
        <v>0.57578707372954552</v>
      </c>
      <c r="AL336" s="25">
        <v>0.57599999999999996</v>
      </c>
      <c r="AM336" s="6">
        <v>0.17633021933387491</v>
      </c>
      <c r="AN336" s="3">
        <v>0.17599999999999999</v>
      </c>
      <c r="AO336" s="6">
        <v>0.52746650871419498</v>
      </c>
      <c r="AP336" s="6">
        <v>0.17448274591447574</v>
      </c>
      <c r="AQ336" s="6">
        <v>0.17399999999999999</v>
      </c>
      <c r="AR336" s="6">
        <v>0.53823633402660942</v>
      </c>
      <c r="AS336" s="6">
        <v>0.53900000000000003</v>
      </c>
      <c r="AT336" s="6">
        <v>6.1977978514579229E-2</v>
      </c>
      <c r="AU336" s="6">
        <v>3.7550739702936098E-2</v>
      </c>
      <c r="AV336" s="6">
        <v>1.8474734193991704E-3</v>
      </c>
      <c r="AW336" s="6">
        <v>-1.0769825312414438E-2</v>
      </c>
      <c r="AX336" s="7">
        <v>83</v>
      </c>
      <c r="AY336" s="7">
        <v>132</v>
      </c>
      <c r="AZ336" s="7">
        <v>123</v>
      </c>
      <c r="BA336" s="26">
        <v>40</v>
      </c>
      <c r="BB336" s="26">
        <v>-9</v>
      </c>
      <c r="BC336" s="6">
        <v>0.23028440259891841</v>
      </c>
      <c r="BD336" s="6">
        <v>0.23</v>
      </c>
      <c r="BE336" s="11">
        <v>0.58643800157146198</v>
      </c>
      <c r="BF336" s="26">
        <v>77</v>
      </c>
      <c r="BG336" s="7">
        <v>46</v>
      </c>
      <c r="BH336" s="7">
        <v>-6</v>
      </c>
    </row>
    <row r="337" spans="2:60" x14ac:dyDescent="0.25">
      <c r="B337" s="3">
        <v>334</v>
      </c>
      <c r="C337" s="3" t="s">
        <v>673</v>
      </c>
      <c r="D337" s="3" t="s">
        <v>674</v>
      </c>
      <c r="E337" s="3" t="s">
        <v>707</v>
      </c>
      <c r="F337" s="3">
        <v>13126</v>
      </c>
      <c r="G337" s="3">
        <v>13</v>
      </c>
      <c r="H337" s="3">
        <v>0.55800000000000005</v>
      </c>
      <c r="I337" s="4">
        <v>129351</v>
      </c>
      <c r="J337" s="4">
        <v>141823</v>
      </c>
      <c r="K337" s="4">
        <v>140964</v>
      </c>
      <c r="L337" s="4">
        <v>-12472</v>
      </c>
      <c r="M337" s="4">
        <v>33925</v>
      </c>
      <c r="N337" s="18">
        <v>0</v>
      </c>
      <c r="O337" s="18">
        <v>22109</v>
      </c>
      <c r="P337" s="18">
        <v>11676</v>
      </c>
      <c r="Q337" s="18">
        <v>0</v>
      </c>
      <c r="R337" s="18">
        <v>140</v>
      </c>
      <c r="S337" s="18">
        <v>0</v>
      </c>
      <c r="T337" s="18">
        <v>33925</v>
      </c>
      <c r="U337" s="18" t="b">
        <v>1</v>
      </c>
      <c r="V337" s="4">
        <v>33193</v>
      </c>
      <c r="W337" s="4">
        <v>33193</v>
      </c>
      <c r="X337" s="3" t="b">
        <v>1</v>
      </c>
      <c r="Y337" s="18">
        <v>5</v>
      </c>
      <c r="Z337" s="18">
        <v>19660</v>
      </c>
      <c r="AA337" s="18">
        <v>13327</v>
      </c>
      <c r="AB337" s="18">
        <v>0</v>
      </c>
      <c r="AC337" s="18">
        <v>201</v>
      </c>
      <c r="AD337" s="18">
        <v>0</v>
      </c>
      <c r="AE337" s="18">
        <v>33193</v>
      </c>
      <c r="AF337" s="4">
        <v>732</v>
      </c>
      <c r="AG337" s="5">
        <v>2.1577008106116433E-2</v>
      </c>
      <c r="AH337" s="18">
        <f t="shared" si="5"/>
        <v>2449</v>
      </c>
      <c r="AI337" s="6">
        <v>0.26227087537011695</v>
      </c>
      <c r="AJ337" s="3">
        <v>0.26200000000000001</v>
      </c>
      <c r="AK337" s="6">
        <v>0.60238943026332137</v>
      </c>
      <c r="AL337" s="25">
        <v>0.60199999999999998</v>
      </c>
      <c r="AM337" s="6">
        <v>0.23920661669827883</v>
      </c>
      <c r="AN337" s="3">
        <v>0.23899999999999999</v>
      </c>
      <c r="AO337" s="6">
        <v>0.59889409656189041</v>
      </c>
      <c r="AP337" s="6">
        <v>0.23547146789251155</v>
      </c>
      <c r="AQ337" s="6">
        <v>0.23499999999999999</v>
      </c>
      <c r="AR337" s="6">
        <v>0.60900238681208996</v>
      </c>
      <c r="AS337" s="6">
        <v>0.60899999999999999</v>
      </c>
      <c r="AT337" s="6">
        <v>2.6799407477605397E-2</v>
      </c>
      <c r="AU337" s="6">
        <v>-6.6129565487685893E-3</v>
      </c>
      <c r="AV337" s="6">
        <v>3.7351488057672799E-3</v>
      </c>
      <c r="AW337" s="6">
        <v>-1.0108290250199548E-2</v>
      </c>
      <c r="AX337" s="7">
        <v>55</v>
      </c>
      <c r="AY337" s="7">
        <v>59</v>
      </c>
      <c r="AZ337" s="7">
        <v>52</v>
      </c>
      <c r="BA337" s="26">
        <v>-3</v>
      </c>
      <c r="BB337" s="26">
        <v>-7</v>
      </c>
      <c r="BC337" s="6">
        <v>0.25661185456625768</v>
      </c>
      <c r="BD337" s="6">
        <v>0.25700000000000001</v>
      </c>
      <c r="BE337" s="11">
        <v>0.61472090476928609</v>
      </c>
      <c r="BF337" s="7">
        <v>48</v>
      </c>
      <c r="BG337" s="7">
        <v>4</v>
      </c>
      <c r="BH337" s="7">
        <v>-7</v>
      </c>
    </row>
    <row r="338" spans="2:60" x14ac:dyDescent="0.25">
      <c r="B338" s="3">
        <v>335</v>
      </c>
      <c r="C338" s="3" t="s">
        <v>675</v>
      </c>
      <c r="D338" s="3" t="s">
        <v>676</v>
      </c>
      <c r="E338" s="3" t="s">
        <v>707</v>
      </c>
      <c r="F338" s="3">
        <v>13127</v>
      </c>
      <c r="G338" s="3">
        <v>13</v>
      </c>
      <c r="H338" s="3">
        <v>0.58799999999999997</v>
      </c>
      <c r="I338" s="4">
        <v>154615</v>
      </c>
      <c r="J338" s="4">
        <v>196856</v>
      </c>
      <c r="K338" s="4">
        <v>196073</v>
      </c>
      <c r="L338" s="4">
        <v>-42241</v>
      </c>
      <c r="M338" s="4">
        <v>36501</v>
      </c>
      <c r="N338" s="18">
        <v>1</v>
      </c>
      <c r="O338" s="18">
        <v>26391</v>
      </c>
      <c r="P338" s="18">
        <v>9757</v>
      </c>
      <c r="Q338" s="18">
        <v>0</v>
      </c>
      <c r="R338" s="18">
        <v>352</v>
      </c>
      <c r="S338" s="18">
        <v>0</v>
      </c>
      <c r="T338" s="18">
        <v>36501</v>
      </c>
      <c r="U338" s="18" t="b">
        <v>1</v>
      </c>
      <c r="V338" s="4">
        <v>35845</v>
      </c>
      <c r="W338" s="4">
        <v>35845</v>
      </c>
      <c r="X338" s="3" t="b">
        <v>1</v>
      </c>
      <c r="Y338" s="18">
        <v>12</v>
      </c>
      <c r="Z338" s="18">
        <v>24633</v>
      </c>
      <c r="AA338" s="18">
        <v>10663</v>
      </c>
      <c r="AB338" s="18">
        <v>0</v>
      </c>
      <c r="AC338" s="18">
        <v>537</v>
      </c>
      <c r="AD338" s="18">
        <v>0</v>
      </c>
      <c r="AE338" s="18">
        <v>35845</v>
      </c>
      <c r="AF338" s="4">
        <v>656</v>
      </c>
      <c r="AG338" s="5">
        <v>1.7972110353141009E-2</v>
      </c>
      <c r="AH338" s="18">
        <f t="shared" si="5"/>
        <v>1758</v>
      </c>
      <c r="AI338" s="6">
        <v>0.23607670665847427</v>
      </c>
      <c r="AJ338" s="3">
        <v>0.23599999999999999</v>
      </c>
      <c r="AK338" s="6">
        <v>0.57539126908386096</v>
      </c>
      <c r="AL338" s="25">
        <v>0.57499999999999996</v>
      </c>
      <c r="AM338" s="6">
        <v>0.18541979924411753</v>
      </c>
      <c r="AN338" s="3">
        <v>0.185</v>
      </c>
      <c r="AO338" s="6">
        <v>0.53779227155608866</v>
      </c>
      <c r="AP338" s="6">
        <v>0.1828145639634218</v>
      </c>
      <c r="AQ338" s="6">
        <v>0.183</v>
      </c>
      <c r="AR338" s="6">
        <v>0.54867722706053279</v>
      </c>
      <c r="AS338" s="6">
        <v>0.54800000000000004</v>
      </c>
      <c r="AT338" s="6">
        <v>5.3262142695052472E-2</v>
      </c>
      <c r="AU338" s="6">
        <v>2.6714042023328166E-2</v>
      </c>
      <c r="AV338" s="6">
        <v>2.605235280695728E-3</v>
      </c>
      <c r="AW338" s="6">
        <v>-1.0884955504444127E-2</v>
      </c>
      <c r="AX338" s="7">
        <v>85</v>
      </c>
      <c r="AY338" s="7">
        <v>120</v>
      </c>
      <c r="AZ338" s="7">
        <v>112</v>
      </c>
      <c r="BA338" s="26">
        <v>27</v>
      </c>
      <c r="BB338" s="26">
        <v>-8</v>
      </c>
      <c r="BC338" s="6">
        <v>0.23183391003460208</v>
      </c>
      <c r="BD338" s="6">
        <v>0.23200000000000001</v>
      </c>
      <c r="BE338" s="11">
        <v>0.5881025974792663</v>
      </c>
      <c r="BF338" s="26">
        <v>74</v>
      </c>
      <c r="BG338" s="7">
        <v>38</v>
      </c>
      <c r="BH338" s="7">
        <v>-11</v>
      </c>
    </row>
    <row r="339" spans="2:60" x14ac:dyDescent="0.25">
      <c r="B339" s="3">
        <v>336</v>
      </c>
      <c r="C339" s="3" t="s">
        <v>677</v>
      </c>
      <c r="D339" s="3" t="s">
        <v>678</v>
      </c>
      <c r="E339" s="3" t="s">
        <v>707</v>
      </c>
      <c r="F339" s="3">
        <v>13128</v>
      </c>
      <c r="G339" s="3">
        <v>13</v>
      </c>
      <c r="H339" s="3">
        <v>0.54600000000000004</v>
      </c>
      <c r="I339" s="4">
        <v>143622</v>
      </c>
      <c r="J339" s="4">
        <v>163102</v>
      </c>
      <c r="K339" s="4">
        <v>162854</v>
      </c>
      <c r="L339" s="4">
        <v>-19480</v>
      </c>
      <c r="M339" s="4">
        <v>31889</v>
      </c>
      <c r="N339" s="18">
        <v>1</v>
      </c>
      <c r="O339" s="18">
        <v>28021</v>
      </c>
      <c r="P339" s="18">
        <v>3441</v>
      </c>
      <c r="Q339" s="18">
        <v>0</v>
      </c>
      <c r="R339" s="18">
        <v>426</v>
      </c>
      <c r="S339" s="18">
        <v>0</v>
      </c>
      <c r="T339" s="18">
        <v>31889</v>
      </c>
      <c r="U339" s="18" t="b">
        <v>1</v>
      </c>
      <c r="V339" s="4">
        <v>30900</v>
      </c>
      <c r="W339" s="4">
        <v>30900</v>
      </c>
      <c r="X339" s="3" t="b">
        <v>1</v>
      </c>
      <c r="Y339" s="18">
        <v>12</v>
      </c>
      <c r="Z339" s="18">
        <v>26612</v>
      </c>
      <c r="AA339" s="18">
        <v>3690</v>
      </c>
      <c r="AB339" s="18">
        <v>0</v>
      </c>
      <c r="AC339" s="18">
        <v>586</v>
      </c>
      <c r="AD339" s="18">
        <v>0</v>
      </c>
      <c r="AE339" s="18">
        <v>30900</v>
      </c>
      <c r="AF339" s="4">
        <v>989</v>
      </c>
      <c r="AG339" s="5">
        <v>3.1013829220107248E-2</v>
      </c>
      <c r="AH339" s="18">
        <f t="shared" si="5"/>
        <v>1409</v>
      </c>
      <c r="AI339" s="6">
        <v>0.22203422873932963</v>
      </c>
      <c r="AJ339" s="3">
        <v>0.222</v>
      </c>
      <c r="AK339" s="6">
        <v>0.56091777743029403</v>
      </c>
      <c r="AL339" s="25">
        <v>0.56100000000000005</v>
      </c>
      <c r="AM339" s="6">
        <v>0.19551568956849089</v>
      </c>
      <c r="AN339" s="3">
        <v>0.19600000000000001</v>
      </c>
      <c r="AO339" s="6">
        <v>0.54926120303550452</v>
      </c>
      <c r="AP339" s="6">
        <v>0.18974050376410773</v>
      </c>
      <c r="AQ339" s="6">
        <v>0.19</v>
      </c>
      <c r="AR339" s="6">
        <v>0.55679792164247321</v>
      </c>
      <c r="AS339" s="6">
        <v>0.55700000000000005</v>
      </c>
      <c r="AT339" s="6">
        <v>3.2293724975221899E-2</v>
      </c>
      <c r="AU339" s="6">
        <v>4.1198557878208142E-3</v>
      </c>
      <c r="AV339" s="6">
        <v>5.7751858043831594E-3</v>
      </c>
      <c r="AW339" s="6">
        <v>-7.5367186069686953E-3</v>
      </c>
      <c r="AX339" s="7">
        <v>102</v>
      </c>
      <c r="AY339" s="7">
        <v>111</v>
      </c>
      <c r="AZ339" s="7">
        <v>104</v>
      </c>
      <c r="BA339" s="26">
        <v>2</v>
      </c>
      <c r="BB339" s="26">
        <v>-7</v>
      </c>
      <c r="BC339" s="6">
        <v>0.21514809708818983</v>
      </c>
      <c r="BD339" s="6">
        <v>0.215</v>
      </c>
      <c r="BE339" s="11">
        <v>0.57017745861942426</v>
      </c>
      <c r="BF339" s="7">
        <v>92</v>
      </c>
      <c r="BG339" s="7">
        <v>12</v>
      </c>
      <c r="BH339" s="7">
        <v>-10</v>
      </c>
    </row>
    <row r="340" spans="2:60" x14ac:dyDescent="0.25">
      <c r="B340" s="3">
        <v>337</v>
      </c>
      <c r="C340" s="3" t="s">
        <v>679</v>
      </c>
      <c r="D340" s="3" t="s">
        <v>680</v>
      </c>
      <c r="E340" s="3" t="s">
        <v>707</v>
      </c>
      <c r="F340" s="3">
        <v>13401</v>
      </c>
      <c r="G340" s="3">
        <v>13</v>
      </c>
      <c r="H340" s="3">
        <v>0.53900000000000003</v>
      </c>
      <c r="I340" s="4">
        <v>306371</v>
      </c>
      <c r="J340" s="4">
        <v>348640</v>
      </c>
      <c r="K340" s="4">
        <v>345583</v>
      </c>
      <c r="L340" s="4">
        <v>-42269</v>
      </c>
      <c r="M340" s="4">
        <v>65805</v>
      </c>
      <c r="N340" s="18">
        <v>2</v>
      </c>
      <c r="O340" s="18">
        <v>49590</v>
      </c>
      <c r="P340" s="18">
        <v>15237</v>
      </c>
      <c r="Q340" s="18">
        <v>0</v>
      </c>
      <c r="R340" s="18">
        <v>976</v>
      </c>
      <c r="S340" s="18">
        <v>0</v>
      </c>
      <c r="T340" s="18">
        <v>65805</v>
      </c>
      <c r="U340" s="18" t="b">
        <v>1</v>
      </c>
      <c r="V340" s="4">
        <v>65070</v>
      </c>
      <c r="W340" s="4">
        <v>65070</v>
      </c>
      <c r="X340" s="3" t="b">
        <v>1</v>
      </c>
      <c r="Y340" s="18">
        <v>30</v>
      </c>
      <c r="Z340" s="18">
        <v>47683</v>
      </c>
      <c r="AA340" s="18">
        <v>15976</v>
      </c>
      <c r="AB340" s="18">
        <v>0</v>
      </c>
      <c r="AC340" s="18">
        <v>1381</v>
      </c>
      <c r="AD340" s="18">
        <v>0</v>
      </c>
      <c r="AE340" s="18">
        <v>65070</v>
      </c>
      <c r="AF340" s="4">
        <v>735</v>
      </c>
      <c r="AG340" s="5">
        <v>1.1169364030088899E-2</v>
      </c>
      <c r="AH340" s="18">
        <f t="shared" si="5"/>
        <v>1907</v>
      </c>
      <c r="AI340" s="6">
        <v>0.21478860597119179</v>
      </c>
      <c r="AJ340" s="3">
        <v>0.215</v>
      </c>
      <c r="AK340" s="6">
        <v>0.5534497606555222</v>
      </c>
      <c r="AL340" s="25">
        <v>0.55300000000000005</v>
      </c>
      <c r="AM340" s="6">
        <v>0.18874770536943553</v>
      </c>
      <c r="AN340" s="3">
        <v>0.189</v>
      </c>
      <c r="AO340" s="6">
        <v>0.54157277293782979</v>
      </c>
      <c r="AP340" s="6">
        <v>0.18829051197541546</v>
      </c>
      <c r="AQ340" s="6">
        <v>0.188</v>
      </c>
      <c r="AR340" s="6">
        <v>0.55447772319049027</v>
      </c>
      <c r="AS340" s="6">
        <v>0.55500000000000005</v>
      </c>
      <c r="AT340" s="6">
        <v>2.6498093995776323E-2</v>
      </c>
      <c r="AU340" s="6">
        <v>-1.0279625349680632E-3</v>
      </c>
      <c r="AV340" s="6">
        <v>4.5719339402006121E-4</v>
      </c>
      <c r="AW340" s="6">
        <v>-1.2904950252660474E-2</v>
      </c>
      <c r="AX340" s="7">
        <v>107</v>
      </c>
      <c r="AY340" s="7">
        <v>117</v>
      </c>
      <c r="AZ340" s="7">
        <v>105</v>
      </c>
      <c r="BA340" s="26">
        <v>-2</v>
      </c>
      <c r="BB340" s="26">
        <v>-12</v>
      </c>
      <c r="BC340" s="6">
        <v>0.21238955384158423</v>
      </c>
      <c r="BD340" s="6">
        <v>0.21199999999999999</v>
      </c>
      <c r="BE340" s="11">
        <v>0.56721402669644339</v>
      </c>
      <c r="BF340" s="26">
        <v>93</v>
      </c>
      <c r="BG340" s="7">
        <v>12</v>
      </c>
      <c r="BH340" s="7">
        <v>-14</v>
      </c>
    </row>
    <row r="341" spans="2:60" x14ac:dyDescent="0.25">
      <c r="B341" s="3">
        <v>338</v>
      </c>
      <c r="C341" s="3" t="s">
        <v>681</v>
      </c>
      <c r="D341" s="3" t="s">
        <v>682</v>
      </c>
      <c r="E341" s="3" t="s">
        <v>707</v>
      </c>
      <c r="F341" s="3">
        <v>13129</v>
      </c>
      <c r="G341" s="3">
        <v>13</v>
      </c>
      <c r="H341" s="3">
        <v>0.55600000000000005</v>
      </c>
      <c r="I341" s="4">
        <v>95602</v>
      </c>
      <c r="J341" s="4">
        <v>103118</v>
      </c>
      <c r="K341" s="4">
        <v>103420</v>
      </c>
      <c r="L341" s="4">
        <v>-7516</v>
      </c>
      <c r="M341" s="4">
        <v>24028</v>
      </c>
      <c r="N341" s="18">
        <v>0</v>
      </c>
      <c r="O341" s="18">
        <v>17871</v>
      </c>
      <c r="P341" s="18">
        <v>6016</v>
      </c>
      <c r="Q341" s="18">
        <v>0</v>
      </c>
      <c r="R341" s="18">
        <v>141</v>
      </c>
      <c r="S341" s="18">
        <v>0</v>
      </c>
      <c r="T341" s="18">
        <v>24028</v>
      </c>
      <c r="U341" s="18" t="b">
        <v>1</v>
      </c>
      <c r="V341" s="4">
        <v>23306</v>
      </c>
      <c r="W341" s="4">
        <v>23306</v>
      </c>
      <c r="X341" s="3" t="b">
        <v>1</v>
      </c>
      <c r="Y341" s="18">
        <v>11</v>
      </c>
      <c r="Z341" s="18">
        <v>16754</v>
      </c>
      <c r="AA341" s="18">
        <v>6338</v>
      </c>
      <c r="AB341" s="18">
        <v>0</v>
      </c>
      <c r="AC341" s="18">
        <v>203</v>
      </c>
      <c r="AD341" s="18">
        <v>0</v>
      </c>
      <c r="AE341" s="18">
        <v>23306</v>
      </c>
      <c r="AF341" s="4">
        <v>722</v>
      </c>
      <c r="AG341" s="5">
        <v>3.004827701015482E-2</v>
      </c>
      <c r="AH341" s="18">
        <f t="shared" si="5"/>
        <v>1117</v>
      </c>
      <c r="AI341" s="6">
        <v>0.25133365410765462</v>
      </c>
      <c r="AJ341" s="3">
        <v>0.251</v>
      </c>
      <c r="AK341" s="6">
        <v>0.59111650666914239</v>
      </c>
      <c r="AL341" s="25">
        <v>0.59099999999999997</v>
      </c>
      <c r="AM341" s="6">
        <v>0.23301460462770807</v>
      </c>
      <c r="AN341" s="3">
        <v>0.23300000000000001</v>
      </c>
      <c r="AO341" s="6">
        <v>0.59185997080622055</v>
      </c>
      <c r="AP341" s="6">
        <v>0.22535292980081223</v>
      </c>
      <c r="AQ341" s="6">
        <v>0.22500000000000001</v>
      </c>
      <c r="AR341" s="6">
        <v>0.59740139455217522</v>
      </c>
      <c r="AS341" s="6">
        <v>0.59799999999999998</v>
      </c>
      <c r="AT341" s="6">
        <v>2.5980724306842395E-2</v>
      </c>
      <c r="AU341" s="6">
        <v>-6.2848878830328303E-3</v>
      </c>
      <c r="AV341" s="6">
        <v>7.6616748268958368E-3</v>
      </c>
      <c r="AW341" s="6">
        <v>-5.5414237459546767E-3</v>
      </c>
      <c r="AX341" s="7">
        <v>66</v>
      </c>
      <c r="AY341" s="7">
        <v>66</v>
      </c>
      <c r="AZ341" s="7">
        <v>60</v>
      </c>
      <c r="BA341" s="26">
        <v>-6</v>
      </c>
      <c r="BB341" s="26">
        <v>-6</v>
      </c>
      <c r="BC341" s="6">
        <v>0.24378151084705341</v>
      </c>
      <c r="BD341" s="6">
        <v>0.24399999999999999</v>
      </c>
      <c r="BE341" s="11">
        <v>0.60093759714592632</v>
      </c>
      <c r="BF341" s="7">
        <v>60</v>
      </c>
      <c r="BG341" s="7">
        <v>0</v>
      </c>
      <c r="BH341" s="7">
        <v>-6</v>
      </c>
    </row>
    <row r="342" spans="2:60" x14ac:dyDescent="0.25">
      <c r="B342" s="3">
        <v>339</v>
      </c>
      <c r="C342" s="3" t="s">
        <v>683</v>
      </c>
      <c r="D342" s="3" t="s">
        <v>684</v>
      </c>
      <c r="E342" s="3" t="s">
        <v>707</v>
      </c>
      <c r="F342" s="3">
        <v>13203</v>
      </c>
      <c r="G342" s="3">
        <v>13</v>
      </c>
      <c r="H342" s="3">
        <v>0.41099999999999998</v>
      </c>
      <c r="I342" s="4">
        <v>17441</v>
      </c>
      <c r="J342" s="4">
        <v>19519</v>
      </c>
      <c r="K342" s="4">
        <v>19330</v>
      </c>
      <c r="L342" s="4">
        <v>-2078</v>
      </c>
      <c r="M342" s="4">
        <v>1435</v>
      </c>
      <c r="N342" s="18">
        <v>0</v>
      </c>
      <c r="O342" s="18">
        <v>1277</v>
      </c>
      <c r="P342" s="18">
        <v>14</v>
      </c>
      <c r="Q342" s="18">
        <v>0</v>
      </c>
      <c r="R342" s="18">
        <v>144</v>
      </c>
      <c r="S342" s="18">
        <v>0</v>
      </c>
      <c r="T342" s="18">
        <v>1435</v>
      </c>
      <c r="U342" s="18" t="b">
        <v>1</v>
      </c>
      <c r="V342" s="4">
        <v>1217</v>
      </c>
      <c r="W342" s="4">
        <v>1217</v>
      </c>
      <c r="X342" s="3" t="b">
        <v>1</v>
      </c>
      <c r="Y342" s="18">
        <v>24</v>
      </c>
      <c r="Z342" s="18">
        <v>1086</v>
      </c>
      <c r="AA342" s="18">
        <v>0</v>
      </c>
      <c r="AB342" s="18">
        <v>0</v>
      </c>
      <c r="AC342" s="18">
        <v>107</v>
      </c>
      <c r="AD342" s="18">
        <v>0</v>
      </c>
      <c r="AE342" s="18">
        <v>1217</v>
      </c>
      <c r="AF342" s="4">
        <v>218</v>
      </c>
      <c r="AG342" s="5">
        <v>0.15191637630662022</v>
      </c>
      <c r="AH342" s="18">
        <f t="shared" si="5"/>
        <v>191</v>
      </c>
      <c r="AI342" s="6">
        <v>8.2277392351356005E-2</v>
      </c>
      <c r="AJ342" s="3">
        <v>8.2000000000000003E-2</v>
      </c>
      <c r="AK342" s="6">
        <v>0.41687130524517346</v>
      </c>
      <c r="AL342" s="25">
        <v>0.41699999999999998</v>
      </c>
      <c r="AM342" s="6">
        <v>7.351811055894257E-2</v>
      </c>
      <c r="AN342" s="3">
        <v>7.3999999999999996E-2</v>
      </c>
      <c r="AO342" s="6">
        <v>0.41067195242357446</v>
      </c>
      <c r="AP342" s="6">
        <v>6.2959130884635284E-2</v>
      </c>
      <c r="AQ342" s="6">
        <v>6.3E-2</v>
      </c>
      <c r="AR342" s="6">
        <v>0.40946531994155455</v>
      </c>
      <c r="AS342" s="6">
        <v>0.41</v>
      </c>
      <c r="AT342" s="6">
        <v>1.9318261466720721E-2</v>
      </c>
      <c r="AU342" s="6">
        <v>7.4059853036189116E-3</v>
      </c>
      <c r="AV342" s="6">
        <v>1.0558979674307287E-2</v>
      </c>
      <c r="AW342" s="6">
        <v>1.2066324820199092E-3</v>
      </c>
      <c r="AX342" s="7">
        <v>257</v>
      </c>
      <c r="AY342" s="7">
        <v>268</v>
      </c>
      <c r="AZ342" s="7">
        <v>266</v>
      </c>
      <c r="BA342" s="26">
        <v>9</v>
      </c>
      <c r="BB342" s="26">
        <v>-2</v>
      </c>
      <c r="BC342" s="6">
        <v>6.9778109053379972E-2</v>
      </c>
      <c r="BD342" s="6">
        <v>7.0000000000000007E-2</v>
      </c>
      <c r="BE342" s="11">
        <v>0.41401022661543396</v>
      </c>
      <c r="BF342" s="26">
        <v>253</v>
      </c>
      <c r="BG342" s="7">
        <v>13</v>
      </c>
      <c r="BH342" s="7">
        <v>-4</v>
      </c>
    </row>
    <row r="343" spans="2:60" x14ac:dyDescent="0.25">
      <c r="B343" s="3">
        <v>340</v>
      </c>
      <c r="C343" s="3" t="s">
        <v>685</v>
      </c>
      <c r="D343" s="3" t="s">
        <v>686</v>
      </c>
      <c r="E343" s="3" t="s">
        <v>707</v>
      </c>
      <c r="F343" s="3">
        <v>13130</v>
      </c>
      <c r="G343" s="3">
        <v>13</v>
      </c>
      <c r="H343" s="3">
        <v>0.59599999999999997</v>
      </c>
      <c r="I343" s="4">
        <v>150829</v>
      </c>
      <c r="J343" s="4">
        <v>145424</v>
      </c>
      <c r="K343" s="4">
        <v>142549</v>
      </c>
      <c r="L343" s="4">
        <v>5405</v>
      </c>
      <c r="M343" s="4">
        <v>54001</v>
      </c>
      <c r="N343" s="18">
        <v>4</v>
      </c>
      <c r="O343" s="18">
        <v>38425</v>
      </c>
      <c r="P343" s="18">
        <v>15419</v>
      </c>
      <c r="Q343" s="18">
        <v>0</v>
      </c>
      <c r="R343" s="18">
        <v>153</v>
      </c>
      <c r="S343" s="18">
        <v>0</v>
      </c>
      <c r="T343" s="18">
        <v>54001</v>
      </c>
      <c r="U343" s="18" t="b">
        <v>1</v>
      </c>
      <c r="V343" s="4">
        <v>53305</v>
      </c>
      <c r="W343" s="4">
        <v>53305</v>
      </c>
      <c r="X343" s="3" t="b">
        <v>1</v>
      </c>
      <c r="Y343" s="18">
        <v>22</v>
      </c>
      <c r="Z343" s="18">
        <v>36820</v>
      </c>
      <c r="AA343" s="18">
        <v>16278</v>
      </c>
      <c r="AB343" s="18">
        <v>0</v>
      </c>
      <c r="AC343" s="18">
        <v>184</v>
      </c>
      <c r="AD343" s="18">
        <v>1</v>
      </c>
      <c r="AE343" s="18">
        <v>53305</v>
      </c>
      <c r="AF343" s="4">
        <v>696</v>
      </c>
      <c r="AG343" s="5">
        <v>1.2888650210181292E-2</v>
      </c>
      <c r="AH343" s="18">
        <f t="shared" si="5"/>
        <v>1605</v>
      </c>
      <c r="AI343" s="6">
        <v>0.35802796544431109</v>
      </c>
      <c r="AJ343" s="3">
        <v>0.35799999999999998</v>
      </c>
      <c r="AK343" s="6">
        <v>0.70108564698082754</v>
      </c>
      <c r="AL343" s="25">
        <v>0.70099999999999996</v>
      </c>
      <c r="AM343" s="6">
        <v>0.37133485531961713</v>
      </c>
      <c r="AN343" s="3">
        <v>0.371</v>
      </c>
      <c r="AO343" s="6">
        <v>0.74899177656398586</v>
      </c>
      <c r="AP343" s="6">
        <v>0.37394159201397414</v>
      </c>
      <c r="AQ343" s="6">
        <v>0.374</v>
      </c>
      <c r="AR343" s="6">
        <v>0.77025617922490652</v>
      </c>
      <c r="AS343" s="6">
        <v>0.77</v>
      </c>
      <c r="AT343" s="6">
        <v>-1.5913626569663053E-2</v>
      </c>
      <c r="AU343" s="6">
        <v>-6.9170532244078986E-2</v>
      </c>
      <c r="AV343" s="6">
        <v>-2.6067366943570147E-3</v>
      </c>
      <c r="AW343" s="6">
        <v>-2.1264402660920667E-2</v>
      </c>
      <c r="AX343" s="7">
        <v>11</v>
      </c>
      <c r="AY343" s="7">
        <v>7</v>
      </c>
      <c r="AZ343" s="7">
        <v>4</v>
      </c>
      <c r="BA343" s="26">
        <v>-7</v>
      </c>
      <c r="BB343" s="26">
        <v>-3</v>
      </c>
      <c r="BC343" s="6">
        <v>0.35341346823223652</v>
      </c>
      <c r="BD343" s="6">
        <v>0.35299999999999998</v>
      </c>
      <c r="BE343" s="11">
        <v>0.71871238378155389</v>
      </c>
      <c r="BF343" s="7">
        <v>7</v>
      </c>
      <c r="BG343" s="7">
        <v>-3</v>
      </c>
      <c r="BH343" s="7">
        <v>-4</v>
      </c>
    </row>
    <row r="344" spans="2:60" x14ac:dyDescent="0.25">
      <c r="B344" s="3">
        <v>341</v>
      </c>
      <c r="C344" s="3" t="s">
        <v>687</v>
      </c>
      <c r="D344" s="3" t="s">
        <v>688</v>
      </c>
      <c r="E344" s="3" t="s">
        <v>707</v>
      </c>
      <c r="F344" s="3">
        <v>13505</v>
      </c>
      <c r="G344" s="3">
        <v>13</v>
      </c>
      <c r="H344" s="3">
        <v>0.41899999999999998</v>
      </c>
      <c r="I344" s="4">
        <v>11108</v>
      </c>
      <c r="J344" s="4">
        <v>12544</v>
      </c>
      <c r="K344" s="4">
        <v>12412</v>
      </c>
      <c r="L344" s="4">
        <v>-1436</v>
      </c>
      <c r="M344" s="4">
        <v>509</v>
      </c>
      <c r="N344" s="18">
        <v>0</v>
      </c>
      <c r="O344" s="18">
        <v>352</v>
      </c>
      <c r="P344" s="18">
        <v>0</v>
      </c>
      <c r="Q344" s="18">
        <v>0</v>
      </c>
      <c r="R344" s="18">
        <v>157</v>
      </c>
      <c r="S344" s="18">
        <v>0</v>
      </c>
      <c r="T344" s="18">
        <v>509</v>
      </c>
      <c r="U344" s="18" t="b">
        <v>1</v>
      </c>
      <c r="V344" s="4">
        <v>475</v>
      </c>
      <c r="W344" s="4">
        <v>475</v>
      </c>
      <c r="X344" s="3" t="b">
        <v>1</v>
      </c>
      <c r="Y344" s="18">
        <v>0</v>
      </c>
      <c r="Z344" s="18">
        <v>336</v>
      </c>
      <c r="AA344" s="18">
        <v>0</v>
      </c>
      <c r="AB344" s="18">
        <v>0</v>
      </c>
      <c r="AC344" s="18">
        <v>139</v>
      </c>
      <c r="AD344" s="18">
        <v>0</v>
      </c>
      <c r="AE344" s="18">
        <v>475</v>
      </c>
      <c r="AF344" s="4">
        <v>34</v>
      </c>
      <c r="AG344" s="5">
        <v>6.6797642436149315E-2</v>
      </c>
      <c r="AH344" s="18">
        <f t="shared" si="5"/>
        <v>16</v>
      </c>
      <c r="AI344" s="6">
        <v>4.5822830392509901E-2</v>
      </c>
      <c r="AJ344" s="3">
        <v>4.5999999999999999E-2</v>
      </c>
      <c r="AK344" s="6">
        <v>0.37929782275270946</v>
      </c>
      <c r="AL344" s="25">
        <v>0.379</v>
      </c>
      <c r="AM344" s="6">
        <v>4.0577168367346941E-2</v>
      </c>
      <c r="AN344" s="3">
        <v>4.1000000000000002E-2</v>
      </c>
      <c r="AO344" s="6">
        <v>0.37325104186249819</v>
      </c>
      <c r="AP344" s="6">
        <v>3.82694166935224E-2</v>
      </c>
      <c r="AQ344" s="6">
        <v>3.7999999999999999E-2</v>
      </c>
      <c r="AR344" s="6">
        <v>0.38046283929176744</v>
      </c>
      <c r="AS344" s="6">
        <v>0.38100000000000001</v>
      </c>
      <c r="AT344" s="6">
        <v>7.5534136989875017E-3</v>
      </c>
      <c r="AU344" s="6">
        <v>-1.1650165390579836E-3</v>
      </c>
      <c r="AV344" s="6">
        <v>2.3077516738245415E-3</v>
      </c>
      <c r="AW344" s="6">
        <v>-7.211797429269251E-3</v>
      </c>
      <c r="AX344" s="7">
        <v>309</v>
      </c>
      <c r="AY344" s="7">
        <v>312</v>
      </c>
      <c r="AZ344" s="7">
        <v>303</v>
      </c>
      <c r="BA344" s="26">
        <v>-6</v>
      </c>
      <c r="BB344" s="26">
        <v>-9</v>
      </c>
      <c r="BC344" s="6">
        <v>4.2761973352538708E-2</v>
      </c>
      <c r="BD344" s="6">
        <v>4.2999999999999997E-2</v>
      </c>
      <c r="BE344" s="11">
        <v>0.38498748822988571</v>
      </c>
      <c r="BF344" s="26">
        <v>303</v>
      </c>
      <c r="BG344" s="7">
        <v>0</v>
      </c>
      <c r="BH344" s="7">
        <v>-6</v>
      </c>
    </row>
    <row r="345" spans="2:60" x14ac:dyDescent="0.25">
      <c r="B345" s="3">
        <v>342</v>
      </c>
      <c r="C345" s="3" t="s">
        <v>689</v>
      </c>
      <c r="D345" s="3" t="s">
        <v>690</v>
      </c>
      <c r="E345" s="3" t="s">
        <v>707</v>
      </c>
      <c r="F345" s="3">
        <v>13131</v>
      </c>
      <c r="G345" s="3">
        <v>13</v>
      </c>
      <c r="H345" s="3">
        <v>0.54600000000000004</v>
      </c>
      <c r="I345" s="4">
        <v>76002</v>
      </c>
      <c r="J345" s="4">
        <v>83695</v>
      </c>
      <c r="K345" s="4">
        <v>84495</v>
      </c>
      <c r="L345" s="4">
        <v>-7693</v>
      </c>
      <c r="M345" s="4">
        <v>14512</v>
      </c>
      <c r="N345" s="18">
        <v>0</v>
      </c>
      <c r="O345" s="18">
        <v>12288</v>
      </c>
      <c r="P345" s="18">
        <v>2013</v>
      </c>
      <c r="Q345" s="18">
        <v>0</v>
      </c>
      <c r="R345" s="18">
        <v>211</v>
      </c>
      <c r="S345" s="18">
        <v>0</v>
      </c>
      <c r="T345" s="18">
        <v>14512</v>
      </c>
      <c r="U345" s="18" t="b">
        <v>1</v>
      </c>
      <c r="V345" s="4">
        <v>13997</v>
      </c>
      <c r="W345" s="4">
        <v>13997</v>
      </c>
      <c r="X345" s="3" t="b">
        <v>1</v>
      </c>
      <c r="Y345" s="18">
        <v>6</v>
      </c>
      <c r="Z345" s="18">
        <v>12102</v>
      </c>
      <c r="AA345" s="18">
        <v>1582</v>
      </c>
      <c r="AB345" s="18">
        <v>0</v>
      </c>
      <c r="AC345" s="18">
        <v>307</v>
      </c>
      <c r="AD345" s="18">
        <v>0</v>
      </c>
      <c r="AE345" s="18">
        <v>13997</v>
      </c>
      <c r="AF345" s="4">
        <v>515</v>
      </c>
      <c r="AG345" s="5">
        <v>3.5487872105843442E-2</v>
      </c>
      <c r="AH345" s="18">
        <f t="shared" si="5"/>
        <v>186</v>
      </c>
      <c r="AI345" s="6">
        <v>0.19094234362253626</v>
      </c>
      <c r="AJ345" s="3">
        <v>0.191</v>
      </c>
      <c r="AK345" s="6">
        <v>0.52887157145990382</v>
      </c>
      <c r="AL345" s="25">
        <v>0.52900000000000003</v>
      </c>
      <c r="AM345" s="6">
        <v>0.173391480972579</v>
      </c>
      <c r="AN345" s="3">
        <v>0.17299999999999999</v>
      </c>
      <c r="AO345" s="6">
        <v>0.52412810191511694</v>
      </c>
      <c r="AP345" s="6">
        <v>0.1656547724717439</v>
      </c>
      <c r="AQ345" s="6">
        <v>0.16600000000000001</v>
      </c>
      <c r="AR345" s="6">
        <v>0.52895554021867752</v>
      </c>
      <c r="AS345" s="6">
        <v>0.52900000000000003</v>
      </c>
      <c r="AT345" s="6">
        <v>2.528757115079236E-2</v>
      </c>
      <c r="AU345" s="6">
        <v>-8.3968758773700358E-5</v>
      </c>
      <c r="AV345" s="6">
        <v>7.7367085008351044E-3</v>
      </c>
      <c r="AW345" s="6">
        <v>-4.8274383035605828E-3</v>
      </c>
      <c r="AX345" s="7">
        <v>128</v>
      </c>
      <c r="AY345" s="7">
        <v>133</v>
      </c>
      <c r="AZ345" s="7">
        <v>128</v>
      </c>
      <c r="BA345" s="26">
        <v>0</v>
      </c>
      <c r="BB345" s="26">
        <v>-5</v>
      </c>
      <c r="BC345" s="6">
        <v>0.18416620615246967</v>
      </c>
      <c r="BD345" s="6">
        <v>0.184</v>
      </c>
      <c r="BE345" s="11">
        <v>0.53689441158139084</v>
      </c>
      <c r="BF345" s="7">
        <v>118</v>
      </c>
      <c r="BG345" s="7">
        <v>10</v>
      </c>
      <c r="BH345" s="7">
        <v>-10</v>
      </c>
    </row>
    <row r="346" spans="2:60" x14ac:dyDescent="0.25">
      <c r="B346" s="3">
        <v>343</v>
      </c>
      <c r="C346" s="3" t="s">
        <v>691</v>
      </c>
      <c r="D346" s="3" t="s">
        <v>692</v>
      </c>
      <c r="E346" s="3" t="s">
        <v>707</v>
      </c>
      <c r="F346" s="3">
        <v>13101</v>
      </c>
      <c r="G346" s="3">
        <v>13</v>
      </c>
      <c r="H346" s="3">
        <v>0.56000000000000005</v>
      </c>
      <c r="I346" s="4">
        <v>438856</v>
      </c>
      <c r="J346" s="4">
        <v>544388</v>
      </c>
      <c r="K346" s="4">
        <v>536089</v>
      </c>
      <c r="L346" s="4">
        <v>-105532</v>
      </c>
      <c r="M346" s="4">
        <v>149879</v>
      </c>
      <c r="N346" s="18">
        <v>101</v>
      </c>
      <c r="O346" s="18">
        <v>114029</v>
      </c>
      <c r="P346" s="18">
        <v>32232</v>
      </c>
      <c r="Q346" s="18">
        <v>846</v>
      </c>
      <c r="R346" s="18">
        <v>2671</v>
      </c>
      <c r="S346" s="18">
        <v>0</v>
      </c>
      <c r="T346" s="18">
        <v>149879</v>
      </c>
      <c r="U346" s="18" t="b">
        <v>1</v>
      </c>
      <c r="V346" s="4">
        <v>147549</v>
      </c>
      <c r="W346" s="4">
        <v>147549</v>
      </c>
      <c r="X346" s="3" t="b">
        <v>1</v>
      </c>
      <c r="Y346" s="18">
        <v>1464</v>
      </c>
      <c r="Z346" s="18">
        <v>107239</v>
      </c>
      <c r="AA346" s="18">
        <v>33979</v>
      </c>
      <c r="AB346" s="18">
        <v>1192</v>
      </c>
      <c r="AC346" s="18">
        <v>3675</v>
      </c>
      <c r="AD346" s="18">
        <v>0</v>
      </c>
      <c r="AE346" s="18">
        <v>147549</v>
      </c>
      <c r="AF346" s="4">
        <v>2330</v>
      </c>
      <c r="AG346" s="5">
        <v>1.5545873671428286E-2</v>
      </c>
      <c r="AH346" s="18">
        <f t="shared" si="5"/>
        <v>6790</v>
      </c>
      <c r="AI346" s="6">
        <v>0.34152204823450061</v>
      </c>
      <c r="AJ346" s="3">
        <v>0.34200000000000003</v>
      </c>
      <c r="AK346" s="6">
        <v>0.68407310429810353</v>
      </c>
      <c r="AL346" s="25">
        <v>0.68400000000000005</v>
      </c>
      <c r="AM346" s="6">
        <v>0.2753165022006363</v>
      </c>
      <c r="AN346" s="3">
        <v>0.27500000000000002</v>
      </c>
      <c r="AO346" s="6">
        <v>0.63991492674625527</v>
      </c>
      <c r="AP346" s="6">
        <v>0.27523228419161744</v>
      </c>
      <c r="AQ346" s="6">
        <v>0.27500000000000002</v>
      </c>
      <c r="AR346" s="6">
        <v>0.65540635585174944</v>
      </c>
      <c r="AS346" s="6">
        <v>0.65600000000000003</v>
      </c>
      <c r="AT346" s="6">
        <v>6.628976404288317E-2</v>
      </c>
      <c r="AU346" s="6">
        <v>2.8666748446354084E-2</v>
      </c>
      <c r="AV346" s="6">
        <v>8.4218009018866002E-5</v>
      </c>
      <c r="AW346" s="6">
        <v>-1.549142910549417E-2</v>
      </c>
      <c r="AX346" s="7">
        <v>12</v>
      </c>
      <c r="AY346" s="7">
        <v>32</v>
      </c>
      <c r="AZ346" s="7">
        <v>23</v>
      </c>
      <c r="BA346" s="26">
        <v>11</v>
      </c>
      <c r="BB346" s="26">
        <v>-9</v>
      </c>
      <c r="BC346" s="6">
        <v>0.33621278961663964</v>
      </c>
      <c r="BD346" s="6">
        <v>0.33600000000000002</v>
      </c>
      <c r="BE346" s="11">
        <v>0.70023413800124357</v>
      </c>
      <c r="BF346" s="26">
        <v>10</v>
      </c>
      <c r="BG346" s="7">
        <v>13</v>
      </c>
      <c r="BH346" s="7">
        <v>-2</v>
      </c>
    </row>
    <row r="347" spans="2:60" x14ac:dyDescent="0.25">
      <c r="B347" s="3">
        <v>344</v>
      </c>
      <c r="C347" s="3" t="s">
        <v>693</v>
      </c>
      <c r="D347" s="3" t="s">
        <v>694</v>
      </c>
      <c r="E347" s="3" t="s">
        <v>707</v>
      </c>
      <c r="F347" s="3">
        <v>13601</v>
      </c>
      <c r="G347" s="3">
        <v>13</v>
      </c>
      <c r="H347" s="3">
        <v>0.51900000000000002</v>
      </c>
      <c r="I347" s="4">
        <v>76429</v>
      </c>
      <c r="J347" s="4">
        <v>85514</v>
      </c>
      <c r="K347" s="4">
        <v>84670</v>
      </c>
      <c r="L347" s="4">
        <v>-9085</v>
      </c>
      <c r="M347" s="4">
        <v>15251</v>
      </c>
      <c r="N347" s="18">
        <v>1</v>
      </c>
      <c r="O347" s="18">
        <v>13008</v>
      </c>
      <c r="P347" s="18">
        <v>1698</v>
      </c>
      <c r="Q347" s="18">
        <v>0</v>
      </c>
      <c r="R347" s="18">
        <v>544</v>
      </c>
      <c r="S347" s="18">
        <v>0</v>
      </c>
      <c r="T347" s="18">
        <v>15251</v>
      </c>
      <c r="U347" s="18" t="b">
        <v>1</v>
      </c>
      <c r="V347" s="4">
        <v>14901</v>
      </c>
      <c r="W347" s="4">
        <v>14901</v>
      </c>
      <c r="X347" s="3" t="b">
        <v>1</v>
      </c>
      <c r="Y347" s="18">
        <v>17</v>
      </c>
      <c r="Z347" s="18">
        <v>12350</v>
      </c>
      <c r="AA347" s="18">
        <v>1955</v>
      </c>
      <c r="AB347" s="18">
        <v>0</v>
      </c>
      <c r="AC347" s="18">
        <v>579</v>
      </c>
      <c r="AD347" s="18">
        <v>0</v>
      </c>
      <c r="AE347" s="18">
        <v>14901</v>
      </c>
      <c r="AF347" s="4">
        <v>350</v>
      </c>
      <c r="AG347" s="5">
        <v>2.294931479902957E-2</v>
      </c>
      <c r="AH347" s="18">
        <f t="shared" si="5"/>
        <v>658</v>
      </c>
      <c r="AI347" s="6">
        <v>0.19954467545041804</v>
      </c>
      <c r="AJ347" s="3">
        <v>0.2</v>
      </c>
      <c r="AK347" s="6">
        <v>0.53773793953460913</v>
      </c>
      <c r="AL347" s="25">
        <v>0.53800000000000003</v>
      </c>
      <c r="AM347" s="6">
        <v>0.17834506630493252</v>
      </c>
      <c r="AN347" s="3">
        <v>0.17799999999999999</v>
      </c>
      <c r="AO347" s="6">
        <v>0.52975537488747149</v>
      </c>
      <c r="AP347" s="6">
        <v>0.17598913428605173</v>
      </c>
      <c r="AQ347" s="6">
        <v>0.17599999999999999</v>
      </c>
      <c r="AR347" s="6">
        <v>0.54055653247859237</v>
      </c>
      <c r="AS347" s="6">
        <v>0.54100000000000004</v>
      </c>
      <c r="AT347" s="6">
        <v>2.3555541164366312E-2</v>
      </c>
      <c r="AU347" s="6">
        <v>-2.8185929439832336E-3</v>
      </c>
      <c r="AV347" s="6">
        <v>2.3559320188807908E-3</v>
      </c>
      <c r="AW347" s="6">
        <v>-1.080115759112088E-2</v>
      </c>
      <c r="AX347" s="7">
        <v>118</v>
      </c>
      <c r="AY347" s="7">
        <v>130</v>
      </c>
      <c r="AZ347" s="7">
        <v>121</v>
      </c>
      <c r="BA347" s="26">
        <v>3</v>
      </c>
      <c r="BB347" s="26">
        <v>-9</v>
      </c>
      <c r="BC347" s="6">
        <v>0.19496526187703619</v>
      </c>
      <c r="BD347" s="6">
        <v>0.19500000000000001</v>
      </c>
      <c r="BE347" s="11">
        <v>0.5484955588578051</v>
      </c>
      <c r="BF347" s="7">
        <v>112</v>
      </c>
      <c r="BG347" s="7">
        <v>9</v>
      </c>
      <c r="BH347" s="7">
        <v>-6</v>
      </c>
    </row>
    <row r="348" spans="2:60" x14ac:dyDescent="0.25">
      <c r="B348" s="3">
        <v>345</v>
      </c>
      <c r="C348" s="3" t="s">
        <v>695</v>
      </c>
      <c r="D348" s="3" t="s">
        <v>696</v>
      </c>
      <c r="E348" s="3" t="s">
        <v>707</v>
      </c>
      <c r="F348" s="3">
        <v>13303</v>
      </c>
      <c r="G348" s="3">
        <v>13</v>
      </c>
      <c r="H348" s="3">
        <v>0.39400000000000002</v>
      </c>
      <c r="I348" s="4">
        <v>19742</v>
      </c>
      <c r="J348" s="4">
        <v>22482</v>
      </c>
      <c r="K348" s="4">
        <v>22262</v>
      </c>
      <c r="L348" s="4">
        <v>-2740</v>
      </c>
      <c r="M348" s="4">
        <v>3388</v>
      </c>
      <c r="N348" s="18">
        <v>0</v>
      </c>
      <c r="O348" s="18">
        <v>3184</v>
      </c>
      <c r="P348" s="18">
        <v>0</v>
      </c>
      <c r="Q348" s="18">
        <v>0</v>
      </c>
      <c r="R348" s="18">
        <v>204</v>
      </c>
      <c r="S348" s="18">
        <v>0</v>
      </c>
      <c r="T348" s="18">
        <v>3388</v>
      </c>
      <c r="U348" s="18" t="b">
        <v>1</v>
      </c>
      <c r="V348" s="4">
        <v>2908</v>
      </c>
      <c r="W348" s="4">
        <v>2908</v>
      </c>
      <c r="X348" s="3" t="b">
        <v>1</v>
      </c>
      <c r="Y348" s="18">
        <v>0</v>
      </c>
      <c r="Z348" s="18">
        <v>2777</v>
      </c>
      <c r="AA348" s="18">
        <v>5</v>
      </c>
      <c r="AB348" s="18">
        <v>0</v>
      </c>
      <c r="AC348" s="18">
        <v>126</v>
      </c>
      <c r="AD348" s="18">
        <v>0</v>
      </c>
      <c r="AE348" s="18">
        <v>2908</v>
      </c>
      <c r="AF348" s="4">
        <v>480</v>
      </c>
      <c r="AG348" s="5">
        <v>0.14167650531286896</v>
      </c>
      <c r="AH348" s="18">
        <f t="shared" si="5"/>
        <v>407</v>
      </c>
      <c r="AI348" s="6">
        <v>0.1716138182554959</v>
      </c>
      <c r="AJ348" s="3">
        <v>0.17199999999999999</v>
      </c>
      <c r="AK348" s="6">
        <v>0.50894978470785068</v>
      </c>
      <c r="AL348" s="25">
        <v>0.50900000000000001</v>
      </c>
      <c r="AM348" s="6">
        <v>0.15069833644693534</v>
      </c>
      <c r="AN348" s="3">
        <v>0.151</v>
      </c>
      <c r="AO348" s="6">
        <v>0.49834868957455708</v>
      </c>
      <c r="AP348" s="6">
        <v>0.13062617913934058</v>
      </c>
      <c r="AQ348" s="6">
        <v>0.13100000000000001</v>
      </c>
      <c r="AR348" s="6">
        <v>0.48835206730897557</v>
      </c>
      <c r="AS348" s="6">
        <v>0.48799999999999999</v>
      </c>
      <c r="AT348" s="6">
        <v>4.0987639116155328E-2</v>
      </c>
      <c r="AU348" s="6">
        <v>2.0597717398875115E-2</v>
      </c>
      <c r="AV348" s="6">
        <v>2.0072157307594762E-2</v>
      </c>
      <c r="AW348" s="6">
        <v>9.9966222655815118E-3</v>
      </c>
      <c r="AX348" s="7">
        <v>152</v>
      </c>
      <c r="AY348" s="7">
        <v>166</v>
      </c>
      <c r="AZ348" s="7">
        <v>176</v>
      </c>
      <c r="BA348" s="26">
        <v>24</v>
      </c>
      <c r="BB348" s="26">
        <v>10</v>
      </c>
      <c r="BC348" s="6">
        <v>0.14730017222165942</v>
      </c>
      <c r="BD348" s="6">
        <v>0.14699999999999999</v>
      </c>
      <c r="BE348" s="11">
        <v>0.49729018135636527</v>
      </c>
      <c r="BF348" s="26">
        <v>164</v>
      </c>
      <c r="BG348" s="7">
        <v>12</v>
      </c>
      <c r="BH348" s="7">
        <v>12</v>
      </c>
    </row>
    <row r="349" spans="2:60" x14ac:dyDescent="0.25">
      <c r="B349" s="3">
        <v>346</v>
      </c>
      <c r="C349" s="3" t="s">
        <v>697</v>
      </c>
      <c r="D349" s="3" t="s">
        <v>698</v>
      </c>
      <c r="E349" s="3" t="s">
        <v>707</v>
      </c>
      <c r="F349" s="3">
        <v>13132</v>
      </c>
      <c r="G349" s="3">
        <v>13</v>
      </c>
      <c r="H349" s="3">
        <v>0.63700000000000001</v>
      </c>
      <c r="I349" s="4">
        <v>86420</v>
      </c>
      <c r="J349" s="4">
        <v>97049</v>
      </c>
      <c r="K349" s="4">
        <v>97388</v>
      </c>
      <c r="L349" s="4">
        <v>-10629</v>
      </c>
      <c r="M349" s="4">
        <v>31105</v>
      </c>
      <c r="N349" s="18">
        <v>31</v>
      </c>
      <c r="O349" s="18">
        <v>19399</v>
      </c>
      <c r="P349" s="18">
        <v>11324</v>
      </c>
      <c r="Q349" s="18">
        <v>0</v>
      </c>
      <c r="R349" s="18">
        <v>351</v>
      </c>
      <c r="S349" s="18">
        <v>0</v>
      </c>
      <c r="T349" s="18">
        <v>31105</v>
      </c>
      <c r="U349" s="18" t="b">
        <v>1</v>
      </c>
      <c r="V349" s="4">
        <v>30475</v>
      </c>
      <c r="W349" s="4">
        <v>30475</v>
      </c>
      <c r="X349" s="3" t="b">
        <v>1</v>
      </c>
      <c r="Y349" s="18">
        <v>94</v>
      </c>
      <c r="Z349" s="18">
        <v>18154</v>
      </c>
      <c r="AA349" s="18">
        <v>11957</v>
      </c>
      <c r="AB349" s="18">
        <v>0</v>
      </c>
      <c r="AC349" s="18">
        <v>270</v>
      </c>
      <c r="AD349" s="18">
        <v>0</v>
      </c>
      <c r="AE349" s="18">
        <v>30475</v>
      </c>
      <c r="AF349" s="4">
        <v>630</v>
      </c>
      <c r="AG349" s="5">
        <v>2.0253978460054653E-2</v>
      </c>
      <c r="AH349" s="18">
        <f>O349-Z349</f>
        <v>1245</v>
      </c>
      <c r="AI349" s="6">
        <v>0.35992825734783612</v>
      </c>
      <c r="AJ349" s="3">
        <v>0.36</v>
      </c>
      <c r="AK349" s="6">
        <v>0.70304426562088351</v>
      </c>
      <c r="AL349" s="25">
        <v>0.70299999999999996</v>
      </c>
      <c r="AM349" s="6">
        <v>0.32050819689023069</v>
      </c>
      <c r="AN349" s="3">
        <v>0.32100000000000001</v>
      </c>
      <c r="AO349" s="6">
        <v>0.69125269223112473</v>
      </c>
      <c r="AP349" s="6">
        <v>0.31292356347804656</v>
      </c>
      <c r="AQ349" s="6">
        <v>0.313</v>
      </c>
      <c r="AR349" s="6">
        <v>0.69949012643942587</v>
      </c>
      <c r="AS349" s="6">
        <v>0.69899999999999995</v>
      </c>
      <c r="AT349" s="6">
        <v>4.700469386978956E-2</v>
      </c>
      <c r="AU349" s="6">
        <v>3.5541391814576384E-3</v>
      </c>
      <c r="AV349" s="6">
        <v>7.5846334121841275E-3</v>
      </c>
      <c r="AW349" s="6">
        <v>-8.237434208301142E-3</v>
      </c>
      <c r="AX349" s="7">
        <v>9</v>
      </c>
      <c r="AY349" s="7">
        <v>15</v>
      </c>
      <c r="AZ349" s="7">
        <v>12</v>
      </c>
      <c r="BA349" s="26">
        <v>3</v>
      </c>
      <c r="BB349" s="26">
        <v>-3</v>
      </c>
      <c r="BC349" s="6">
        <v>0.35263827817634807</v>
      </c>
      <c r="BD349" s="6">
        <v>0.35299999999999998</v>
      </c>
      <c r="BE349" s="11">
        <v>0.71787961708093251</v>
      </c>
      <c r="BF349" s="7">
        <v>8</v>
      </c>
      <c r="BG349" s="7">
        <v>4</v>
      </c>
      <c r="BH349" s="7">
        <v>-1</v>
      </c>
    </row>
  </sheetData>
  <autoFilter ref="B3:BH349" xr:uid="{5095020F-81DD-4F3F-BFB2-8724B4A0917A}">
    <sortState xmlns:xlrd2="http://schemas.microsoft.com/office/spreadsheetml/2017/richdata2" ref="B4:BH349">
      <sortCondition ref="B4:B349"/>
    </sortState>
  </autoFilter>
  <sortState xmlns:xlrd2="http://schemas.microsoft.com/office/spreadsheetml/2017/richdata2" ref="B4:BF349">
    <sortCondition ref="B4:B349"/>
  </sortState>
  <mergeCells count="9">
    <mergeCell ref="C2:G2"/>
    <mergeCell ref="I2:L2"/>
    <mergeCell ref="AF2:AH2"/>
    <mergeCell ref="BC2:BH2"/>
    <mergeCell ref="AI2:AO2"/>
    <mergeCell ref="AP2:AS2"/>
    <mergeCell ref="AT2:BB2"/>
    <mergeCell ref="M2:U2"/>
    <mergeCell ref="V2:AE2"/>
  </mergeCells>
  <conditionalFormatting sqref="L4:L34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:AF34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G34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:AH3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:AT34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34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:AV34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:AW3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:BA349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B4:BB349"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D44D-8068-4D5B-B5DD-04A4FE0716F8}">
  <dimension ref="B2:W651"/>
  <sheetViews>
    <sheetView showGridLines="0" zoomScale="80" zoomScaleNormal="80" workbookViewId="0">
      <selection activeCell="Q21" sqref="Q21:W30"/>
    </sheetView>
  </sheetViews>
  <sheetFormatPr baseColWidth="10" defaultRowHeight="15" x14ac:dyDescent="0.25"/>
  <cols>
    <col min="2" max="2" width="4" style="1" customWidth="1"/>
    <col min="3" max="3" width="23.140625" style="1" customWidth="1"/>
    <col min="4" max="4" width="8.7109375" style="1" customWidth="1"/>
    <col min="5" max="5" width="11.42578125" style="1"/>
    <col min="6" max="6" width="6.7109375" style="1" customWidth="1"/>
    <col min="7" max="7" width="5.42578125" style="1" customWidth="1"/>
    <col min="8" max="8" width="7" style="1" customWidth="1"/>
    <col min="9" max="15" width="9" style="1" customWidth="1"/>
    <col min="17" max="17" width="23.28515625" customWidth="1"/>
    <col min="18" max="18" width="11.7109375" bestFit="1" customWidth="1"/>
  </cols>
  <sheetData>
    <row r="2" spans="2:23" ht="15.75" thickBot="1" x14ac:dyDescent="0.3"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2:23" ht="68.25" thickBot="1" x14ac:dyDescent="0.3">
      <c r="B3" s="8" t="s">
        <v>701</v>
      </c>
      <c r="C3" s="8" t="s">
        <v>0</v>
      </c>
      <c r="D3" s="8" t="s">
        <v>1</v>
      </c>
      <c r="E3" s="8" t="s">
        <v>2</v>
      </c>
      <c r="F3" s="8" t="s">
        <v>700</v>
      </c>
      <c r="G3" s="8" t="s">
        <v>699</v>
      </c>
      <c r="H3" s="8" t="s">
        <v>728</v>
      </c>
      <c r="I3" s="9" t="s">
        <v>709</v>
      </c>
      <c r="J3" s="9" t="s">
        <v>708</v>
      </c>
      <c r="K3" s="9" t="s">
        <v>725</v>
      </c>
      <c r="L3" s="9" t="s">
        <v>717</v>
      </c>
      <c r="M3" s="9" t="s">
        <v>716</v>
      </c>
      <c r="N3" s="9" t="s">
        <v>722</v>
      </c>
      <c r="O3" s="9" t="s">
        <v>736</v>
      </c>
      <c r="Q3" s="13" t="s">
        <v>701</v>
      </c>
      <c r="R3" s="14" t="s">
        <v>0</v>
      </c>
      <c r="S3" s="14" t="s">
        <v>729</v>
      </c>
      <c r="T3" s="14" t="s">
        <v>2</v>
      </c>
      <c r="U3" s="14" t="s">
        <v>730</v>
      </c>
      <c r="V3" s="14" t="s">
        <v>731</v>
      </c>
      <c r="W3" s="14" t="s">
        <v>732</v>
      </c>
    </row>
    <row r="4" spans="2:23" x14ac:dyDescent="0.25">
      <c r="B4" s="3">
        <v>290</v>
      </c>
      <c r="C4" s="3" t="s">
        <v>587</v>
      </c>
      <c r="D4" s="3" t="s">
        <v>588</v>
      </c>
      <c r="E4" s="3" t="s">
        <v>706</v>
      </c>
      <c r="F4" s="3">
        <v>12103</v>
      </c>
      <c r="G4" s="3">
        <v>12</v>
      </c>
      <c r="H4" s="3"/>
      <c r="I4" s="6">
        <v>0.34217336514382035</v>
      </c>
      <c r="J4" s="6">
        <v>0.34217956483404843</v>
      </c>
      <c r="K4" s="11">
        <v>0.34958150251772402</v>
      </c>
      <c r="L4" s="7">
        <v>345</v>
      </c>
      <c r="M4" s="7">
        <v>344</v>
      </c>
      <c r="N4" s="7">
        <v>343</v>
      </c>
      <c r="O4" s="7">
        <f t="shared" ref="O4:O67" si="0">N4-L4</f>
        <v>-2</v>
      </c>
      <c r="Q4" s="3">
        <v>45</v>
      </c>
      <c r="R4" s="3" t="s">
        <v>93</v>
      </c>
      <c r="S4" s="3" t="s">
        <v>94</v>
      </c>
      <c r="T4" s="3" t="s">
        <v>95</v>
      </c>
      <c r="U4" s="7">
        <v>2</v>
      </c>
      <c r="V4" s="7">
        <v>2</v>
      </c>
      <c r="W4" s="7">
        <f>V4-U4</f>
        <v>0</v>
      </c>
    </row>
    <row r="5" spans="2:23" x14ac:dyDescent="0.25">
      <c r="B5" s="3">
        <v>42</v>
      </c>
      <c r="C5" s="3" t="s">
        <v>87</v>
      </c>
      <c r="D5" s="3" t="s">
        <v>88</v>
      </c>
      <c r="E5" s="3" t="s">
        <v>65</v>
      </c>
      <c r="F5" s="3">
        <v>4305</v>
      </c>
      <c r="G5" s="3">
        <v>4</v>
      </c>
      <c r="H5" s="3"/>
      <c r="I5" s="6">
        <v>0.34348368343095387</v>
      </c>
      <c r="J5" s="6">
        <v>0.34565986251202285</v>
      </c>
      <c r="K5" s="11">
        <v>0.34722915524326647</v>
      </c>
      <c r="L5" s="7">
        <v>344</v>
      </c>
      <c r="M5" s="7">
        <v>342</v>
      </c>
      <c r="N5" s="7">
        <v>344</v>
      </c>
      <c r="O5" s="7">
        <f t="shared" si="0"/>
        <v>0</v>
      </c>
      <c r="Q5" s="3">
        <v>330</v>
      </c>
      <c r="R5" s="3" t="s">
        <v>665</v>
      </c>
      <c r="S5" s="3" t="s">
        <v>666</v>
      </c>
      <c r="T5" s="3" t="s">
        <v>707</v>
      </c>
      <c r="U5" s="7">
        <v>3</v>
      </c>
      <c r="V5" s="7">
        <v>1</v>
      </c>
      <c r="W5" s="7">
        <f t="shared" ref="W5:W13" si="1">V5-U5</f>
        <v>-2</v>
      </c>
    </row>
    <row r="6" spans="2:23" x14ac:dyDescent="0.25">
      <c r="B6" s="3">
        <v>272</v>
      </c>
      <c r="C6" s="3" t="s">
        <v>552</v>
      </c>
      <c r="D6" s="3" t="s">
        <v>553</v>
      </c>
      <c r="E6" s="3" t="s">
        <v>482</v>
      </c>
      <c r="F6" s="3">
        <v>10306</v>
      </c>
      <c r="G6" s="3">
        <v>10</v>
      </c>
      <c r="H6" s="3"/>
      <c r="I6" s="6">
        <v>0.34505823427149707</v>
      </c>
      <c r="J6" s="6">
        <v>0.34217956483404843</v>
      </c>
      <c r="K6" s="11">
        <v>0.34457550422840771</v>
      </c>
      <c r="L6" s="7">
        <v>343</v>
      </c>
      <c r="M6" s="7">
        <v>343</v>
      </c>
      <c r="N6" s="7">
        <v>345</v>
      </c>
      <c r="O6" s="7">
        <f t="shared" si="0"/>
        <v>2</v>
      </c>
      <c r="Q6" s="3">
        <v>323</v>
      </c>
      <c r="R6" s="3" t="s">
        <v>651</v>
      </c>
      <c r="S6" s="3" t="s">
        <v>652</v>
      </c>
      <c r="T6" s="3" t="s">
        <v>707</v>
      </c>
      <c r="U6" s="7">
        <v>4</v>
      </c>
      <c r="V6" s="7">
        <v>3</v>
      </c>
      <c r="W6" s="7">
        <f t="shared" si="1"/>
        <v>-1</v>
      </c>
    </row>
    <row r="7" spans="2:23" x14ac:dyDescent="0.25">
      <c r="B7" s="3">
        <v>190</v>
      </c>
      <c r="C7" s="3" t="s">
        <v>386</v>
      </c>
      <c r="D7" s="3" t="s">
        <v>387</v>
      </c>
      <c r="E7" s="3" t="s">
        <v>341</v>
      </c>
      <c r="F7" s="3">
        <v>8309</v>
      </c>
      <c r="G7" s="3">
        <v>8</v>
      </c>
      <c r="H7" s="3">
        <v>0.45200000000000001</v>
      </c>
      <c r="I7" s="6">
        <v>0.34556317398397973</v>
      </c>
      <c r="J7" s="6">
        <v>0.35610075554594622</v>
      </c>
      <c r="K7" s="11">
        <v>0.35787688873103374</v>
      </c>
      <c r="L7" s="7">
        <v>342</v>
      </c>
      <c r="M7" s="7">
        <v>337</v>
      </c>
      <c r="N7" s="7">
        <v>339</v>
      </c>
      <c r="O7" s="7">
        <f t="shared" si="0"/>
        <v>-3</v>
      </c>
      <c r="Q7" s="3">
        <v>52</v>
      </c>
      <c r="R7" s="3" t="s">
        <v>108</v>
      </c>
      <c r="S7" s="3" t="s">
        <v>109</v>
      </c>
      <c r="T7" s="3" t="s">
        <v>95</v>
      </c>
      <c r="U7" s="7">
        <v>5</v>
      </c>
      <c r="V7" s="7">
        <v>4</v>
      </c>
      <c r="W7" s="7">
        <f t="shared" si="1"/>
        <v>-1</v>
      </c>
    </row>
    <row r="8" spans="2:23" x14ac:dyDescent="0.25">
      <c r="B8" s="3">
        <v>137</v>
      </c>
      <c r="C8" s="3" t="s">
        <v>278</v>
      </c>
      <c r="D8" s="3" t="s">
        <v>279</v>
      </c>
      <c r="E8" s="3" t="s">
        <v>238</v>
      </c>
      <c r="F8" s="3">
        <v>7307</v>
      </c>
      <c r="G8" s="3">
        <v>7</v>
      </c>
      <c r="H8" s="3">
        <v>0.48499999999999999</v>
      </c>
      <c r="I8" s="6">
        <v>0.34580969235250841</v>
      </c>
      <c r="J8" s="6">
        <v>0.35030025941598886</v>
      </c>
      <c r="K8" s="11">
        <v>0.35193383603235301</v>
      </c>
      <c r="L8" s="7">
        <v>341</v>
      </c>
      <c r="M8" s="7">
        <v>341</v>
      </c>
      <c r="N8" s="7">
        <v>342</v>
      </c>
      <c r="O8" s="7">
        <f t="shared" si="0"/>
        <v>1</v>
      </c>
      <c r="Q8" s="3">
        <v>315</v>
      </c>
      <c r="R8" s="3" t="s">
        <v>635</v>
      </c>
      <c r="S8" s="3" t="s">
        <v>636</v>
      </c>
      <c r="T8" s="3" t="s">
        <v>707</v>
      </c>
      <c r="U8" s="7">
        <v>6</v>
      </c>
      <c r="V8" s="7">
        <v>6</v>
      </c>
      <c r="W8" s="7">
        <f t="shared" si="1"/>
        <v>0</v>
      </c>
    </row>
    <row r="9" spans="2:23" x14ac:dyDescent="0.25">
      <c r="B9" s="3">
        <v>6</v>
      </c>
      <c r="C9" s="3" t="s">
        <v>14</v>
      </c>
      <c r="D9" s="3" t="s">
        <v>15</v>
      </c>
      <c r="E9" s="3" t="s">
        <v>13</v>
      </c>
      <c r="F9" s="3">
        <v>1402</v>
      </c>
      <c r="G9" s="3">
        <v>1</v>
      </c>
      <c r="H9" s="3"/>
      <c r="I9" s="6">
        <v>0.34750962837810651</v>
      </c>
      <c r="J9" s="6">
        <v>0.36538154935387812</v>
      </c>
      <c r="K9" s="11">
        <v>0.36721389514978553</v>
      </c>
      <c r="L9" s="7">
        <v>340</v>
      </c>
      <c r="M9" s="7">
        <v>323</v>
      </c>
      <c r="N9" s="7">
        <v>326</v>
      </c>
      <c r="O9" s="7">
        <f t="shared" si="0"/>
        <v>-14</v>
      </c>
      <c r="Q9" s="3">
        <v>53</v>
      </c>
      <c r="R9" s="3" t="s">
        <v>110</v>
      </c>
      <c r="S9" s="3" t="s">
        <v>111</v>
      </c>
      <c r="T9" s="3" t="s">
        <v>95</v>
      </c>
      <c r="U9" s="7">
        <v>7</v>
      </c>
      <c r="V9" s="7">
        <v>13</v>
      </c>
      <c r="W9" s="7">
        <f t="shared" si="1"/>
        <v>6</v>
      </c>
    </row>
    <row r="10" spans="2:23" x14ac:dyDescent="0.25">
      <c r="B10" s="3">
        <v>40</v>
      </c>
      <c r="C10" s="3" t="s">
        <v>83</v>
      </c>
      <c r="D10" s="3" t="s">
        <v>84</v>
      </c>
      <c r="E10" s="3" t="s">
        <v>65</v>
      </c>
      <c r="F10" s="3">
        <v>4105</v>
      </c>
      <c r="G10" s="3">
        <v>4</v>
      </c>
      <c r="H10" s="3">
        <v>0.45100000000000001</v>
      </c>
      <c r="I10" s="6">
        <v>0.35313023605085248</v>
      </c>
      <c r="J10" s="6">
        <v>0.35378055709396328</v>
      </c>
      <c r="K10" s="11">
        <v>0.35545582733384129</v>
      </c>
      <c r="L10" s="7">
        <v>339</v>
      </c>
      <c r="M10" s="7">
        <v>338</v>
      </c>
      <c r="N10" s="7">
        <v>341</v>
      </c>
      <c r="O10" s="7">
        <f t="shared" si="0"/>
        <v>2</v>
      </c>
      <c r="Q10" s="3">
        <v>54</v>
      </c>
      <c r="R10" s="3" t="s">
        <v>112</v>
      </c>
      <c r="S10" s="3" t="s">
        <v>113</v>
      </c>
      <c r="T10" s="3" t="s">
        <v>95</v>
      </c>
      <c r="U10" s="7">
        <v>8</v>
      </c>
      <c r="V10" s="7">
        <v>16</v>
      </c>
      <c r="W10" s="7">
        <f t="shared" si="1"/>
        <v>8</v>
      </c>
    </row>
    <row r="11" spans="2:23" x14ac:dyDescent="0.25">
      <c r="B11" s="3">
        <v>102</v>
      </c>
      <c r="C11" s="3" t="s">
        <v>208</v>
      </c>
      <c r="D11" s="3" t="s">
        <v>209</v>
      </c>
      <c r="E11" s="3" t="s">
        <v>704</v>
      </c>
      <c r="F11" s="3">
        <v>6206</v>
      </c>
      <c r="G11" s="3">
        <v>6</v>
      </c>
      <c r="H11" s="3">
        <v>0.498</v>
      </c>
      <c r="I11" s="6">
        <v>0.35331552977538372</v>
      </c>
      <c r="J11" s="6">
        <v>0.3572608547719377</v>
      </c>
      <c r="K11" s="11">
        <v>0.35599285300289474</v>
      </c>
      <c r="L11" s="7">
        <v>338</v>
      </c>
      <c r="M11" s="7">
        <v>333</v>
      </c>
      <c r="N11" s="7">
        <v>340</v>
      </c>
      <c r="O11" s="7">
        <f t="shared" si="0"/>
        <v>2</v>
      </c>
      <c r="Q11" s="3">
        <v>346</v>
      </c>
      <c r="R11" s="3" t="s">
        <v>697</v>
      </c>
      <c r="S11" s="3" t="s">
        <v>698</v>
      </c>
      <c r="T11" s="3" t="s">
        <v>707</v>
      </c>
      <c r="U11" s="7">
        <v>9</v>
      </c>
      <c r="V11" s="7">
        <v>9</v>
      </c>
      <c r="W11" s="7">
        <f t="shared" si="1"/>
        <v>0</v>
      </c>
    </row>
    <row r="12" spans="2:23" x14ac:dyDescent="0.25">
      <c r="B12" s="3">
        <v>196</v>
      </c>
      <c r="C12" s="3" t="s">
        <v>398</v>
      </c>
      <c r="D12" s="3" t="s">
        <v>399</v>
      </c>
      <c r="E12" s="3" t="s">
        <v>341</v>
      </c>
      <c r="F12" s="3">
        <v>8207</v>
      </c>
      <c r="G12" s="3">
        <v>8</v>
      </c>
      <c r="H12" s="3">
        <v>0.34599999999999997</v>
      </c>
      <c r="I12" s="6">
        <v>0.35529144165012261</v>
      </c>
      <c r="J12" s="6">
        <v>0.35610075554594622</v>
      </c>
      <c r="K12" s="11">
        <v>0.35830804094954738</v>
      </c>
      <c r="L12" s="7">
        <v>337</v>
      </c>
      <c r="M12" s="7">
        <v>336</v>
      </c>
      <c r="N12" s="7">
        <v>337</v>
      </c>
      <c r="O12" s="7">
        <f t="shared" si="0"/>
        <v>0</v>
      </c>
      <c r="Q12" s="3">
        <v>195</v>
      </c>
      <c r="R12" s="3" t="s">
        <v>396</v>
      </c>
      <c r="S12" s="3" t="s">
        <v>397</v>
      </c>
      <c r="T12" s="3" t="s">
        <v>341</v>
      </c>
      <c r="U12" s="7">
        <v>10</v>
      </c>
      <c r="V12" s="7">
        <v>10</v>
      </c>
      <c r="W12" s="7">
        <f t="shared" si="1"/>
        <v>0</v>
      </c>
    </row>
    <row r="13" spans="2:23" x14ac:dyDescent="0.25">
      <c r="B13" s="3">
        <v>216</v>
      </c>
      <c r="C13" s="3" t="s">
        <v>439</v>
      </c>
      <c r="D13" s="3" t="s">
        <v>440</v>
      </c>
      <c r="E13" s="3" t="s">
        <v>408</v>
      </c>
      <c r="F13" s="3">
        <v>9110</v>
      </c>
      <c r="G13" s="3">
        <v>9</v>
      </c>
      <c r="H13" s="3">
        <v>0.44700000000000001</v>
      </c>
      <c r="I13" s="6">
        <v>0.3566377372342211</v>
      </c>
      <c r="J13" s="6">
        <v>0.36190125167590365</v>
      </c>
      <c r="K13" s="11">
        <v>0.36070560727521206</v>
      </c>
      <c r="L13" s="7">
        <v>336</v>
      </c>
      <c r="M13" s="7">
        <v>328</v>
      </c>
      <c r="N13" s="7">
        <v>333</v>
      </c>
      <c r="O13" s="7">
        <f t="shared" si="0"/>
        <v>-3</v>
      </c>
      <c r="Q13" s="3">
        <v>340</v>
      </c>
      <c r="R13" s="3" t="s">
        <v>685</v>
      </c>
      <c r="S13" s="3" t="s">
        <v>686</v>
      </c>
      <c r="T13" s="3" t="s">
        <v>707</v>
      </c>
      <c r="U13" s="7">
        <v>11</v>
      </c>
      <c r="V13" s="7">
        <v>8</v>
      </c>
      <c r="W13" s="7">
        <f t="shared" si="1"/>
        <v>-3</v>
      </c>
    </row>
    <row r="14" spans="2:23" x14ac:dyDescent="0.25">
      <c r="B14" s="3">
        <v>213</v>
      </c>
      <c r="C14" s="3" t="s">
        <v>433</v>
      </c>
      <c r="D14" s="3" t="s">
        <v>434</v>
      </c>
      <c r="E14" s="3" t="s">
        <v>408</v>
      </c>
      <c r="F14" s="3">
        <v>9205</v>
      </c>
      <c r="G14" s="3">
        <v>9</v>
      </c>
      <c r="H14" s="3">
        <v>0.47</v>
      </c>
      <c r="I14" s="6">
        <v>0.35681241397067998</v>
      </c>
      <c r="J14" s="6">
        <v>0.3572608547719377</v>
      </c>
      <c r="K14" s="11">
        <v>0.35959763576592307</v>
      </c>
      <c r="L14" s="7">
        <v>335</v>
      </c>
      <c r="M14" s="7">
        <v>335</v>
      </c>
      <c r="N14" s="7">
        <v>334</v>
      </c>
      <c r="O14" s="7">
        <f t="shared" si="0"/>
        <v>-1</v>
      </c>
    </row>
    <row r="15" spans="2:23" x14ac:dyDescent="0.25">
      <c r="B15" s="3">
        <v>21</v>
      </c>
      <c r="C15" s="3" t="s">
        <v>44</v>
      </c>
      <c r="D15" s="3" t="s">
        <v>45</v>
      </c>
      <c r="E15" s="3" t="s">
        <v>46</v>
      </c>
      <c r="F15" s="3">
        <v>3302</v>
      </c>
      <c r="G15" s="3">
        <v>3</v>
      </c>
      <c r="H15" s="3">
        <v>0.39600000000000002</v>
      </c>
      <c r="I15" s="6">
        <v>0.35682411526444502</v>
      </c>
      <c r="J15" s="6">
        <v>0.35378055709396328</v>
      </c>
      <c r="K15" s="11">
        <v>0.35856942269599368</v>
      </c>
      <c r="L15" s="7">
        <v>334</v>
      </c>
      <c r="M15" s="7">
        <v>339</v>
      </c>
      <c r="N15" s="7">
        <v>336</v>
      </c>
      <c r="O15" s="7">
        <f t="shared" si="0"/>
        <v>2</v>
      </c>
      <c r="Q15" t="s">
        <v>733</v>
      </c>
      <c r="R15" s="12">
        <f>PEARSON(I4:I348,J4:J348)</f>
        <v>0.92583212822655436</v>
      </c>
    </row>
    <row r="16" spans="2:23" x14ac:dyDescent="0.25">
      <c r="B16" s="3">
        <v>215</v>
      </c>
      <c r="C16" s="3" t="s">
        <v>437</v>
      </c>
      <c r="D16" s="3" t="s">
        <v>438</v>
      </c>
      <c r="E16" s="3" t="s">
        <v>408</v>
      </c>
      <c r="F16" s="3">
        <v>9207</v>
      </c>
      <c r="G16" s="3">
        <v>9</v>
      </c>
      <c r="H16" s="3">
        <v>0.4</v>
      </c>
      <c r="I16" s="6">
        <v>0.35690854196743788</v>
      </c>
      <c r="J16" s="6">
        <v>0.3595810532239207</v>
      </c>
      <c r="K16" s="11">
        <v>0.36226942232867121</v>
      </c>
      <c r="L16" s="7">
        <v>333</v>
      </c>
      <c r="M16" s="7">
        <v>330</v>
      </c>
      <c r="N16" s="7">
        <v>332</v>
      </c>
      <c r="O16" s="7">
        <f t="shared" si="0"/>
        <v>-1</v>
      </c>
      <c r="Q16" t="s">
        <v>734</v>
      </c>
      <c r="R16" s="12">
        <f>PEARSON(I4:I348,K4:K348)</f>
        <v>0.97377016000774563</v>
      </c>
    </row>
    <row r="17" spans="2:23" x14ac:dyDescent="0.25">
      <c r="B17" s="3">
        <v>26</v>
      </c>
      <c r="C17" s="3" t="s">
        <v>55</v>
      </c>
      <c r="D17" s="3" t="s">
        <v>56</v>
      </c>
      <c r="E17" s="3" t="s">
        <v>46</v>
      </c>
      <c r="F17" s="3">
        <v>3303</v>
      </c>
      <c r="G17" s="3">
        <v>3</v>
      </c>
      <c r="H17" s="3">
        <v>0.39</v>
      </c>
      <c r="I17" s="6">
        <v>0.35968246238452339</v>
      </c>
      <c r="J17" s="6">
        <v>0.36074115244991223</v>
      </c>
      <c r="K17" s="11">
        <v>0.36258503931044739</v>
      </c>
      <c r="L17" s="7">
        <v>332</v>
      </c>
      <c r="M17" s="7">
        <v>329</v>
      </c>
      <c r="N17" s="7">
        <v>330</v>
      </c>
      <c r="O17" s="7">
        <f t="shared" si="0"/>
        <v>-2</v>
      </c>
      <c r="Q17" t="s">
        <v>735</v>
      </c>
      <c r="R17" s="12">
        <f>PEARSON(J4:J348,K4:K348)</f>
        <v>0.97318584625334537</v>
      </c>
    </row>
    <row r="18" spans="2:23" ht="15.75" thickBot="1" x14ac:dyDescent="0.3">
      <c r="B18" s="3">
        <v>8</v>
      </c>
      <c r="C18" s="3" t="s">
        <v>18</v>
      </c>
      <c r="D18" s="3" t="s">
        <v>19</v>
      </c>
      <c r="E18" s="3" t="s">
        <v>13</v>
      </c>
      <c r="F18" s="3">
        <v>1404</v>
      </c>
      <c r="G18" s="3">
        <v>1</v>
      </c>
      <c r="H18" s="3"/>
      <c r="I18" s="6">
        <v>0.35983738722104985</v>
      </c>
      <c r="J18" s="6">
        <v>0.3595810532239207</v>
      </c>
      <c r="K18" s="11">
        <v>0.36273004480593507</v>
      </c>
      <c r="L18" s="7">
        <v>331</v>
      </c>
      <c r="M18" s="7">
        <v>331</v>
      </c>
      <c r="N18" s="7">
        <v>329</v>
      </c>
      <c r="O18" s="7">
        <f t="shared" si="0"/>
        <v>-2</v>
      </c>
    </row>
    <row r="19" spans="2:23" x14ac:dyDescent="0.25">
      <c r="B19" s="3">
        <v>154</v>
      </c>
      <c r="C19" s="3" t="s">
        <v>313</v>
      </c>
      <c r="D19" s="3" t="s">
        <v>314</v>
      </c>
      <c r="E19" s="3" t="s">
        <v>298</v>
      </c>
      <c r="F19" s="3">
        <v>16303</v>
      </c>
      <c r="G19" s="3">
        <v>16</v>
      </c>
      <c r="H19" s="3">
        <v>0.40200000000000002</v>
      </c>
      <c r="I19" s="6">
        <v>0.3603387022286807</v>
      </c>
      <c r="J19" s="6">
        <v>0.36422145012788665</v>
      </c>
      <c r="K19" s="11">
        <v>0.36247071270381193</v>
      </c>
      <c r="L19" s="7">
        <v>330</v>
      </c>
      <c r="M19" s="7">
        <v>325</v>
      </c>
      <c r="N19" s="7">
        <v>331</v>
      </c>
      <c r="O19" s="7">
        <f t="shared" si="0"/>
        <v>1</v>
      </c>
      <c r="Q19" s="37" t="s">
        <v>701</v>
      </c>
      <c r="R19" s="37" t="s">
        <v>0</v>
      </c>
      <c r="S19" s="37" t="s">
        <v>729</v>
      </c>
      <c r="T19" s="37" t="s">
        <v>2</v>
      </c>
      <c r="U19" s="15" t="s">
        <v>737</v>
      </c>
      <c r="V19" s="15" t="s">
        <v>737</v>
      </c>
      <c r="W19" s="15" t="s">
        <v>738</v>
      </c>
    </row>
    <row r="20" spans="2:23" ht="15.75" thickBot="1" x14ac:dyDescent="0.3">
      <c r="B20" s="3">
        <v>10</v>
      </c>
      <c r="C20" s="3" t="s">
        <v>22</v>
      </c>
      <c r="D20" s="3" t="s">
        <v>23</v>
      </c>
      <c r="E20" s="3" t="s">
        <v>13</v>
      </c>
      <c r="F20" s="3">
        <v>1405</v>
      </c>
      <c r="G20" s="3">
        <v>1</v>
      </c>
      <c r="H20" s="3">
        <v>0.442</v>
      </c>
      <c r="I20" s="6">
        <v>0.36099104981227298</v>
      </c>
      <c r="J20" s="6">
        <v>0.36306135090189517</v>
      </c>
      <c r="K20" s="11">
        <v>0.36371386158972319</v>
      </c>
      <c r="L20" s="7">
        <v>329</v>
      </c>
      <c r="M20" s="7">
        <v>327</v>
      </c>
      <c r="N20" s="7">
        <v>328</v>
      </c>
      <c r="O20" s="7">
        <f t="shared" si="0"/>
        <v>-1</v>
      </c>
      <c r="Q20" s="38"/>
      <c r="R20" s="38"/>
      <c r="S20" s="38"/>
      <c r="T20" s="38"/>
      <c r="U20" s="16">
        <v>2025</v>
      </c>
      <c r="V20" s="16">
        <v>2024</v>
      </c>
      <c r="W20" s="16" t="s">
        <v>739</v>
      </c>
    </row>
    <row r="21" spans="2:23" x14ac:dyDescent="0.25">
      <c r="B21" s="3">
        <v>167</v>
      </c>
      <c r="C21" s="3" t="s">
        <v>339</v>
      </c>
      <c r="D21" s="3" t="s">
        <v>340</v>
      </c>
      <c r="E21" s="3" t="s">
        <v>341</v>
      </c>
      <c r="F21" s="3">
        <v>8314</v>
      </c>
      <c r="G21" s="3">
        <v>8</v>
      </c>
      <c r="H21" s="3">
        <v>0.36699999999999999</v>
      </c>
      <c r="I21" s="6">
        <v>0.36205047010220887</v>
      </c>
      <c r="J21" s="6">
        <v>0.36422145012788665</v>
      </c>
      <c r="K21" s="11">
        <v>0.36869194248482617</v>
      </c>
      <c r="L21" s="7">
        <v>328</v>
      </c>
      <c r="M21" s="7">
        <v>324</v>
      </c>
      <c r="N21" s="7">
        <v>324</v>
      </c>
      <c r="O21" s="7">
        <f t="shared" si="0"/>
        <v>-4</v>
      </c>
      <c r="Q21" s="3">
        <v>148</v>
      </c>
      <c r="R21" s="3" t="s">
        <v>301</v>
      </c>
      <c r="S21" s="3" t="s">
        <v>302</v>
      </c>
      <c r="T21" s="3" t="s">
        <v>298</v>
      </c>
      <c r="U21" s="7">
        <v>218</v>
      </c>
      <c r="V21" s="7">
        <v>160</v>
      </c>
      <c r="W21" s="7">
        <v>-58</v>
      </c>
    </row>
    <row r="22" spans="2:23" x14ac:dyDescent="0.25">
      <c r="B22" s="3">
        <v>67</v>
      </c>
      <c r="C22" s="3" t="s">
        <v>138</v>
      </c>
      <c r="D22" s="3" t="s">
        <v>139</v>
      </c>
      <c r="E22" s="3" t="s">
        <v>95</v>
      </c>
      <c r="F22" s="3">
        <v>5404</v>
      </c>
      <c r="G22" s="3">
        <v>5</v>
      </c>
      <c r="H22" s="3">
        <v>0.41699999999999998</v>
      </c>
      <c r="I22" s="6">
        <v>0.36236522133938909</v>
      </c>
      <c r="J22" s="6">
        <v>0.36654164857986959</v>
      </c>
      <c r="K22" s="11">
        <v>0.36757461448897105</v>
      </c>
      <c r="L22" s="7">
        <v>327</v>
      </c>
      <c r="M22" s="7">
        <v>321</v>
      </c>
      <c r="N22" s="7">
        <v>325</v>
      </c>
      <c r="O22" s="7">
        <f t="shared" si="0"/>
        <v>-2</v>
      </c>
      <c r="Q22" s="3">
        <v>280</v>
      </c>
      <c r="R22" s="3" t="s">
        <v>568</v>
      </c>
      <c r="S22" s="3" t="s">
        <v>569</v>
      </c>
      <c r="T22" s="3" t="s">
        <v>705</v>
      </c>
      <c r="U22" s="7">
        <v>176</v>
      </c>
      <c r="V22" s="7">
        <v>141</v>
      </c>
      <c r="W22" s="7">
        <v>-35</v>
      </c>
    </row>
    <row r="23" spans="2:23" x14ac:dyDescent="0.25">
      <c r="B23" s="3">
        <v>168</v>
      </c>
      <c r="C23" s="3" t="s">
        <v>342</v>
      </c>
      <c r="D23" s="3" t="s">
        <v>343</v>
      </c>
      <c r="E23" s="3" t="s">
        <v>341</v>
      </c>
      <c r="F23" s="3">
        <v>8302</v>
      </c>
      <c r="G23" s="3">
        <v>8</v>
      </c>
      <c r="H23" s="3">
        <v>0.50700000000000001</v>
      </c>
      <c r="I23" s="6">
        <v>0.36247316154278275</v>
      </c>
      <c r="J23" s="6">
        <v>0.35842095399792923</v>
      </c>
      <c r="K23" s="11">
        <v>0.35870225802304101</v>
      </c>
      <c r="L23" s="7">
        <v>326</v>
      </c>
      <c r="M23" s="7">
        <v>332</v>
      </c>
      <c r="N23" s="7">
        <v>335</v>
      </c>
      <c r="O23" s="7">
        <f t="shared" si="0"/>
        <v>9</v>
      </c>
      <c r="Q23" s="3">
        <v>267</v>
      </c>
      <c r="R23" s="3" t="s">
        <v>542</v>
      </c>
      <c r="S23" s="3" t="s">
        <v>543</v>
      </c>
      <c r="T23" s="3" t="s">
        <v>482</v>
      </c>
      <c r="U23" s="7">
        <v>270</v>
      </c>
      <c r="V23" s="7">
        <v>245</v>
      </c>
      <c r="W23" s="7">
        <v>-25</v>
      </c>
    </row>
    <row r="24" spans="2:23" x14ac:dyDescent="0.25">
      <c r="B24" s="3">
        <v>4</v>
      </c>
      <c r="C24" s="3" t="s">
        <v>9</v>
      </c>
      <c r="D24" s="3" t="s">
        <v>10</v>
      </c>
      <c r="E24" s="3" t="s">
        <v>703</v>
      </c>
      <c r="F24" s="3">
        <v>15201</v>
      </c>
      <c r="G24" s="3">
        <v>15</v>
      </c>
      <c r="H24" s="3"/>
      <c r="I24" s="6">
        <v>0.36338242259521858</v>
      </c>
      <c r="J24" s="6">
        <v>0.35378055709396328</v>
      </c>
      <c r="K24" s="11">
        <v>0.36543752164617938</v>
      </c>
      <c r="L24" s="7">
        <v>325</v>
      </c>
      <c r="M24" s="7">
        <v>340</v>
      </c>
      <c r="N24" s="7">
        <v>327</v>
      </c>
      <c r="O24" s="7">
        <f t="shared" si="0"/>
        <v>2</v>
      </c>
      <c r="Q24" s="3">
        <v>20</v>
      </c>
      <c r="R24" s="3" t="s">
        <v>42</v>
      </c>
      <c r="S24" s="3" t="s">
        <v>43</v>
      </c>
      <c r="T24" s="3" t="s">
        <v>26</v>
      </c>
      <c r="U24" s="7">
        <v>86</v>
      </c>
      <c r="V24" s="7">
        <v>62</v>
      </c>
      <c r="W24" s="7">
        <v>-24</v>
      </c>
    </row>
    <row r="25" spans="2:23" x14ac:dyDescent="0.25">
      <c r="B25" s="3">
        <v>283</v>
      </c>
      <c r="C25" s="3" t="s">
        <v>573</v>
      </c>
      <c r="D25" s="3" t="s">
        <v>574</v>
      </c>
      <c r="E25" s="3" t="s">
        <v>705</v>
      </c>
      <c r="F25" s="3">
        <v>11303</v>
      </c>
      <c r="G25" s="3">
        <v>11</v>
      </c>
      <c r="H25" s="3"/>
      <c r="I25" s="6">
        <v>0.36472416401420604</v>
      </c>
      <c r="J25" s="6">
        <v>0.36654164857986959</v>
      </c>
      <c r="K25" s="11">
        <v>0.37095853777401755</v>
      </c>
      <c r="L25" s="7">
        <v>324</v>
      </c>
      <c r="M25" s="7">
        <v>320</v>
      </c>
      <c r="N25" s="7">
        <v>323</v>
      </c>
      <c r="O25" s="7">
        <f t="shared" si="0"/>
        <v>-1</v>
      </c>
      <c r="Q25" s="3">
        <v>232</v>
      </c>
      <c r="R25" s="3" t="s">
        <v>471</v>
      </c>
      <c r="S25" s="3" t="s">
        <v>472</v>
      </c>
      <c r="T25" s="3" t="s">
        <v>473</v>
      </c>
      <c r="U25" s="7">
        <v>287</v>
      </c>
      <c r="V25" s="7">
        <v>263</v>
      </c>
      <c r="W25" s="7">
        <v>-24</v>
      </c>
    </row>
    <row r="26" spans="2:23" x14ac:dyDescent="0.25">
      <c r="B26" s="3">
        <v>206</v>
      </c>
      <c r="C26" s="3" t="s">
        <v>419</v>
      </c>
      <c r="D26" s="3" t="s">
        <v>420</v>
      </c>
      <c r="E26" s="3" t="s">
        <v>408</v>
      </c>
      <c r="F26" s="3">
        <v>9104</v>
      </c>
      <c r="G26" s="3">
        <v>9</v>
      </c>
      <c r="H26" s="3">
        <v>0.45400000000000001</v>
      </c>
      <c r="I26" s="6">
        <v>0.36578965290629606</v>
      </c>
      <c r="J26" s="6">
        <v>0.37582244238780149</v>
      </c>
      <c r="K26" s="11">
        <v>0.37586340338818441</v>
      </c>
      <c r="L26" s="7">
        <v>323</v>
      </c>
      <c r="M26" s="7">
        <v>310</v>
      </c>
      <c r="N26" s="7">
        <v>313</v>
      </c>
      <c r="O26" s="7">
        <f t="shared" si="0"/>
        <v>-10</v>
      </c>
      <c r="Q26" s="3">
        <v>3</v>
      </c>
      <c r="R26" s="3" t="s">
        <v>7</v>
      </c>
      <c r="S26" s="3" t="s">
        <v>8</v>
      </c>
      <c r="T26" s="3" t="s">
        <v>703</v>
      </c>
      <c r="U26" s="7">
        <v>311</v>
      </c>
      <c r="V26" s="7">
        <v>288</v>
      </c>
      <c r="W26" s="7">
        <v>-23</v>
      </c>
    </row>
    <row r="27" spans="2:23" x14ac:dyDescent="0.25">
      <c r="B27" s="3">
        <v>264</v>
      </c>
      <c r="C27" s="3" t="s">
        <v>536</v>
      </c>
      <c r="D27" s="3" t="s">
        <v>537</v>
      </c>
      <c r="E27" s="3" t="s">
        <v>482</v>
      </c>
      <c r="F27" s="3">
        <v>10206</v>
      </c>
      <c r="G27" s="3">
        <v>10</v>
      </c>
      <c r="H27" s="3"/>
      <c r="I27" s="6">
        <v>0.36618733503665485</v>
      </c>
      <c r="J27" s="6">
        <v>0.37466234316181002</v>
      </c>
      <c r="K27" s="11">
        <v>0.37540700339421945</v>
      </c>
      <c r="L27" s="7">
        <v>322</v>
      </c>
      <c r="M27" s="7">
        <v>313</v>
      </c>
      <c r="N27" s="7">
        <v>316</v>
      </c>
      <c r="O27" s="7">
        <f t="shared" si="0"/>
        <v>-6</v>
      </c>
      <c r="Q27" s="3">
        <v>142</v>
      </c>
      <c r="R27" s="3" t="s">
        <v>288</v>
      </c>
      <c r="S27" s="3" t="s">
        <v>289</v>
      </c>
      <c r="T27" s="3" t="s">
        <v>238</v>
      </c>
      <c r="U27" s="7">
        <v>273</v>
      </c>
      <c r="V27" s="7">
        <v>251</v>
      </c>
      <c r="W27" s="7">
        <v>-22</v>
      </c>
    </row>
    <row r="28" spans="2:23" x14ac:dyDescent="0.25">
      <c r="B28" s="3">
        <v>164</v>
      </c>
      <c r="C28" s="3" t="s">
        <v>333</v>
      </c>
      <c r="D28" s="3" t="s">
        <v>334</v>
      </c>
      <c r="E28" s="3" t="s">
        <v>298</v>
      </c>
      <c r="F28" s="3">
        <v>16305</v>
      </c>
      <c r="G28" s="3">
        <v>16</v>
      </c>
      <c r="H28" s="3">
        <v>0.58399999999999996</v>
      </c>
      <c r="I28" s="6">
        <v>0.36824758383453404</v>
      </c>
      <c r="J28" s="6">
        <v>0.38046283929176744</v>
      </c>
      <c r="K28" s="11">
        <v>0.37248929150069515</v>
      </c>
      <c r="L28" s="7">
        <v>321</v>
      </c>
      <c r="M28" s="7">
        <v>304</v>
      </c>
      <c r="N28" s="7">
        <v>321</v>
      </c>
      <c r="O28" s="7">
        <f t="shared" si="0"/>
        <v>0</v>
      </c>
      <c r="Q28" s="3">
        <v>178</v>
      </c>
      <c r="R28" s="3" t="s">
        <v>362</v>
      </c>
      <c r="S28" s="3" t="s">
        <v>363</v>
      </c>
      <c r="T28" s="3" t="s">
        <v>341</v>
      </c>
      <c r="U28" s="7">
        <v>126</v>
      </c>
      <c r="V28" s="7">
        <v>105</v>
      </c>
      <c r="W28" s="7">
        <v>-21</v>
      </c>
    </row>
    <row r="29" spans="2:23" x14ac:dyDescent="0.25">
      <c r="B29" s="3">
        <v>117</v>
      </c>
      <c r="C29" s="3" t="s">
        <v>239</v>
      </c>
      <c r="D29" s="3" t="s">
        <v>240</v>
      </c>
      <c r="E29" s="3" t="s">
        <v>238</v>
      </c>
      <c r="F29" s="3">
        <v>7202</v>
      </c>
      <c r="G29" s="3">
        <v>7</v>
      </c>
      <c r="H29" s="3">
        <v>0.45300000000000001</v>
      </c>
      <c r="I29" s="6">
        <v>0.36829446995296422</v>
      </c>
      <c r="J29" s="6">
        <v>0.37466234316181002</v>
      </c>
      <c r="K29" s="11">
        <v>0.37419133924813414</v>
      </c>
      <c r="L29" s="7">
        <v>320</v>
      </c>
      <c r="M29" s="7">
        <v>315</v>
      </c>
      <c r="N29" s="7">
        <v>319</v>
      </c>
      <c r="O29" s="7">
        <f t="shared" si="0"/>
        <v>-1</v>
      </c>
      <c r="Q29" s="3">
        <v>118</v>
      </c>
      <c r="R29" s="3" t="s">
        <v>241</v>
      </c>
      <c r="S29" s="3" t="s">
        <v>242</v>
      </c>
      <c r="T29" s="3" t="s">
        <v>238</v>
      </c>
      <c r="U29" s="7">
        <v>274</v>
      </c>
      <c r="V29" s="7">
        <v>253</v>
      </c>
      <c r="W29" s="7">
        <v>-21</v>
      </c>
    </row>
    <row r="30" spans="2:23" x14ac:dyDescent="0.25">
      <c r="B30" s="3">
        <v>120</v>
      </c>
      <c r="C30" s="3" t="s">
        <v>245</v>
      </c>
      <c r="D30" s="3" t="s">
        <v>246</v>
      </c>
      <c r="E30" s="3" t="s">
        <v>238</v>
      </c>
      <c r="F30" s="3">
        <v>7103</v>
      </c>
      <c r="G30" s="3">
        <v>7</v>
      </c>
      <c r="H30" s="3">
        <v>0.52600000000000002</v>
      </c>
      <c r="I30" s="6">
        <v>0.36909943284593566</v>
      </c>
      <c r="J30" s="6">
        <v>0.37582244238780149</v>
      </c>
      <c r="K30" s="11">
        <v>0.37392184020380165</v>
      </c>
      <c r="L30" s="7">
        <v>319</v>
      </c>
      <c r="M30" s="7">
        <v>311</v>
      </c>
      <c r="N30" s="7">
        <v>320</v>
      </c>
      <c r="O30" s="7">
        <f t="shared" si="0"/>
        <v>1</v>
      </c>
      <c r="Q30" s="3">
        <v>192</v>
      </c>
      <c r="R30" s="3" t="s">
        <v>390</v>
      </c>
      <c r="S30" s="3" t="s">
        <v>391</v>
      </c>
      <c r="T30" s="3" t="s">
        <v>341</v>
      </c>
      <c r="U30" s="7">
        <v>170</v>
      </c>
      <c r="V30" s="7">
        <v>150</v>
      </c>
      <c r="W30" s="7">
        <v>-20</v>
      </c>
    </row>
    <row r="31" spans="2:23" ht="15.75" thickBot="1" x14ac:dyDescent="0.3">
      <c r="B31" s="3">
        <v>101</v>
      </c>
      <c r="C31" s="3" t="s">
        <v>206</v>
      </c>
      <c r="D31" s="3" t="s">
        <v>207</v>
      </c>
      <c r="E31" s="3" t="s">
        <v>704</v>
      </c>
      <c r="F31" s="3">
        <v>6306</v>
      </c>
      <c r="G31" s="3">
        <v>6</v>
      </c>
      <c r="H31" s="3">
        <v>0.44400000000000001</v>
      </c>
      <c r="I31" s="6">
        <v>0.36947654697892279</v>
      </c>
      <c r="J31" s="6">
        <v>0.37466234316181002</v>
      </c>
      <c r="K31" s="11">
        <v>0.37573594944210431</v>
      </c>
      <c r="L31" s="7">
        <v>318</v>
      </c>
      <c r="M31" s="7">
        <v>316</v>
      </c>
      <c r="N31" s="7">
        <v>314</v>
      </c>
      <c r="O31" s="7">
        <f t="shared" si="0"/>
        <v>-4</v>
      </c>
    </row>
    <row r="32" spans="2:23" x14ac:dyDescent="0.25">
      <c r="B32" s="3">
        <v>224</v>
      </c>
      <c r="C32" s="3" t="s">
        <v>455</v>
      </c>
      <c r="D32" s="3" t="s">
        <v>456</v>
      </c>
      <c r="E32" s="3" t="s">
        <v>408</v>
      </c>
      <c r="F32" s="3">
        <v>9116</v>
      </c>
      <c r="G32" s="3">
        <v>9</v>
      </c>
      <c r="H32" s="3">
        <v>0.47399999999999998</v>
      </c>
      <c r="I32" s="6">
        <v>0.36992812531440084</v>
      </c>
      <c r="J32" s="6">
        <v>0.37582244238780149</v>
      </c>
      <c r="K32" s="11">
        <v>0.37492250302265911</v>
      </c>
      <c r="L32" s="7">
        <v>317</v>
      </c>
      <c r="M32" s="7">
        <v>309</v>
      </c>
      <c r="N32" s="7">
        <v>317</v>
      </c>
      <c r="O32" s="7">
        <f t="shared" si="0"/>
        <v>0</v>
      </c>
      <c r="Q32" s="37" t="s">
        <v>701</v>
      </c>
      <c r="R32" s="37" t="s">
        <v>0</v>
      </c>
      <c r="S32" s="37" t="s">
        <v>729</v>
      </c>
      <c r="T32" s="37" t="s">
        <v>2</v>
      </c>
      <c r="U32" s="15" t="s">
        <v>737</v>
      </c>
      <c r="V32" s="15" t="s">
        <v>737</v>
      </c>
      <c r="W32" s="15" t="s">
        <v>738</v>
      </c>
    </row>
    <row r="33" spans="2:23" ht="15.75" thickBot="1" x14ac:dyDescent="0.3">
      <c r="B33" s="3">
        <v>130</v>
      </c>
      <c r="C33" s="3" t="s">
        <v>264</v>
      </c>
      <c r="D33" s="3" t="s">
        <v>265</v>
      </c>
      <c r="E33" s="3" t="s">
        <v>238</v>
      </c>
      <c r="F33" s="3">
        <v>7106</v>
      </c>
      <c r="G33" s="3">
        <v>7</v>
      </c>
      <c r="H33" s="3">
        <v>0.54400000000000004</v>
      </c>
      <c r="I33" s="6">
        <v>0.37104480264544071</v>
      </c>
      <c r="J33" s="6">
        <v>0.37466234316181002</v>
      </c>
      <c r="K33" s="11">
        <v>0.37455201791470383</v>
      </c>
      <c r="L33" s="7">
        <v>316</v>
      </c>
      <c r="M33" s="7">
        <v>314</v>
      </c>
      <c r="N33" s="7">
        <v>318</v>
      </c>
      <c r="O33" s="7">
        <f t="shared" si="0"/>
        <v>2</v>
      </c>
      <c r="Q33" s="38"/>
      <c r="R33" s="38"/>
      <c r="S33" s="38"/>
      <c r="T33" s="38"/>
      <c r="U33" s="16">
        <v>2025</v>
      </c>
      <c r="V33" s="16">
        <v>2024</v>
      </c>
      <c r="W33" s="16" t="s">
        <v>739</v>
      </c>
    </row>
    <row r="34" spans="2:23" x14ac:dyDescent="0.25">
      <c r="B34" s="3">
        <v>152</v>
      </c>
      <c r="C34" s="3" t="s">
        <v>309</v>
      </c>
      <c r="D34" s="3" t="s">
        <v>310</v>
      </c>
      <c r="E34" s="3" t="s">
        <v>298</v>
      </c>
      <c r="F34" s="3">
        <v>16104</v>
      </c>
      <c r="G34" s="3">
        <v>16</v>
      </c>
      <c r="H34" s="3">
        <v>0.48199999999999998</v>
      </c>
      <c r="I34" s="6">
        <v>0.37138589801991706</v>
      </c>
      <c r="J34" s="6">
        <v>0.37930274006577591</v>
      </c>
      <c r="K34" s="11">
        <v>0.37554832950510253</v>
      </c>
      <c r="L34" s="7">
        <v>315</v>
      </c>
      <c r="M34" s="7">
        <v>307</v>
      </c>
      <c r="N34" s="7">
        <v>315</v>
      </c>
      <c r="O34" s="7">
        <f t="shared" si="0"/>
        <v>0</v>
      </c>
      <c r="Q34" s="3">
        <v>321</v>
      </c>
      <c r="R34" s="3" t="s">
        <v>647</v>
      </c>
      <c r="S34" s="3" t="s">
        <v>648</v>
      </c>
      <c r="T34" s="3" t="s">
        <v>707</v>
      </c>
      <c r="U34" s="7">
        <v>129</v>
      </c>
      <c r="V34" s="7">
        <v>338</v>
      </c>
      <c r="W34" s="7">
        <v>209</v>
      </c>
    </row>
    <row r="35" spans="2:23" x14ac:dyDescent="0.25">
      <c r="B35" s="3">
        <v>2</v>
      </c>
      <c r="C35" s="3" t="s">
        <v>5</v>
      </c>
      <c r="D35" s="3" t="s">
        <v>6</v>
      </c>
      <c r="E35" s="3" t="s">
        <v>703</v>
      </c>
      <c r="F35" s="3">
        <v>15102</v>
      </c>
      <c r="G35" s="3">
        <v>15</v>
      </c>
      <c r="H35" s="3"/>
      <c r="I35" s="6">
        <v>0.37157246087041051</v>
      </c>
      <c r="J35" s="6">
        <v>0.36422145012788665</v>
      </c>
      <c r="K35" s="11">
        <v>0.3764805600706973</v>
      </c>
      <c r="L35" s="7">
        <v>314</v>
      </c>
      <c r="M35" s="7">
        <v>326</v>
      </c>
      <c r="N35" s="7">
        <v>312</v>
      </c>
      <c r="O35" s="7">
        <f t="shared" si="0"/>
        <v>-2</v>
      </c>
      <c r="Q35" s="3">
        <v>134</v>
      </c>
      <c r="R35" s="3" t="s">
        <v>272</v>
      </c>
      <c r="S35" s="3" t="s">
        <v>273</v>
      </c>
      <c r="T35" s="3" t="s">
        <v>238</v>
      </c>
      <c r="U35" s="7">
        <v>197</v>
      </c>
      <c r="V35" s="7">
        <v>322</v>
      </c>
      <c r="W35" s="7">
        <v>125</v>
      </c>
    </row>
    <row r="36" spans="2:23" x14ac:dyDescent="0.25">
      <c r="B36" s="3">
        <v>108</v>
      </c>
      <c r="C36" s="3" t="s">
        <v>220</v>
      </c>
      <c r="D36" s="3" t="s">
        <v>221</v>
      </c>
      <c r="E36" s="3" t="s">
        <v>704</v>
      </c>
      <c r="F36" s="3">
        <v>6309</v>
      </c>
      <c r="G36" s="3">
        <v>6</v>
      </c>
      <c r="H36" s="3"/>
      <c r="I36" s="6">
        <v>0.37163232844565425</v>
      </c>
      <c r="J36" s="6">
        <v>0.3955441292296567</v>
      </c>
      <c r="K36" s="11">
        <v>0.38169990357699912</v>
      </c>
      <c r="L36" s="7">
        <v>313</v>
      </c>
      <c r="M36" s="7">
        <v>287</v>
      </c>
      <c r="N36" s="7">
        <v>310</v>
      </c>
      <c r="O36" s="7">
        <f t="shared" si="0"/>
        <v>-3</v>
      </c>
      <c r="Q36" s="3">
        <v>295</v>
      </c>
      <c r="R36" s="3" t="s">
        <v>595</v>
      </c>
      <c r="S36" s="3" t="s">
        <v>596</v>
      </c>
      <c r="T36" s="3" t="s">
        <v>707</v>
      </c>
      <c r="U36" s="7">
        <v>15</v>
      </c>
      <c r="V36" s="7">
        <v>124</v>
      </c>
      <c r="W36" s="7">
        <v>109</v>
      </c>
    </row>
    <row r="37" spans="2:23" x14ac:dyDescent="0.25">
      <c r="B37" s="3">
        <v>107</v>
      </c>
      <c r="C37" s="3" t="s">
        <v>218</v>
      </c>
      <c r="D37" s="3" t="s">
        <v>219</v>
      </c>
      <c r="E37" s="3" t="s">
        <v>704</v>
      </c>
      <c r="F37" s="3">
        <v>6308</v>
      </c>
      <c r="G37" s="3">
        <v>6</v>
      </c>
      <c r="H37" s="3"/>
      <c r="I37" s="6">
        <v>0.37378551528999815</v>
      </c>
      <c r="J37" s="6">
        <v>0.38974363309969928</v>
      </c>
      <c r="K37" s="11">
        <v>0.38708327859115998</v>
      </c>
      <c r="L37" s="7">
        <v>312</v>
      </c>
      <c r="M37" s="7">
        <v>294</v>
      </c>
      <c r="N37" s="7">
        <v>301</v>
      </c>
      <c r="O37" s="7">
        <f t="shared" si="0"/>
        <v>-11</v>
      </c>
      <c r="Q37" s="3">
        <v>27</v>
      </c>
      <c r="R37" s="3" t="s">
        <v>57</v>
      </c>
      <c r="S37" s="3" t="s">
        <v>58</v>
      </c>
      <c r="T37" s="3" t="s">
        <v>46</v>
      </c>
      <c r="U37" s="7">
        <v>207</v>
      </c>
      <c r="V37" s="7">
        <v>297</v>
      </c>
      <c r="W37" s="7">
        <v>90</v>
      </c>
    </row>
    <row r="38" spans="2:23" x14ac:dyDescent="0.25">
      <c r="B38" s="3">
        <v>3</v>
      </c>
      <c r="C38" s="3" t="s">
        <v>7</v>
      </c>
      <c r="D38" s="3" t="s">
        <v>8</v>
      </c>
      <c r="E38" s="3" t="s">
        <v>703</v>
      </c>
      <c r="F38" s="3">
        <v>15202</v>
      </c>
      <c r="G38" s="3">
        <v>15</v>
      </c>
      <c r="H38" s="3"/>
      <c r="I38" s="6">
        <v>0.37670486182459384</v>
      </c>
      <c r="J38" s="6">
        <v>0.37350224393581855</v>
      </c>
      <c r="K38" s="11">
        <v>0.39403194156649329</v>
      </c>
      <c r="L38" s="7">
        <v>311</v>
      </c>
      <c r="M38" s="7">
        <v>318</v>
      </c>
      <c r="N38" s="7">
        <v>288</v>
      </c>
      <c r="O38" s="7">
        <f t="shared" si="0"/>
        <v>-23</v>
      </c>
      <c r="Q38" s="3">
        <v>56</v>
      </c>
      <c r="R38" s="3" t="s">
        <v>116</v>
      </c>
      <c r="S38" s="3" t="s">
        <v>117</v>
      </c>
      <c r="T38" s="3" t="s">
        <v>95</v>
      </c>
      <c r="U38" s="7">
        <v>42</v>
      </c>
      <c r="V38" s="7">
        <v>112</v>
      </c>
      <c r="W38" s="7">
        <v>70</v>
      </c>
    </row>
    <row r="39" spans="2:23" x14ac:dyDescent="0.25">
      <c r="B39" s="3">
        <v>151</v>
      </c>
      <c r="C39" s="3" t="s">
        <v>307</v>
      </c>
      <c r="D39" s="3" t="s">
        <v>308</v>
      </c>
      <c r="E39" s="3" t="s">
        <v>298</v>
      </c>
      <c r="F39" s="3">
        <v>16302</v>
      </c>
      <c r="G39" s="3">
        <v>16</v>
      </c>
      <c r="H39" s="3">
        <v>0.45300000000000001</v>
      </c>
      <c r="I39" s="6">
        <v>0.37753317226704736</v>
      </c>
      <c r="J39" s="6">
        <v>0.38626333542172486</v>
      </c>
      <c r="K39" s="11">
        <v>0.38369353387677402</v>
      </c>
      <c r="L39" s="7">
        <v>310</v>
      </c>
      <c r="M39" s="7">
        <v>299</v>
      </c>
      <c r="N39" s="7">
        <v>305</v>
      </c>
      <c r="O39" s="7">
        <f t="shared" si="0"/>
        <v>-5</v>
      </c>
      <c r="Q39" s="3">
        <v>126</v>
      </c>
      <c r="R39" s="3" t="s">
        <v>257</v>
      </c>
      <c r="S39" s="3" t="s">
        <v>258</v>
      </c>
      <c r="T39" s="3" t="s">
        <v>238</v>
      </c>
      <c r="U39" s="7">
        <v>226</v>
      </c>
      <c r="V39" s="7">
        <v>293</v>
      </c>
      <c r="W39" s="7">
        <v>67</v>
      </c>
    </row>
    <row r="40" spans="2:23" x14ac:dyDescent="0.25">
      <c r="B40" s="3">
        <v>341</v>
      </c>
      <c r="C40" s="3" t="s">
        <v>687</v>
      </c>
      <c r="D40" s="3" t="s">
        <v>688</v>
      </c>
      <c r="E40" s="3" t="s">
        <v>707</v>
      </c>
      <c r="F40" s="3">
        <v>13505</v>
      </c>
      <c r="G40" s="3">
        <v>13</v>
      </c>
      <c r="H40" s="3">
        <v>0.41899999999999998</v>
      </c>
      <c r="I40" s="6">
        <v>0.37929782275270946</v>
      </c>
      <c r="J40" s="6">
        <v>0.38046283929176744</v>
      </c>
      <c r="K40" s="11">
        <v>0.38498748822988571</v>
      </c>
      <c r="L40" s="7">
        <v>309</v>
      </c>
      <c r="M40" s="7">
        <v>303</v>
      </c>
      <c r="N40" s="7">
        <v>304</v>
      </c>
      <c r="O40" s="7">
        <f t="shared" si="0"/>
        <v>-5</v>
      </c>
      <c r="Q40" s="3">
        <v>291</v>
      </c>
      <c r="R40" s="3" t="s">
        <v>589</v>
      </c>
      <c r="S40" s="3" t="s">
        <v>590</v>
      </c>
      <c r="T40" s="3" t="s">
        <v>706</v>
      </c>
      <c r="U40" s="7">
        <v>145</v>
      </c>
      <c r="V40" s="7">
        <v>211</v>
      </c>
      <c r="W40" s="7">
        <v>66</v>
      </c>
    </row>
    <row r="41" spans="2:23" x14ac:dyDescent="0.25">
      <c r="B41" s="3">
        <v>157</v>
      </c>
      <c r="C41" s="3" t="s">
        <v>319</v>
      </c>
      <c r="D41" s="3" t="s">
        <v>320</v>
      </c>
      <c r="E41" s="3" t="s">
        <v>298</v>
      </c>
      <c r="F41" s="3">
        <v>16205</v>
      </c>
      <c r="G41" s="3">
        <v>16</v>
      </c>
      <c r="H41" s="3"/>
      <c r="I41" s="6">
        <v>0.38040395395001703</v>
      </c>
      <c r="J41" s="6">
        <v>0.38626333542172486</v>
      </c>
      <c r="K41" s="11">
        <v>0.38240853894219073</v>
      </c>
      <c r="L41" s="7">
        <v>308</v>
      </c>
      <c r="M41" s="7">
        <v>298</v>
      </c>
      <c r="N41" s="7">
        <v>309</v>
      </c>
      <c r="O41" s="7">
        <f t="shared" si="0"/>
        <v>1</v>
      </c>
      <c r="Q41" s="3">
        <v>122</v>
      </c>
      <c r="R41" s="3" t="s">
        <v>249</v>
      </c>
      <c r="S41" s="3" t="s">
        <v>250</v>
      </c>
      <c r="T41" s="3" t="s">
        <v>238</v>
      </c>
      <c r="U41" s="7">
        <v>297</v>
      </c>
      <c r="V41" s="7">
        <v>346</v>
      </c>
      <c r="W41" s="7">
        <v>49</v>
      </c>
    </row>
    <row r="42" spans="2:23" x14ac:dyDescent="0.25">
      <c r="B42" s="3">
        <v>132</v>
      </c>
      <c r="C42" s="3" t="s">
        <v>268</v>
      </c>
      <c r="D42" s="3" t="s">
        <v>269</v>
      </c>
      <c r="E42" s="3" t="s">
        <v>238</v>
      </c>
      <c r="F42" s="3">
        <v>7107</v>
      </c>
      <c r="G42" s="3">
        <v>7</v>
      </c>
      <c r="H42" s="3"/>
      <c r="I42" s="6">
        <v>0.38202589878770976</v>
      </c>
      <c r="J42" s="6">
        <v>0.39206383155168228</v>
      </c>
      <c r="K42" s="11">
        <v>0.38760879722912345</v>
      </c>
      <c r="L42" s="7">
        <v>307</v>
      </c>
      <c r="M42" s="7">
        <v>291</v>
      </c>
      <c r="N42" s="7">
        <v>300</v>
      </c>
      <c r="O42" s="7">
        <f t="shared" si="0"/>
        <v>-7</v>
      </c>
      <c r="Q42" s="3">
        <v>99</v>
      </c>
      <c r="R42" s="3" t="s">
        <v>202</v>
      </c>
      <c r="S42" s="3" t="s">
        <v>203</v>
      </c>
      <c r="T42" s="3" t="s">
        <v>704</v>
      </c>
      <c r="U42" s="7">
        <v>151</v>
      </c>
      <c r="V42" s="7">
        <v>197</v>
      </c>
      <c r="W42" s="7">
        <v>46</v>
      </c>
    </row>
    <row r="43" spans="2:23" x14ac:dyDescent="0.25">
      <c r="B43" s="3">
        <v>202</v>
      </c>
      <c r="C43" s="3" t="s">
        <v>411</v>
      </c>
      <c r="D43" s="3" t="s">
        <v>412</v>
      </c>
      <c r="E43" s="3" t="s">
        <v>408</v>
      </c>
      <c r="F43" s="3">
        <v>9121</v>
      </c>
      <c r="G43" s="3">
        <v>9</v>
      </c>
      <c r="H43" s="3">
        <v>0.41599999999999998</v>
      </c>
      <c r="I43" s="6">
        <v>0.38208851480065537</v>
      </c>
      <c r="J43" s="6">
        <v>0.38046283929176744</v>
      </c>
      <c r="K43" s="11">
        <v>0.37764070706838659</v>
      </c>
      <c r="L43" s="7">
        <v>306</v>
      </c>
      <c r="M43" s="7">
        <v>306</v>
      </c>
      <c r="N43" s="7">
        <v>311</v>
      </c>
      <c r="O43" s="7">
        <f t="shared" si="0"/>
        <v>5</v>
      </c>
      <c r="Q43" s="3">
        <v>281</v>
      </c>
      <c r="R43" s="3" t="s">
        <v>171</v>
      </c>
      <c r="S43" s="3" t="s">
        <v>570</v>
      </c>
      <c r="T43" s="3" t="s">
        <v>705</v>
      </c>
      <c r="U43" s="7">
        <v>70</v>
      </c>
      <c r="V43" s="7">
        <v>115</v>
      </c>
      <c r="W43" s="7">
        <v>45</v>
      </c>
    </row>
    <row r="44" spans="2:23" x14ac:dyDescent="0.25">
      <c r="B44" s="3">
        <v>145</v>
      </c>
      <c r="C44" s="3" t="s">
        <v>294</v>
      </c>
      <c r="D44" s="3" t="s">
        <v>295</v>
      </c>
      <c r="E44" s="3" t="s">
        <v>238</v>
      </c>
      <c r="F44" s="3">
        <v>7408</v>
      </c>
      <c r="G44" s="3">
        <v>7</v>
      </c>
      <c r="H44" s="3">
        <v>0.45200000000000001</v>
      </c>
      <c r="I44" s="6">
        <v>0.38305017460500568</v>
      </c>
      <c r="J44" s="6">
        <v>0.38510323619573339</v>
      </c>
      <c r="K44" s="11">
        <v>0.38344666015352347</v>
      </c>
      <c r="L44" s="7">
        <v>305</v>
      </c>
      <c r="M44" s="7">
        <v>300</v>
      </c>
      <c r="N44" s="7">
        <v>306</v>
      </c>
      <c r="O44" s="7">
        <f t="shared" si="0"/>
        <v>1</v>
      </c>
    </row>
    <row r="45" spans="2:23" x14ac:dyDescent="0.25">
      <c r="B45" s="3">
        <v>250</v>
      </c>
      <c r="C45" s="3" t="s">
        <v>508</v>
      </c>
      <c r="D45" s="3" t="s">
        <v>509</v>
      </c>
      <c r="E45" s="3" t="s">
        <v>482</v>
      </c>
      <c r="F45" s="3">
        <v>10204</v>
      </c>
      <c r="G45" s="3">
        <v>10</v>
      </c>
      <c r="H45" s="3">
        <v>0.39800000000000002</v>
      </c>
      <c r="I45" s="6">
        <v>0.38385651541122606</v>
      </c>
      <c r="J45" s="6">
        <v>0.38162293851775891</v>
      </c>
      <c r="K45" s="11">
        <v>0.38627991862634237</v>
      </c>
      <c r="L45" s="7">
        <v>304</v>
      </c>
      <c r="M45" s="7">
        <v>302</v>
      </c>
      <c r="N45" s="7">
        <v>302</v>
      </c>
      <c r="O45" s="7">
        <f t="shared" si="0"/>
        <v>-2</v>
      </c>
    </row>
    <row r="46" spans="2:23" x14ac:dyDescent="0.25">
      <c r="B46" s="3">
        <v>14</v>
      </c>
      <c r="C46" s="3" t="s">
        <v>30</v>
      </c>
      <c r="D46" s="3" t="s">
        <v>31</v>
      </c>
      <c r="E46" s="3" t="s">
        <v>26</v>
      </c>
      <c r="F46" s="3">
        <v>2302</v>
      </c>
      <c r="G46" s="3">
        <v>2</v>
      </c>
      <c r="H46" s="3">
        <v>0.39400000000000002</v>
      </c>
      <c r="I46" s="6">
        <v>0.38452003999753837</v>
      </c>
      <c r="J46" s="6">
        <v>0.37582244238780149</v>
      </c>
      <c r="K46" s="11">
        <v>0.38860735699019422</v>
      </c>
      <c r="L46" s="7">
        <v>303</v>
      </c>
      <c r="M46" s="7">
        <v>312</v>
      </c>
      <c r="N46" s="7">
        <v>299</v>
      </c>
      <c r="O46" s="7">
        <f t="shared" si="0"/>
        <v>-4</v>
      </c>
    </row>
    <row r="47" spans="2:23" x14ac:dyDescent="0.25">
      <c r="B47" s="3">
        <v>96</v>
      </c>
      <c r="C47" s="3" t="s">
        <v>196</v>
      </c>
      <c r="D47" s="3" t="s">
        <v>197</v>
      </c>
      <c r="E47" s="3" t="s">
        <v>704</v>
      </c>
      <c r="F47" s="3">
        <v>6204</v>
      </c>
      <c r="G47" s="3">
        <v>6</v>
      </c>
      <c r="H47" s="3">
        <v>0.374</v>
      </c>
      <c r="I47" s="6">
        <v>0.38540677050336836</v>
      </c>
      <c r="J47" s="6">
        <v>0.39090373232569076</v>
      </c>
      <c r="K47" s="11">
        <v>0.3833023510073717</v>
      </c>
      <c r="L47" s="7">
        <v>302</v>
      </c>
      <c r="M47" s="7">
        <v>293</v>
      </c>
      <c r="N47" s="7">
        <v>307</v>
      </c>
      <c r="O47" s="7">
        <f t="shared" si="0"/>
        <v>5</v>
      </c>
    </row>
    <row r="48" spans="2:23" x14ac:dyDescent="0.25">
      <c r="B48" s="3">
        <v>235</v>
      </c>
      <c r="C48" s="3" t="s">
        <v>478</v>
      </c>
      <c r="D48" s="3" t="s">
        <v>479</v>
      </c>
      <c r="E48" s="3" t="s">
        <v>473</v>
      </c>
      <c r="F48" s="3">
        <v>14203</v>
      </c>
      <c r="G48" s="3">
        <v>14</v>
      </c>
      <c r="H48" s="3">
        <v>0.47199999999999998</v>
      </c>
      <c r="I48" s="6">
        <v>0.38660413152764972</v>
      </c>
      <c r="J48" s="6">
        <v>0.38742343464771634</v>
      </c>
      <c r="K48" s="11">
        <v>0.38507369003897296</v>
      </c>
      <c r="L48" s="7">
        <v>301</v>
      </c>
      <c r="M48" s="7">
        <v>295</v>
      </c>
      <c r="N48" s="7">
        <v>303</v>
      </c>
      <c r="O48" s="7">
        <f t="shared" si="0"/>
        <v>2</v>
      </c>
    </row>
    <row r="49" spans="2:15" x14ac:dyDescent="0.25">
      <c r="B49" s="3">
        <v>135</v>
      </c>
      <c r="C49" s="3" t="s">
        <v>274</v>
      </c>
      <c r="D49" s="3" t="s">
        <v>275</v>
      </c>
      <c r="E49" s="3" t="s">
        <v>238</v>
      </c>
      <c r="F49" s="3">
        <v>7108</v>
      </c>
      <c r="G49" s="3">
        <v>7</v>
      </c>
      <c r="H49" s="3">
        <v>0.45600000000000002</v>
      </c>
      <c r="I49" s="6">
        <v>0.38708313103914821</v>
      </c>
      <c r="J49" s="6">
        <v>0.38742343464771634</v>
      </c>
      <c r="K49" s="11">
        <v>0.38909089585659395</v>
      </c>
      <c r="L49" s="7">
        <v>300</v>
      </c>
      <c r="M49" s="7">
        <v>296</v>
      </c>
      <c r="N49" s="7">
        <v>298</v>
      </c>
      <c r="O49" s="7">
        <f t="shared" si="0"/>
        <v>-2</v>
      </c>
    </row>
    <row r="50" spans="2:15" x14ac:dyDescent="0.25">
      <c r="B50" s="3">
        <v>255</v>
      </c>
      <c r="C50" s="3" t="s">
        <v>518</v>
      </c>
      <c r="D50" s="3" t="s">
        <v>519</v>
      </c>
      <c r="E50" s="3" t="s">
        <v>482</v>
      </c>
      <c r="F50" s="3">
        <v>10403</v>
      </c>
      <c r="G50" s="3">
        <v>10</v>
      </c>
      <c r="H50" s="3">
        <v>0.48399999999999999</v>
      </c>
      <c r="I50" s="6">
        <v>0.38838701439852952</v>
      </c>
      <c r="J50" s="6">
        <v>0.39902442690763118</v>
      </c>
      <c r="K50" s="11">
        <v>0.39740923646139348</v>
      </c>
      <c r="L50" s="7">
        <v>299</v>
      </c>
      <c r="M50" s="7">
        <v>281</v>
      </c>
      <c r="N50" s="7">
        <v>282</v>
      </c>
      <c r="O50" s="7">
        <f t="shared" si="0"/>
        <v>-17</v>
      </c>
    </row>
    <row r="51" spans="2:15" x14ac:dyDescent="0.25">
      <c r="B51" s="3">
        <v>23</v>
      </c>
      <c r="C51" s="3" t="s">
        <v>49</v>
      </c>
      <c r="D51" s="3" t="s">
        <v>50</v>
      </c>
      <c r="E51" s="3" t="s">
        <v>46</v>
      </c>
      <c r="F51" s="3">
        <v>3201</v>
      </c>
      <c r="G51" s="3">
        <v>3</v>
      </c>
      <c r="H51" s="3"/>
      <c r="I51" s="6">
        <v>0.38909272278172002</v>
      </c>
      <c r="J51" s="6">
        <v>0.3955441292296567</v>
      </c>
      <c r="K51" s="11">
        <v>0.39726645042379111</v>
      </c>
      <c r="L51" s="7">
        <v>298</v>
      </c>
      <c r="M51" s="7">
        <v>288</v>
      </c>
      <c r="N51" s="7">
        <v>286</v>
      </c>
      <c r="O51" s="7">
        <f t="shared" si="0"/>
        <v>-12</v>
      </c>
    </row>
    <row r="52" spans="2:15" x14ac:dyDescent="0.25">
      <c r="B52" s="3">
        <v>122</v>
      </c>
      <c r="C52" s="3" t="s">
        <v>249</v>
      </c>
      <c r="D52" s="3" t="s">
        <v>250</v>
      </c>
      <c r="E52" s="3" t="s">
        <v>238</v>
      </c>
      <c r="F52" s="3">
        <v>7104</v>
      </c>
      <c r="G52" s="3">
        <v>7</v>
      </c>
      <c r="H52" s="3">
        <v>0.39400000000000002</v>
      </c>
      <c r="I52" s="6">
        <v>0.39019034393155472</v>
      </c>
      <c r="J52" s="6">
        <v>0.33985936638206543</v>
      </c>
      <c r="K52" s="11">
        <v>0.34281878548491151</v>
      </c>
      <c r="L52" s="7">
        <v>297</v>
      </c>
      <c r="M52" s="7">
        <v>345</v>
      </c>
      <c r="N52" s="7">
        <v>346</v>
      </c>
      <c r="O52" s="7">
        <f t="shared" si="0"/>
        <v>49</v>
      </c>
    </row>
    <row r="53" spans="2:15" x14ac:dyDescent="0.25">
      <c r="B53" s="3">
        <v>270</v>
      </c>
      <c r="C53" s="3" t="s">
        <v>548</v>
      </c>
      <c r="D53" s="3" t="s">
        <v>549</v>
      </c>
      <c r="E53" s="3" t="s">
        <v>482</v>
      </c>
      <c r="F53" s="3">
        <v>10210</v>
      </c>
      <c r="G53" s="3">
        <v>10</v>
      </c>
      <c r="H53" s="3">
        <v>0.47099999999999997</v>
      </c>
      <c r="I53" s="6">
        <v>0.39046286091988697</v>
      </c>
      <c r="J53" s="6">
        <v>0.3955441292296567</v>
      </c>
      <c r="K53" s="11">
        <v>0.39795399338429338</v>
      </c>
      <c r="L53" s="7">
        <v>296</v>
      </c>
      <c r="M53" s="7">
        <v>284</v>
      </c>
      <c r="N53" s="7">
        <v>280</v>
      </c>
      <c r="O53" s="7">
        <f t="shared" si="0"/>
        <v>-16</v>
      </c>
    </row>
    <row r="54" spans="2:15" x14ac:dyDescent="0.25">
      <c r="B54" s="3">
        <v>103</v>
      </c>
      <c r="C54" s="3" t="s">
        <v>210</v>
      </c>
      <c r="D54" s="3" t="s">
        <v>211</v>
      </c>
      <c r="E54" s="3" t="s">
        <v>704</v>
      </c>
      <c r="F54" s="3">
        <v>6307</v>
      </c>
      <c r="G54" s="3">
        <v>6</v>
      </c>
      <c r="H54" s="3">
        <v>0.45300000000000001</v>
      </c>
      <c r="I54" s="6">
        <v>0.39097473026474472</v>
      </c>
      <c r="J54" s="6">
        <v>0.39438403000366529</v>
      </c>
      <c r="K54" s="11">
        <v>0.39107340841043237</v>
      </c>
      <c r="L54" s="7">
        <v>295</v>
      </c>
      <c r="M54" s="7">
        <v>289</v>
      </c>
      <c r="N54" s="7">
        <v>294</v>
      </c>
      <c r="O54" s="7">
        <f t="shared" si="0"/>
        <v>-1</v>
      </c>
    </row>
    <row r="55" spans="2:15" x14ac:dyDescent="0.25">
      <c r="B55" s="3">
        <v>209</v>
      </c>
      <c r="C55" s="3" t="s">
        <v>425</v>
      </c>
      <c r="D55" s="3" t="s">
        <v>426</v>
      </c>
      <c r="E55" s="3" t="s">
        <v>408</v>
      </c>
      <c r="F55" s="3">
        <v>9106</v>
      </c>
      <c r="G55" s="3">
        <v>9</v>
      </c>
      <c r="H55" s="3">
        <v>0.496</v>
      </c>
      <c r="I55" s="6">
        <v>0.3918341563675411</v>
      </c>
      <c r="J55" s="6">
        <v>0.40018452613362265</v>
      </c>
      <c r="K55" s="11">
        <v>0.39736956106439381</v>
      </c>
      <c r="L55" s="7">
        <v>294</v>
      </c>
      <c r="M55" s="7">
        <v>278</v>
      </c>
      <c r="N55" s="7">
        <v>284</v>
      </c>
      <c r="O55" s="7">
        <f t="shared" si="0"/>
        <v>-10</v>
      </c>
    </row>
    <row r="56" spans="2:15" x14ac:dyDescent="0.25">
      <c r="B56" s="3">
        <v>153</v>
      </c>
      <c r="C56" s="3" t="s">
        <v>311</v>
      </c>
      <c r="D56" s="3" t="s">
        <v>312</v>
      </c>
      <c r="E56" s="3" t="s">
        <v>298</v>
      </c>
      <c r="F56" s="3">
        <v>16204</v>
      </c>
      <c r="G56" s="3">
        <v>16</v>
      </c>
      <c r="H56" s="3">
        <v>0.46400000000000002</v>
      </c>
      <c r="I56" s="6">
        <v>0.39233986618405259</v>
      </c>
      <c r="J56" s="6">
        <v>0.39670422845564823</v>
      </c>
      <c r="K56" s="11">
        <v>0.39068465500425853</v>
      </c>
      <c r="L56" s="7">
        <v>293</v>
      </c>
      <c r="M56" s="7">
        <v>286</v>
      </c>
      <c r="N56" s="7">
        <v>295</v>
      </c>
      <c r="O56" s="7">
        <f t="shared" si="0"/>
        <v>2</v>
      </c>
    </row>
    <row r="57" spans="2:15" x14ac:dyDescent="0.25">
      <c r="B57" s="3">
        <v>227</v>
      </c>
      <c r="C57" s="3" t="s">
        <v>461</v>
      </c>
      <c r="D57" s="3" t="s">
        <v>462</v>
      </c>
      <c r="E57" s="3" t="s">
        <v>408</v>
      </c>
      <c r="F57" s="3">
        <v>9118</v>
      </c>
      <c r="G57" s="3">
        <v>9</v>
      </c>
      <c r="H57" s="3">
        <v>0.39700000000000002</v>
      </c>
      <c r="I57" s="6">
        <v>0.3931443824690613</v>
      </c>
      <c r="J57" s="6">
        <v>0.3955441292296567</v>
      </c>
      <c r="K57" s="11">
        <v>0.39329270814236428</v>
      </c>
      <c r="L57" s="7">
        <v>292</v>
      </c>
      <c r="M57" s="7">
        <v>285</v>
      </c>
      <c r="N57" s="7">
        <v>291</v>
      </c>
      <c r="O57" s="7">
        <f t="shared" si="0"/>
        <v>-1</v>
      </c>
    </row>
    <row r="58" spans="2:15" x14ac:dyDescent="0.25">
      <c r="B58" s="3">
        <v>140</v>
      </c>
      <c r="C58" s="3" t="s">
        <v>284</v>
      </c>
      <c r="D58" s="3" t="s">
        <v>285</v>
      </c>
      <c r="E58" s="3" t="s">
        <v>238</v>
      </c>
      <c r="F58" s="3">
        <v>7110</v>
      </c>
      <c r="G58" s="3">
        <v>7</v>
      </c>
      <c r="H58" s="3"/>
      <c r="I58" s="6">
        <v>0.39346959448194668</v>
      </c>
      <c r="J58" s="6">
        <v>0.4071451214895716</v>
      </c>
      <c r="K58" s="11">
        <v>0.39941156066379457</v>
      </c>
      <c r="L58" s="7">
        <v>291</v>
      </c>
      <c r="M58" s="7">
        <v>270</v>
      </c>
      <c r="N58" s="7">
        <v>278</v>
      </c>
      <c r="O58" s="7">
        <f t="shared" si="0"/>
        <v>-13</v>
      </c>
    </row>
    <row r="59" spans="2:15" x14ac:dyDescent="0.25">
      <c r="B59" s="3">
        <v>38</v>
      </c>
      <c r="C59" s="3" t="s">
        <v>79</v>
      </c>
      <c r="D59" s="3" t="s">
        <v>80</v>
      </c>
      <c r="E59" s="3" t="s">
        <v>65</v>
      </c>
      <c r="F59" s="3">
        <v>4303</v>
      </c>
      <c r="G59" s="3">
        <v>4</v>
      </c>
      <c r="H59" s="3">
        <v>0.49099999999999999</v>
      </c>
      <c r="I59" s="6">
        <v>0.39415684426035252</v>
      </c>
      <c r="J59" s="6">
        <v>0.38742343464771634</v>
      </c>
      <c r="K59" s="11">
        <v>0.39054809686229291</v>
      </c>
      <c r="L59" s="7">
        <v>290</v>
      </c>
      <c r="M59" s="7">
        <v>297</v>
      </c>
      <c r="N59" s="7">
        <v>296</v>
      </c>
      <c r="O59" s="7">
        <f t="shared" si="0"/>
        <v>6</v>
      </c>
    </row>
    <row r="60" spans="2:15" x14ac:dyDescent="0.25">
      <c r="B60" s="3">
        <v>163</v>
      </c>
      <c r="C60" s="3" t="s">
        <v>331</v>
      </c>
      <c r="D60" s="3" t="s">
        <v>332</v>
      </c>
      <c r="E60" s="3" t="s">
        <v>298</v>
      </c>
      <c r="F60" s="3">
        <v>16108</v>
      </c>
      <c r="G60" s="3">
        <v>16</v>
      </c>
      <c r="H60" s="3">
        <v>0.47499999999999998</v>
      </c>
      <c r="I60" s="6">
        <v>0.39626110461820263</v>
      </c>
      <c r="J60" s="6">
        <v>0.40250472458560566</v>
      </c>
      <c r="K60" s="11">
        <v>0.39731512318583667</v>
      </c>
      <c r="L60" s="7">
        <v>289</v>
      </c>
      <c r="M60" s="7">
        <v>274</v>
      </c>
      <c r="N60" s="7">
        <v>285</v>
      </c>
      <c r="O60" s="7">
        <f t="shared" si="0"/>
        <v>-4</v>
      </c>
    </row>
    <row r="61" spans="2:15" x14ac:dyDescent="0.25">
      <c r="B61" s="3">
        <v>165</v>
      </c>
      <c r="C61" s="3" t="s">
        <v>335</v>
      </c>
      <c r="D61" s="3" t="s">
        <v>336</v>
      </c>
      <c r="E61" s="3" t="s">
        <v>298</v>
      </c>
      <c r="F61" s="3">
        <v>16207</v>
      </c>
      <c r="G61" s="3">
        <v>16</v>
      </c>
      <c r="H61" s="3">
        <v>0.35</v>
      </c>
      <c r="I61" s="6">
        <v>0.39888520587945048</v>
      </c>
      <c r="J61" s="6">
        <v>0.4141057168455205</v>
      </c>
      <c r="K61" s="11">
        <v>0.40658623740414906</v>
      </c>
      <c r="L61" s="7">
        <v>288</v>
      </c>
      <c r="M61" s="7">
        <v>261</v>
      </c>
      <c r="N61" s="7">
        <v>268</v>
      </c>
      <c r="O61" s="7">
        <f t="shared" si="0"/>
        <v>-20</v>
      </c>
    </row>
    <row r="62" spans="2:15" x14ac:dyDescent="0.25">
      <c r="B62" s="3">
        <v>232</v>
      </c>
      <c r="C62" s="3" t="s">
        <v>471</v>
      </c>
      <c r="D62" s="3" t="s">
        <v>472</v>
      </c>
      <c r="E62" s="3" t="s">
        <v>473</v>
      </c>
      <c r="F62" s="3">
        <v>14102</v>
      </c>
      <c r="G62" s="3">
        <v>14</v>
      </c>
      <c r="H62" s="3">
        <v>0.375</v>
      </c>
      <c r="I62" s="6">
        <v>0.39933247653344822</v>
      </c>
      <c r="J62" s="6">
        <v>0.4117855183935375</v>
      </c>
      <c r="K62" s="11">
        <v>0.40837631582815309</v>
      </c>
      <c r="L62" s="7">
        <v>287</v>
      </c>
      <c r="M62" s="7">
        <v>263</v>
      </c>
      <c r="N62" s="7">
        <v>263</v>
      </c>
      <c r="O62" s="7">
        <f t="shared" si="0"/>
        <v>-24</v>
      </c>
    </row>
    <row r="63" spans="2:15" x14ac:dyDescent="0.25">
      <c r="B63" s="3">
        <v>35</v>
      </c>
      <c r="C63" s="3" t="s">
        <v>73</v>
      </c>
      <c r="D63" s="3" t="s">
        <v>74</v>
      </c>
      <c r="E63" s="3" t="s">
        <v>65</v>
      </c>
      <c r="F63" s="3">
        <v>4104</v>
      </c>
      <c r="G63" s="3">
        <v>4</v>
      </c>
      <c r="H63" s="3"/>
      <c r="I63" s="6">
        <v>0.39935486521805214</v>
      </c>
      <c r="J63" s="6">
        <v>0.39902442690763118</v>
      </c>
      <c r="K63" s="11">
        <v>0.39951604863175083</v>
      </c>
      <c r="L63" s="7">
        <v>286</v>
      </c>
      <c r="M63" s="7">
        <v>283</v>
      </c>
      <c r="N63" s="7">
        <v>277</v>
      </c>
      <c r="O63" s="7">
        <f t="shared" si="0"/>
        <v>-9</v>
      </c>
    </row>
    <row r="64" spans="2:15" x14ac:dyDescent="0.25">
      <c r="B64" s="3">
        <v>83</v>
      </c>
      <c r="C64" s="3" t="s">
        <v>169</v>
      </c>
      <c r="D64" s="3" t="s">
        <v>170</v>
      </c>
      <c r="E64" s="3" t="s">
        <v>704</v>
      </c>
      <c r="F64" s="3">
        <v>6302</v>
      </c>
      <c r="G64" s="3">
        <v>6</v>
      </c>
      <c r="H64" s="3">
        <v>0.53600000000000003</v>
      </c>
      <c r="I64" s="6">
        <v>0.39936489585149998</v>
      </c>
      <c r="J64" s="6">
        <v>0.40830522071556308</v>
      </c>
      <c r="K64" s="11">
        <v>0.40713430844246346</v>
      </c>
      <c r="L64" s="7">
        <v>285</v>
      </c>
      <c r="M64" s="7">
        <v>271</v>
      </c>
      <c r="N64" s="7">
        <v>266</v>
      </c>
      <c r="O64" s="7">
        <f t="shared" si="0"/>
        <v>-19</v>
      </c>
    </row>
    <row r="65" spans="2:15" x14ac:dyDescent="0.25">
      <c r="B65" s="3">
        <v>43</v>
      </c>
      <c r="C65" s="3" t="s">
        <v>89</v>
      </c>
      <c r="D65" s="3" t="s">
        <v>90</v>
      </c>
      <c r="E65" s="3" t="s">
        <v>65</v>
      </c>
      <c r="F65" s="3">
        <v>4204</v>
      </c>
      <c r="G65" s="3">
        <v>4</v>
      </c>
      <c r="H65" s="3">
        <v>0.443</v>
      </c>
      <c r="I65" s="6">
        <v>0.39971207486513627</v>
      </c>
      <c r="J65" s="6">
        <v>0.39902442690763118</v>
      </c>
      <c r="K65" s="11">
        <v>0.4011359120260356</v>
      </c>
      <c r="L65" s="7">
        <v>284</v>
      </c>
      <c r="M65" s="7">
        <v>282</v>
      </c>
      <c r="N65" s="7">
        <v>275</v>
      </c>
      <c r="O65" s="7">
        <f t="shared" si="0"/>
        <v>-9</v>
      </c>
    </row>
    <row r="66" spans="2:15" x14ac:dyDescent="0.25">
      <c r="B66" s="3">
        <v>91</v>
      </c>
      <c r="C66" s="3" t="s">
        <v>186</v>
      </c>
      <c r="D66" s="3" t="s">
        <v>187</v>
      </c>
      <c r="E66" s="3" t="s">
        <v>704</v>
      </c>
      <c r="F66" s="3">
        <v>6107</v>
      </c>
      <c r="G66" s="3">
        <v>6</v>
      </c>
      <c r="H66" s="3">
        <v>0.44400000000000001</v>
      </c>
      <c r="I66" s="6">
        <v>0.40160686336342488</v>
      </c>
      <c r="J66" s="6">
        <v>0.40946531994155455</v>
      </c>
      <c r="K66" s="11">
        <v>0.40634261995636728</v>
      </c>
      <c r="L66" s="7">
        <v>283</v>
      </c>
      <c r="M66" s="7">
        <v>269</v>
      </c>
      <c r="N66" s="7">
        <v>269</v>
      </c>
      <c r="O66" s="7">
        <f t="shared" si="0"/>
        <v>-14</v>
      </c>
    </row>
    <row r="67" spans="2:15" x14ac:dyDescent="0.25">
      <c r="B67" s="3">
        <v>201</v>
      </c>
      <c r="C67" s="3" t="s">
        <v>409</v>
      </c>
      <c r="D67" s="3" t="s">
        <v>410</v>
      </c>
      <c r="E67" s="3" t="s">
        <v>408</v>
      </c>
      <c r="F67" s="3">
        <v>9102</v>
      </c>
      <c r="G67" s="3">
        <v>9</v>
      </c>
      <c r="H67" s="3">
        <v>0.439</v>
      </c>
      <c r="I67" s="6">
        <v>0.40202865376084618</v>
      </c>
      <c r="J67" s="6">
        <v>0.40830522071556308</v>
      </c>
      <c r="K67" s="11">
        <v>0.40727573771843706</v>
      </c>
      <c r="L67" s="7">
        <v>282</v>
      </c>
      <c r="M67" s="7">
        <v>268</v>
      </c>
      <c r="N67" s="7">
        <v>265</v>
      </c>
      <c r="O67" s="7">
        <f t="shared" si="0"/>
        <v>-17</v>
      </c>
    </row>
    <row r="68" spans="2:15" x14ac:dyDescent="0.25">
      <c r="B68" s="3">
        <v>249</v>
      </c>
      <c r="C68" s="3" t="s">
        <v>506</v>
      </c>
      <c r="D68" s="3" t="s">
        <v>507</v>
      </c>
      <c r="E68" s="3" t="s">
        <v>482</v>
      </c>
      <c r="F68" s="3">
        <v>10103</v>
      </c>
      <c r="G68" s="3">
        <v>10</v>
      </c>
      <c r="H68" s="3"/>
      <c r="I68" s="6">
        <v>0.40251602653419977</v>
      </c>
      <c r="J68" s="6">
        <v>0.40366482381159713</v>
      </c>
      <c r="K68" s="11">
        <v>0.39738103463489227</v>
      </c>
      <c r="L68" s="7">
        <v>281</v>
      </c>
      <c r="M68" s="7">
        <v>273</v>
      </c>
      <c r="N68" s="7">
        <v>283</v>
      </c>
      <c r="O68" s="7">
        <f t="shared" ref="O68:O131" si="2">N68-L68</f>
        <v>2</v>
      </c>
    </row>
    <row r="69" spans="2:15" x14ac:dyDescent="0.25">
      <c r="B69" s="3">
        <v>233</v>
      </c>
      <c r="C69" s="3" t="s">
        <v>474</v>
      </c>
      <c r="D69" s="3" t="s">
        <v>475</v>
      </c>
      <c r="E69" s="3" t="s">
        <v>473</v>
      </c>
      <c r="F69" s="3">
        <v>14202</v>
      </c>
      <c r="G69" s="3">
        <v>14</v>
      </c>
      <c r="H69" s="3">
        <v>0.51100000000000001</v>
      </c>
      <c r="I69" s="6">
        <v>0.40293488917876069</v>
      </c>
      <c r="J69" s="6">
        <v>0.41062541916754602</v>
      </c>
      <c r="K69" s="11">
        <v>0.40597252983867227</v>
      </c>
      <c r="L69" s="7">
        <v>280</v>
      </c>
      <c r="M69" s="7">
        <v>264</v>
      </c>
      <c r="N69" s="7">
        <v>270</v>
      </c>
      <c r="O69" s="7">
        <f t="shared" si="2"/>
        <v>-10</v>
      </c>
    </row>
    <row r="70" spans="2:15" x14ac:dyDescent="0.25">
      <c r="B70" s="3">
        <v>123</v>
      </c>
      <c r="C70" s="3" t="s">
        <v>251</v>
      </c>
      <c r="D70" s="3" t="s">
        <v>252</v>
      </c>
      <c r="E70" s="3" t="s">
        <v>238</v>
      </c>
      <c r="F70" s="3">
        <v>7302</v>
      </c>
      <c r="G70" s="3">
        <v>7</v>
      </c>
      <c r="H70" s="3">
        <v>0.53300000000000003</v>
      </c>
      <c r="I70" s="6">
        <v>0.40371488184994042</v>
      </c>
      <c r="J70" s="6">
        <v>0.40250472458560566</v>
      </c>
      <c r="K70" s="11">
        <v>0.39747396824879266</v>
      </c>
      <c r="L70" s="7">
        <v>279</v>
      </c>
      <c r="M70" s="7">
        <v>275</v>
      </c>
      <c r="N70" s="7">
        <v>281</v>
      </c>
      <c r="O70" s="7">
        <f t="shared" si="2"/>
        <v>2</v>
      </c>
    </row>
    <row r="71" spans="2:15" x14ac:dyDescent="0.25">
      <c r="B71" s="3">
        <v>257</v>
      </c>
      <c r="C71" s="3" t="s">
        <v>522</v>
      </c>
      <c r="D71" s="3" t="s">
        <v>523</v>
      </c>
      <c r="E71" s="3" t="s">
        <v>482</v>
      </c>
      <c r="F71" s="3">
        <v>10106</v>
      </c>
      <c r="G71" s="3">
        <v>10</v>
      </c>
      <c r="H71" s="3">
        <v>0.51</v>
      </c>
      <c r="I71" s="6">
        <v>0.40371620281927206</v>
      </c>
      <c r="J71" s="6">
        <v>0.40134462535961413</v>
      </c>
      <c r="K71" s="11">
        <v>0.40145771171864886</v>
      </c>
      <c r="L71" s="7">
        <v>278</v>
      </c>
      <c r="M71" s="7">
        <v>276</v>
      </c>
      <c r="N71" s="7">
        <v>274</v>
      </c>
      <c r="O71" s="7">
        <f t="shared" si="2"/>
        <v>-4</v>
      </c>
    </row>
    <row r="72" spans="2:15" x14ac:dyDescent="0.25">
      <c r="B72" s="3">
        <v>187</v>
      </c>
      <c r="C72" s="3" t="s">
        <v>380</v>
      </c>
      <c r="D72" s="3" t="s">
        <v>381</v>
      </c>
      <c r="E72" s="3" t="s">
        <v>341</v>
      </c>
      <c r="F72" s="3">
        <v>8307</v>
      </c>
      <c r="G72" s="3">
        <v>8</v>
      </c>
      <c r="H72" s="3">
        <v>0.46100000000000002</v>
      </c>
      <c r="I72" s="6">
        <v>0.40406232291037336</v>
      </c>
      <c r="J72" s="6">
        <v>0.40018452613362265</v>
      </c>
      <c r="K72" s="11">
        <v>0.39685563470042101</v>
      </c>
      <c r="L72" s="7">
        <v>277</v>
      </c>
      <c r="M72" s="7">
        <v>279</v>
      </c>
      <c r="N72" s="7">
        <v>287</v>
      </c>
      <c r="O72" s="7">
        <f t="shared" si="2"/>
        <v>10</v>
      </c>
    </row>
    <row r="73" spans="2:15" x14ac:dyDescent="0.25">
      <c r="B73" s="3">
        <v>17</v>
      </c>
      <c r="C73" s="3" t="s">
        <v>36</v>
      </c>
      <c r="D73" s="3" t="s">
        <v>37</v>
      </c>
      <c r="E73" s="3" t="s">
        <v>26</v>
      </c>
      <c r="F73" s="3">
        <v>2203</v>
      </c>
      <c r="G73" s="3">
        <v>2</v>
      </c>
      <c r="H73" s="3">
        <v>0.47899999999999998</v>
      </c>
      <c r="I73" s="6">
        <v>0.40463488222317223</v>
      </c>
      <c r="J73" s="6">
        <v>0.37930274006577591</v>
      </c>
      <c r="K73" s="11">
        <v>0.38281491744453711</v>
      </c>
      <c r="L73" s="7">
        <v>276</v>
      </c>
      <c r="M73" s="7">
        <v>308</v>
      </c>
      <c r="N73" s="7">
        <v>308</v>
      </c>
      <c r="O73" s="7">
        <f t="shared" si="2"/>
        <v>32</v>
      </c>
    </row>
    <row r="74" spans="2:15" x14ac:dyDescent="0.25">
      <c r="B74" s="3">
        <v>144</v>
      </c>
      <c r="C74" s="3" t="s">
        <v>292</v>
      </c>
      <c r="D74" s="3" t="s">
        <v>293</v>
      </c>
      <c r="E74" s="3" t="s">
        <v>238</v>
      </c>
      <c r="F74" s="3">
        <v>7407</v>
      </c>
      <c r="G74" s="3">
        <v>7</v>
      </c>
      <c r="H74" s="3">
        <v>0.34799999999999998</v>
      </c>
      <c r="I74" s="6">
        <v>0.40471577079279003</v>
      </c>
      <c r="J74" s="6">
        <v>0.4141057168455205</v>
      </c>
      <c r="K74" s="11">
        <v>0.41129118175666923</v>
      </c>
      <c r="L74" s="7">
        <v>275</v>
      </c>
      <c r="M74" s="7">
        <v>259</v>
      </c>
      <c r="N74" s="7">
        <v>260</v>
      </c>
      <c r="O74" s="7">
        <f t="shared" si="2"/>
        <v>-15</v>
      </c>
    </row>
    <row r="75" spans="2:15" x14ac:dyDescent="0.25">
      <c r="B75" s="3">
        <v>118</v>
      </c>
      <c r="C75" s="3" t="s">
        <v>241</v>
      </c>
      <c r="D75" s="3" t="s">
        <v>242</v>
      </c>
      <c r="E75" s="3" t="s">
        <v>238</v>
      </c>
      <c r="F75" s="3">
        <v>7402</v>
      </c>
      <c r="G75" s="3">
        <v>7</v>
      </c>
      <c r="H75" s="3">
        <v>0.42499999999999999</v>
      </c>
      <c r="I75" s="6">
        <v>0.40569274755294371</v>
      </c>
      <c r="J75" s="6">
        <v>0.41526581607151197</v>
      </c>
      <c r="K75" s="11">
        <v>0.41403077271438304</v>
      </c>
      <c r="L75" s="7">
        <v>274</v>
      </c>
      <c r="M75" s="7">
        <v>260</v>
      </c>
      <c r="N75" s="7">
        <v>253</v>
      </c>
      <c r="O75" s="7">
        <f t="shared" si="2"/>
        <v>-21</v>
      </c>
    </row>
    <row r="76" spans="2:15" x14ac:dyDescent="0.25">
      <c r="B76" s="3">
        <v>142</v>
      </c>
      <c r="C76" s="3" t="s">
        <v>288</v>
      </c>
      <c r="D76" s="3" t="s">
        <v>289</v>
      </c>
      <c r="E76" s="3" t="s">
        <v>238</v>
      </c>
      <c r="F76" s="3">
        <v>7308</v>
      </c>
      <c r="G76" s="3">
        <v>7</v>
      </c>
      <c r="H76" s="3">
        <v>0.47</v>
      </c>
      <c r="I76" s="6">
        <v>0.40586307777855624</v>
      </c>
      <c r="J76" s="6">
        <v>0.41758601452349497</v>
      </c>
      <c r="K76" s="11">
        <v>0.41785496044209236</v>
      </c>
      <c r="L76" s="7">
        <v>273</v>
      </c>
      <c r="M76" s="7">
        <v>253</v>
      </c>
      <c r="N76" s="7">
        <v>251</v>
      </c>
      <c r="O76" s="7">
        <f t="shared" si="2"/>
        <v>-22</v>
      </c>
    </row>
    <row r="77" spans="2:15" x14ac:dyDescent="0.25">
      <c r="B77" s="3">
        <v>258</v>
      </c>
      <c r="C77" s="3" t="s">
        <v>524</v>
      </c>
      <c r="D77" s="3" t="s">
        <v>525</v>
      </c>
      <c r="E77" s="3" t="s">
        <v>482</v>
      </c>
      <c r="F77" s="3">
        <v>10108</v>
      </c>
      <c r="G77" s="3">
        <v>10</v>
      </c>
      <c r="H77" s="3">
        <v>0.47899999999999998</v>
      </c>
      <c r="I77" s="6">
        <v>0.40631021250489707</v>
      </c>
      <c r="J77" s="6">
        <v>0.40946531994155455</v>
      </c>
      <c r="K77" s="11">
        <v>0.4058037459474344</v>
      </c>
      <c r="L77" s="7">
        <v>272</v>
      </c>
      <c r="M77" s="7">
        <v>266</v>
      </c>
      <c r="N77" s="7">
        <v>271</v>
      </c>
      <c r="O77" s="7">
        <f t="shared" si="2"/>
        <v>-1</v>
      </c>
    </row>
    <row r="78" spans="2:15" x14ac:dyDescent="0.25">
      <c r="B78" s="3">
        <v>93</v>
      </c>
      <c r="C78" s="3" t="s">
        <v>190</v>
      </c>
      <c r="D78" s="3" t="s">
        <v>191</v>
      </c>
      <c r="E78" s="3" t="s">
        <v>704</v>
      </c>
      <c r="F78" s="3">
        <v>6304</v>
      </c>
      <c r="G78" s="3">
        <v>6</v>
      </c>
      <c r="H78" s="3">
        <v>0.45800000000000002</v>
      </c>
      <c r="I78" s="6">
        <v>0.40734315589324671</v>
      </c>
      <c r="J78" s="6">
        <v>0.4164259152975035</v>
      </c>
      <c r="K78" s="11">
        <v>0.40950943709177712</v>
      </c>
      <c r="L78" s="7">
        <v>271</v>
      </c>
      <c r="M78" s="7">
        <v>256</v>
      </c>
      <c r="N78" s="7">
        <v>262</v>
      </c>
      <c r="O78" s="7">
        <f t="shared" si="2"/>
        <v>-9</v>
      </c>
    </row>
    <row r="79" spans="2:15" x14ac:dyDescent="0.25">
      <c r="B79" s="3">
        <v>267</v>
      </c>
      <c r="C79" s="3" t="s">
        <v>542</v>
      </c>
      <c r="D79" s="3" t="s">
        <v>543</v>
      </c>
      <c r="E79" s="3" t="s">
        <v>482</v>
      </c>
      <c r="F79" s="3">
        <v>10207</v>
      </c>
      <c r="G79" s="3">
        <v>10</v>
      </c>
      <c r="H79" s="3">
        <v>0.35599999999999998</v>
      </c>
      <c r="I79" s="6">
        <v>0.40814784050066899</v>
      </c>
      <c r="J79" s="6">
        <v>0.43034710600940129</v>
      </c>
      <c r="K79" s="11">
        <v>0.42382077821406905</v>
      </c>
      <c r="L79" s="7">
        <v>270</v>
      </c>
      <c r="M79" s="7">
        <v>239</v>
      </c>
      <c r="N79" s="7">
        <v>245</v>
      </c>
      <c r="O79" s="7">
        <f t="shared" si="2"/>
        <v>-25</v>
      </c>
    </row>
    <row r="80" spans="2:15" x14ac:dyDescent="0.25">
      <c r="B80" s="3">
        <v>269</v>
      </c>
      <c r="C80" s="3" t="s">
        <v>546</v>
      </c>
      <c r="D80" s="3" t="s">
        <v>547</v>
      </c>
      <c r="E80" s="3" t="s">
        <v>482</v>
      </c>
      <c r="F80" s="3">
        <v>10209</v>
      </c>
      <c r="G80" s="3">
        <v>10</v>
      </c>
      <c r="H80" s="3">
        <v>0.36899999999999999</v>
      </c>
      <c r="I80" s="6">
        <v>0.40879752766059929</v>
      </c>
      <c r="J80" s="6">
        <v>0.39786432768163971</v>
      </c>
      <c r="K80" s="11">
        <v>0.39883776466307347</v>
      </c>
      <c r="L80" s="7">
        <v>269</v>
      </c>
      <c r="M80" s="7">
        <v>280</v>
      </c>
      <c r="N80" s="7">
        <v>279</v>
      </c>
      <c r="O80" s="7">
        <f t="shared" si="2"/>
        <v>10</v>
      </c>
    </row>
    <row r="81" spans="2:15" x14ac:dyDescent="0.25">
      <c r="B81" s="3">
        <v>252</v>
      </c>
      <c r="C81" s="3" t="s">
        <v>512</v>
      </c>
      <c r="D81" s="3" t="s">
        <v>513</v>
      </c>
      <c r="E81" s="3" t="s">
        <v>482</v>
      </c>
      <c r="F81" s="3">
        <v>10104</v>
      </c>
      <c r="G81" s="3">
        <v>10</v>
      </c>
      <c r="H81" s="3">
        <v>0.43099999999999999</v>
      </c>
      <c r="I81" s="6">
        <v>0.40987250491803306</v>
      </c>
      <c r="J81" s="6">
        <v>0.40366482381159713</v>
      </c>
      <c r="K81" s="11">
        <v>0.40270363826900463</v>
      </c>
      <c r="L81" s="7">
        <v>268</v>
      </c>
      <c r="M81" s="7">
        <v>272</v>
      </c>
      <c r="N81" s="7">
        <v>273</v>
      </c>
      <c r="O81" s="7">
        <f t="shared" si="2"/>
        <v>5</v>
      </c>
    </row>
    <row r="82" spans="2:15" x14ac:dyDescent="0.25">
      <c r="B82" s="3">
        <v>7</v>
      </c>
      <c r="C82" s="3" t="s">
        <v>16</v>
      </c>
      <c r="D82" s="3" t="s">
        <v>17</v>
      </c>
      <c r="E82" s="3" t="s">
        <v>13</v>
      </c>
      <c r="F82" s="3">
        <v>1403</v>
      </c>
      <c r="G82" s="3">
        <v>1</v>
      </c>
      <c r="H82" s="3"/>
      <c r="I82" s="6">
        <v>0.41165372571718883</v>
      </c>
      <c r="J82" s="6">
        <v>0.36538154935387812</v>
      </c>
      <c r="K82" s="11">
        <v>0.39344303413435744</v>
      </c>
      <c r="L82" s="7">
        <v>267</v>
      </c>
      <c r="M82" s="7">
        <v>322</v>
      </c>
      <c r="N82" s="7">
        <v>290</v>
      </c>
      <c r="O82" s="7">
        <f t="shared" si="2"/>
        <v>23</v>
      </c>
    </row>
    <row r="83" spans="2:15" x14ac:dyDescent="0.25">
      <c r="B83" s="3">
        <v>95</v>
      </c>
      <c r="C83" s="3" t="s">
        <v>194</v>
      </c>
      <c r="D83" s="3" t="s">
        <v>195</v>
      </c>
      <c r="E83" s="3" t="s">
        <v>704</v>
      </c>
      <c r="F83" s="3">
        <v>6109</v>
      </c>
      <c r="G83" s="3">
        <v>6</v>
      </c>
      <c r="H83" s="3">
        <v>0.52</v>
      </c>
      <c r="I83" s="6">
        <v>0.41188379669988306</v>
      </c>
      <c r="J83" s="6">
        <v>0.41294561761952903</v>
      </c>
      <c r="K83" s="11">
        <v>0.41248883778831291</v>
      </c>
      <c r="L83" s="7">
        <v>266</v>
      </c>
      <c r="M83" s="7">
        <v>262</v>
      </c>
      <c r="N83" s="7">
        <v>257</v>
      </c>
      <c r="O83" s="7">
        <f t="shared" si="2"/>
        <v>-9</v>
      </c>
    </row>
    <row r="84" spans="2:15" x14ac:dyDescent="0.25">
      <c r="B84" s="3">
        <v>226</v>
      </c>
      <c r="C84" s="3" t="s">
        <v>459</v>
      </c>
      <c r="D84" s="3" t="s">
        <v>460</v>
      </c>
      <c r="E84" s="3" t="s">
        <v>408</v>
      </c>
      <c r="F84" s="3">
        <v>9117</v>
      </c>
      <c r="G84" s="3">
        <v>9</v>
      </c>
      <c r="H84" s="3"/>
      <c r="I84" s="6">
        <v>0.41352752290261641</v>
      </c>
      <c r="J84" s="6">
        <v>0.41526581607151197</v>
      </c>
      <c r="K84" s="11">
        <v>0.41227507710362565</v>
      </c>
      <c r="L84" s="7">
        <v>265</v>
      </c>
      <c r="M84" s="7">
        <v>258</v>
      </c>
      <c r="N84" s="7">
        <v>258</v>
      </c>
      <c r="O84" s="7">
        <f t="shared" si="2"/>
        <v>-7</v>
      </c>
    </row>
    <row r="85" spans="2:15" x14ac:dyDescent="0.25">
      <c r="B85" s="3">
        <v>177</v>
      </c>
      <c r="C85" s="3" t="s">
        <v>360</v>
      </c>
      <c r="D85" s="3" t="s">
        <v>361</v>
      </c>
      <c r="E85" s="3" t="s">
        <v>341</v>
      </c>
      <c r="F85" s="3">
        <v>8104</v>
      </c>
      <c r="G85" s="3">
        <v>8</v>
      </c>
      <c r="H85" s="3">
        <v>0.45700000000000002</v>
      </c>
      <c r="I85" s="6">
        <v>0.41391631759960223</v>
      </c>
      <c r="J85" s="6">
        <v>0.42222641142746087</v>
      </c>
      <c r="K85" s="11">
        <v>0.4121710159820724</v>
      </c>
      <c r="L85" s="7">
        <v>264</v>
      </c>
      <c r="M85" s="7">
        <v>248</v>
      </c>
      <c r="N85" s="7">
        <v>259</v>
      </c>
      <c r="O85" s="7">
        <f t="shared" si="2"/>
        <v>-5</v>
      </c>
    </row>
    <row r="86" spans="2:15" x14ac:dyDescent="0.25">
      <c r="B86" s="3">
        <v>105</v>
      </c>
      <c r="C86" s="3" t="s">
        <v>214</v>
      </c>
      <c r="D86" s="3" t="s">
        <v>215</v>
      </c>
      <c r="E86" s="3" t="s">
        <v>704</v>
      </c>
      <c r="F86" s="3">
        <v>6113</v>
      </c>
      <c r="G86" s="3">
        <v>6</v>
      </c>
      <c r="H86" s="3">
        <v>0.44</v>
      </c>
      <c r="I86" s="6">
        <v>0.41543307492317616</v>
      </c>
      <c r="J86" s="6">
        <v>0.41874611374948645</v>
      </c>
      <c r="K86" s="11">
        <v>0.41770887662865858</v>
      </c>
      <c r="L86" s="7">
        <v>263</v>
      </c>
      <c r="M86" s="7">
        <v>252</v>
      </c>
      <c r="N86" s="7">
        <v>252</v>
      </c>
      <c r="O86" s="7">
        <f t="shared" si="2"/>
        <v>-11</v>
      </c>
    </row>
    <row r="87" spans="2:15" x14ac:dyDescent="0.25">
      <c r="B87" s="3">
        <v>159</v>
      </c>
      <c r="C87" s="3" t="s">
        <v>323</v>
      </c>
      <c r="D87" s="3" t="s">
        <v>324</v>
      </c>
      <c r="E87" s="3" t="s">
        <v>298</v>
      </c>
      <c r="F87" s="3">
        <v>16201</v>
      </c>
      <c r="G87" s="3">
        <v>16</v>
      </c>
      <c r="H87" s="3">
        <v>0.43</v>
      </c>
      <c r="I87" s="6">
        <v>0.41560507278996439</v>
      </c>
      <c r="J87" s="6">
        <v>0.42570670910543534</v>
      </c>
      <c r="K87" s="11">
        <v>0.42502060743753201</v>
      </c>
      <c r="L87" s="7">
        <v>262</v>
      </c>
      <c r="M87" s="7">
        <v>244</v>
      </c>
      <c r="N87" s="7">
        <v>243</v>
      </c>
      <c r="O87" s="7">
        <f t="shared" si="2"/>
        <v>-19</v>
      </c>
    </row>
    <row r="88" spans="2:15" x14ac:dyDescent="0.25">
      <c r="B88" s="3">
        <v>41</v>
      </c>
      <c r="C88" s="3" t="s">
        <v>85</v>
      </c>
      <c r="D88" s="3" t="s">
        <v>86</v>
      </c>
      <c r="E88" s="3" t="s">
        <v>65</v>
      </c>
      <c r="F88" s="3">
        <v>4304</v>
      </c>
      <c r="G88" s="3">
        <v>4</v>
      </c>
      <c r="H88" s="3">
        <v>0.48299999999999998</v>
      </c>
      <c r="I88" s="6">
        <v>0.41579744220706383</v>
      </c>
      <c r="J88" s="6">
        <v>0.40134462535961413</v>
      </c>
      <c r="K88" s="11">
        <v>0.40078725546883781</v>
      </c>
      <c r="L88" s="7">
        <v>261</v>
      </c>
      <c r="M88" s="7">
        <v>277</v>
      </c>
      <c r="N88" s="7">
        <v>276</v>
      </c>
      <c r="O88" s="7">
        <f t="shared" si="2"/>
        <v>15</v>
      </c>
    </row>
    <row r="89" spans="2:15" x14ac:dyDescent="0.25">
      <c r="B89" s="3">
        <v>16</v>
      </c>
      <c r="C89" s="3" t="s">
        <v>34</v>
      </c>
      <c r="D89" s="3" t="s">
        <v>35</v>
      </c>
      <c r="E89" s="3" t="s">
        <v>26</v>
      </c>
      <c r="F89" s="3">
        <v>2202</v>
      </c>
      <c r="G89" s="3">
        <v>2</v>
      </c>
      <c r="H89" s="3"/>
      <c r="I89" s="6">
        <v>0.41661760790710722</v>
      </c>
      <c r="J89" s="6">
        <v>0.39090373232569076</v>
      </c>
      <c r="K89" s="11">
        <v>0.39360239047785445</v>
      </c>
      <c r="L89" s="7">
        <v>260</v>
      </c>
      <c r="M89" s="7">
        <v>292</v>
      </c>
      <c r="N89" s="7">
        <v>289</v>
      </c>
      <c r="O89" s="7">
        <f t="shared" si="2"/>
        <v>29</v>
      </c>
    </row>
    <row r="90" spans="2:15" x14ac:dyDescent="0.25">
      <c r="B90" s="3">
        <v>160</v>
      </c>
      <c r="C90" s="3" t="s">
        <v>325</v>
      </c>
      <c r="D90" s="3" t="s">
        <v>326</v>
      </c>
      <c r="E90" s="3" t="s">
        <v>298</v>
      </c>
      <c r="F90" s="3">
        <v>16206</v>
      </c>
      <c r="G90" s="3">
        <v>16</v>
      </c>
      <c r="H90" s="3">
        <v>0.52800000000000002</v>
      </c>
      <c r="I90" s="6">
        <v>0.41679825247527896</v>
      </c>
      <c r="J90" s="6">
        <v>0.41990621297547792</v>
      </c>
      <c r="K90" s="11">
        <v>0.41349588007301646</v>
      </c>
      <c r="L90" s="7">
        <v>259</v>
      </c>
      <c r="M90" s="7">
        <v>251</v>
      </c>
      <c r="N90" s="7">
        <v>256</v>
      </c>
      <c r="O90" s="7">
        <f t="shared" si="2"/>
        <v>-3</v>
      </c>
    </row>
    <row r="91" spans="2:15" x14ac:dyDescent="0.25">
      <c r="B91" s="3">
        <v>262</v>
      </c>
      <c r="C91" s="3" t="s">
        <v>532</v>
      </c>
      <c r="D91" s="3" t="s">
        <v>533</v>
      </c>
      <c r="E91" s="3" t="s">
        <v>482</v>
      </c>
      <c r="F91" s="3">
        <v>10302</v>
      </c>
      <c r="G91" s="3">
        <v>10</v>
      </c>
      <c r="H91" s="3">
        <v>0.39100000000000001</v>
      </c>
      <c r="I91" s="6">
        <v>0.41682606829697144</v>
      </c>
      <c r="J91" s="6">
        <v>0.40946531994155455</v>
      </c>
      <c r="K91" s="11">
        <v>0.40812287218888377</v>
      </c>
      <c r="L91" s="7">
        <v>258</v>
      </c>
      <c r="M91" s="7">
        <v>267</v>
      </c>
      <c r="N91" s="7">
        <v>264</v>
      </c>
      <c r="O91" s="7">
        <f t="shared" si="2"/>
        <v>6</v>
      </c>
    </row>
    <row r="92" spans="2:15" x14ac:dyDescent="0.25">
      <c r="B92" s="3">
        <v>339</v>
      </c>
      <c r="C92" s="3" t="s">
        <v>683</v>
      </c>
      <c r="D92" s="3" t="s">
        <v>684</v>
      </c>
      <c r="E92" s="3" t="s">
        <v>707</v>
      </c>
      <c r="F92" s="3">
        <v>13203</v>
      </c>
      <c r="G92" s="3">
        <v>13</v>
      </c>
      <c r="H92" s="3">
        <v>0.41099999999999998</v>
      </c>
      <c r="I92" s="6">
        <v>0.41687130524517346</v>
      </c>
      <c r="J92" s="6">
        <v>0.40946531994155455</v>
      </c>
      <c r="K92" s="11">
        <v>0.41401022661543396</v>
      </c>
      <c r="L92" s="7">
        <v>257</v>
      </c>
      <c r="M92" s="7">
        <v>265</v>
      </c>
      <c r="N92" s="7">
        <v>254</v>
      </c>
      <c r="O92" s="7">
        <f t="shared" si="2"/>
        <v>-3</v>
      </c>
    </row>
    <row r="93" spans="2:15" x14ac:dyDescent="0.25">
      <c r="B93" s="3">
        <v>90</v>
      </c>
      <c r="C93" s="3" t="s">
        <v>184</v>
      </c>
      <c r="D93" s="3" t="s">
        <v>185</v>
      </c>
      <c r="E93" s="3" t="s">
        <v>704</v>
      </c>
      <c r="F93" s="3">
        <v>6202</v>
      </c>
      <c r="G93" s="3">
        <v>6</v>
      </c>
      <c r="H93" s="3"/>
      <c r="I93" s="6">
        <v>0.41771739500896865</v>
      </c>
      <c r="J93" s="6">
        <v>0.44310819749530761</v>
      </c>
      <c r="K93" s="11">
        <v>0.40547772845935875</v>
      </c>
      <c r="L93" s="7">
        <v>256</v>
      </c>
      <c r="M93" s="7">
        <v>229</v>
      </c>
      <c r="N93" s="7">
        <v>272</v>
      </c>
      <c r="O93" s="7">
        <f t="shared" si="2"/>
        <v>16</v>
      </c>
    </row>
    <row r="94" spans="2:15" x14ac:dyDescent="0.25">
      <c r="B94" s="3">
        <v>155</v>
      </c>
      <c r="C94" s="3" t="s">
        <v>315</v>
      </c>
      <c r="D94" s="3" t="s">
        <v>316</v>
      </c>
      <c r="E94" s="3" t="s">
        <v>298</v>
      </c>
      <c r="F94" s="3">
        <v>16105</v>
      </c>
      <c r="G94" s="3">
        <v>16</v>
      </c>
      <c r="H94" s="3">
        <v>0.441</v>
      </c>
      <c r="I94" s="6">
        <v>0.41794042028684425</v>
      </c>
      <c r="J94" s="6">
        <v>0.42686680833142682</v>
      </c>
      <c r="K94" s="11">
        <v>0.41952974489338629</v>
      </c>
      <c r="L94" s="7">
        <v>255</v>
      </c>
      <c r="M94" s="7">
        <v>243</v>
      </c>
      <c r="N94" s="7">
        <v>249</v>
      </c>
      <c r="O94" s="7">
        <f t="shared" si="2"/>
        <v>-6</v>
      </c>
    </row>
    <row r="95" spans="2:15" x14ac:dyDescent="0.25">
      <c r="B95" s="3">
        <v>127</v>
      </c>
      <c r="C95" s="3" t="s">
        <v>238</v>
      </c>
      <c r="D95" s="3" t="s">
        <v>259</v>
      </c>
      <c r="E95" s="3" t="s">
        <v>238</v>
      </c>
      <c r="F95" s="3">
        <v>7105</v>
      </c>
      <c r="G95" s="3">
        <v>7</v>
      </c>
      <c r="H95" s="3">
        <v>0.44500000000000001</v>
      </c>
      <c r="I95" s="6">
        <v>0.4186838416300091</v>
      </c>
      <c r="J95" s="6">
        <v>0.41990621297547792</v>
      </c>
      <c r="K95" s="11">
        <v>0.42422662750051993</v>
      </c>
      <c r="L95" s="7">
        <v>254</v>
      </c>
      <c r="M95" s="7">
        <v>250</v>
      </c>
      <c r="N95" s="7">
        <v>244</v>
      </c>
      <c r="O95" s="7">
        <f t="shared" si="2"/>
        <v>-10</v>
      </c>
    </row>
    <row r="96" spans="2:15" x14ac:dyDescent="0.25">
      <c r="B96" s="3">
        <v>248</v>
      </c>
      <c r="C96" s="3" t="s">
        <v>504</v>
      </c>
      <c r="D96" s="3" t="s">
        <v>505</v>
      </c>
      <c r="E96" s="3" t="s">
        <v>482</v>
      </c>
      <c r="F96" s="3">
        <v>10203</v>
      </c>
      <c r="G96" s="3">
        <v>10</v>
      </c>
      <c r="H96" s="3">
        <v>0.47799999999999998</v>
      </c>
      <c r="I96" s="6">
        <v>0.41931656359948799</v>
      </c>
      <c r="J96" s="6">
        <v>0.42338651065345234</v>
      </c>
      <c r="K96" s="11">
        <v>0.42069905450456602</v>
      </c>
      <c r="L96" s="7">
        <v>253</v>
      </c>
      <c r="M96" s="7">
        <v>246</v>
      </c>
      <c r="N96" s="7">
        <v>248</v>
      </c>
      <c r="O96" s="7">
        <f t="shared" si="2"/>
        <v>-5</v>
      </c>
    </row>
    <row r="97" spans="2:15" x14ac:dyDescent="0.25">
      <c r="B97" s="3">
        <v>92</v>
      </c>
      <c r="C97" s="3" t="s">
        <v>188</v>
      </c>
      <c r="D97" s="3" t="s">
        <v>189</v>
      </c>
      <c r="E97" s="3" t="s">
        <v>704</v>
      </c>
      <c r="F97" s="3">
        <v>6203</v>
      </c>
      <c r="G97" s="3">
        <v>6</v>
      </c>
      <c r="H97" s="3">
        <v>0.45</v>
      </c>
      <c r="I97" s="6">
        <v>0.42242304589383278</v>
      </c>
      <c r="J97" s="6">
        <v>0.43498750291336724</v>
      </c>
      <c r="K97" s="11">
        <v>0.4104087839890288</v>
      </c>
      <c r="L97" s="7">
        <v>252</v>
      </c>
      <c r="M97" s="7">
        <v>237</v>
      </c>
      <c r="N97" s="7">
        <v>261</v>
      </c>
      <c r="O97" s="7">
        <f t="shared" si="2"/>
        <v>9</v>
      </c>
    </row>
    <row r="98" spans="2:15" x14ac:dyDescent="0.25">
      <c r="B98" s="3">
        <v>285</v>
      </c>
      <c r="C98" s="3" t="s">
        <v>577</v>
      </c>
      <c r="D98" s="3" t="s">
        <v>578</v>
      </c>
      <c r="E98" s="3" t="s">
        <v>706</v>
      </c>
      <c r="F98" s="3">
        <v>12102</v>
      </c>
      <c r="G98" s="3">
        <v>12</v>
      </c>
      <c r="H98" s="3"/>
      <c r="I98" s="6">
        <v>0.42402631660220425</v>
      </c>
      <c r="J98" s="6">
        <v>0.4141057168455205</v>
      </c>
      <c r="K98" s="11">
        <v>0.40694033870772267</v>
      </c>
      <c r="L98" s="7">
        <v>251</v>
      </c>
      <c r="M98" s="7">
        <v>257</v>
      </c>
      <c r="N98" s="7">
        <v>267</v>
      </c>
      <c r="O98" s="7">
        <f t="shared" si="2"/>
        <v>16</v>
      </c>
    </row>
    <row r="99" spans="2:15" x14ac:dyDescent="0.25">
      <c r="B99" s="3">
        <v>279</v>
      </c>
      <c r="C99" s="3" t="s">
        <v>566</v>
      </c>
      <c r="D99" s="3" t="s">
        <v>567</v>
      </c>
      <c r="E99" s="3" t="s">
        <v>705</v>
      </c>
      <c r="F99" s="3">
        <v>11203</v>
      </c>
      <c r="G99" s="3">
        <v>11</v>
      </c>
      <c r="H99" s="3"/>
      <c r="I99" s="6">
        <v>0.42430205570029866</v>
      </c>
      <c r="J99" s="6">
        <v>0.42686680833142682</v>
      </c>
      <c r="K99" s="11">
        <v>0.42375437907746971</v>
      </c>
      <c r="L99" s="7">
        <v>250</v>
      </c>
      <c r="M99" s="7">
        <v>242</v>
      </c>
      <c r="N99" s="7">
        <v>246</v>
      </c>
      <c r="O99" s="7">
        <f t="shared" si="2"/>
        <v>-4</v>
      </c>
    </row>
    <row r="100" spans="2:15" x14ac:dyDescent="0.25">
      <c r="B100" s="3">
        <v>288</v>
      </c>
      <c r="C100" s="3" t="s">
        <v>583</v>
      </c>
      <c r="D100" s="3" t="s">
        <v>584</v>
      </c>
      <c r="E100" s="3" t="s">
        <v>706</v>
      </c>
      <c r="F100" s="3">
        <v>12302</v>
      </c>
      <c r="G100" s="3">
        <v>12</v>
      </c>
      <c r="H100" s="3"/>
      <c r="I100" s="6">
        <v>0.42533314134904104</v>
      </c>
      <c r="J100" s="6">
        <v>0.37234214470982707</v>
      </c>
      <c r="K100" s="11">
        <v>0.39139223014689439</v>
      </c>
      <c r="L100" s="7">
        <v>249</v>
      </c>
      <c r="M100" s="7">
        <v>319</v>
      </c>
      <c r="N100" s="7">
        <v>292</v>
      </c>
      <c r="O100" s="7">
        <f t="shared" si="2"/>
        <v>43</v>
      </c>
    </row>
    <row r="101" spans="2:15" x14ac:dyDescent="0.25">
      <c r="B101" s="3">
        <v>208</v>
      </c>
      <c r="C101" s="3" t="s">
        <v>423</v>
      </c>
      <c r="D101" s="3" t="s">
        <v>424</v>
      </c>
      <c r="E101" s="3" t="s">
        <v>408</v>
      </c>
      <c r="F101" s="3">
        <v>9105</v>
      </c>
      <c r="G101" s="3">
        <v>9</v>
      </c>
      <c r="H101" s="3">
        <v>0.44600000000000001</v>
      </c>
      <c r="I101" s="6">
        <v>0.42551009254722805</v>
      </c>
      <c r="J101" s="6">
        <v>0.42454660987944387</v>
      </c>
      <c r="K101" s="11">
        <v>0.41870434820646413</v>
      </c>
      <c r="L101" s="7">
        <v>248</v>
      </c>
      <c r="M101" s="7">
        <v>245</v>
      </c>
      <c r="N101" s="7">
        <v>250</v>
      </c>
      <c r="O101" s="7">
        <f t="shared" si="2"/>
        <v>2</v>
      </c>
    </row>
    <row r="102" spans="2:15" x14ac:dyDescent="0.25">
      <c r="B102" s="3">
        <v>251</v>
      </c>
      <c r="C102" s="3" t="s">
        <v>510</v>
      </c>
      <c r="D102" s="3" t="s">
        <v>511</v>
      </c>
      <c r="E102" s="3" t="s">
        <v>482</v>
      </c>
      <c r="F102" s="3">
        <v>10205</v>
      </c>
      <c r="G102" s="3">
        <v>10</v>
      </c>
      <c r="H102" s="3">
        <v>0.47399999999999998</v>
      </c>
      <c r="I102" s="6">
        <v>0.42597554721372899</v>
      </c>
      <c r="J102" s="6">
        <v>0.43498750291336724</v>
      </c>
      <c r="K102" s="11">
        <v>0.43303216857452126</v>
      </c>
      <c r="L102" s="7">
        <v>247</v>
      </c>
      <c r="M102" s="7">
        <v>236</v>
      </c>
      <c r="N102" s="7">
        <v>240</v>
      </c>
      <c r="O102" s="7">
        <f t="shared" si="2"/>
        <v>-7</v>
      </c>
    </row>
    <row r="103" spans="2:15" x14ac:dyDescent="0.25">
      <c r="B103" s="3">
        <v>31</v>
      </c>
      <c r="C103" s="3" t="s">
        <v>66</v>
      </c>
      <c r="D103" s="3" t="s">
        <v>67</v>
      </c>
      <c r="E103" s="3" t="s">
        <v>65</v>
      </c>
      <c r="F103" s="3">
        <v>4202</v>
      </c>
      <c r="G103" s="3">
        <v>4</v>
      </c>
      <c r="H103" s="3">
        <v>0.40699999999999997</v>
      </c>
      <c r="I103" s="6">
        <v>0.42627342638555832</v>
      </c>
      <c r="J103" s="6">
        <v>0.41758601452349497</v>
      </c>
      <c r="K103" s="11">
        <v>0.41383288686928305</v>
      </c>
      <c r="L103" s="7">
        <v>246</v>
      </c>
      <c r="M103" s="7">
        <v>254</v>
      </c>
      <c r="N103" s="7">
        <v>255</v>
      </c>
      <c r="O103" s="7">
        <f t="shared" si="2"/>
        <v>9</v>
      </c>
    </row>
    <row r="104" spans="2:15" x14ac:dyDescent="0.25">
      <c r="B104" s="3">
        <v>312</v>
      </c>
      <c r="C104" s="3" t="s">
        <v>629</v>
      </c>
      <c r="D104" s="3" t="s">
        <v>630</v>
      </c>
      <c r="E104" s="3" t="s">
        <v>707</v>
      </c>
      <c r="F104" s="3">
        <v>13112</v>
      </c>
      <c r="G104" s="3">
        <v>13</v>
      </c>
      <c r="H104" s="3">
        <v>0.51300000000000001</v>
      </c>
      <c r="I104" s="6">
        <v>0.42696441555861347</v>
      </c>
      <c r="J104" s="6">
        <v>0.43730770136535019</v>
      </c>
      <c r="K104" s="11">
        <v>0.43962960617779534</v>
      </c>
      <c r="L104" s="7">
        <v>245</v>
      </c>
      <c r="M104" s="7">
        <v>233</v>
      </c>
      <c r="N104" s="7">
        <v>234</v>
      </c>
      <c r="O104" s="7">
        <f t="shared" si="2"/>
        <v>-11</v>
      </c>
    </row>
    <row r="105" spans="2:15" x14ac:dyDescent="0.25">
      <c r="B105" s="3">
        <v>139</v>
      </c>
      <c r="C105" s="3" t="s">
        <v>282</v>
      </c>
      <c r="D105" s="3" t="s">
        <v>283</v>
      </c>
      <c r="E105" s="3" t="s">
        <v>238</v>
      </c>
      <c r="F105" s="3">
        <v>7406</v>
      </c>
      <c r="G105" s="3">
        <v>7</v>
      </c>
      <c r="H105" s="3">
        <v>0.51400000000000001</v>
      </c>
      <c r="I105" s="6">
        <v>0.42813127136872137</v>
      </c>
      <c r="J105" s="6">
        <v>0.42802690755741835</v>
      </c>
      <c r="K105" s="11">
        <v>0.42668819059578789</v>
      </c>
      <c r="L105" s="7">
        <v>244</v>
      </c>
      <c r="M105" s="7">
        <v>241</v>
      </c>
      <c r="N105" s="7">
        <v>242</v>
      </c>
      <c r="O105" s="7">
        <f t="shared" si="2"/>
        <v>-2</v>
      </c>
    </row>
    <row r="106" spans="2:15" x14ac:dyDescent="0.25">
      <c r="B106" s="3">
        <v>28</v>
      </c>
      <c r="C106" s="3" t="s">
        <v>59</v>
      </c>
      <c r="D106" s="3" t="s">
        <v>60</v>
      </c>
      <c r="E106" s="3" t="s">
        <v>46</v>
      </c>
      <c r="F106" s="3">
        <v>3103</v>
      </c>
      <c r="G106" s="3">
        <v>3</v>
      </c>
      <c r="H106" s="3"/>
      <c r="I106" s="6">
        <v>0.42829907537629186</v>
      </c>
      <c r="J106" s="6">
        <v>0.42454660987944387</v>
      </c>
      <c r="K106" s="11">
        <v>0.43780718010275005</v>
      </c>
      <c r="L106" s="7">
        <v>243</v>
      </c>
      <c r="M106" s="7">
        <v>247</v>
      </c>
      <c r="N106" s="7">
        <v>237</v>
      </c>
      <c r="O106" s="7">
        <f t="shared" si="2"/>
        <v>-6</v>
      </c>
    </row>
    <row r="107" spans="2:15" x14ac:dyDescent="0.25">
      <c r="B107" s="3">
        <v>84</v>
      </c>
      <c r="C107" s="3" t="s">
        <v>172</v>
      </c>
      <c r="D107" s="3" t="s">
        <v>173</v>
      </c>
      <c r="E107" s="3" t="s">
        <v>704</v>
      </c>
      <c r="F107" s="3">
        <v>6303</v>
      </c>
      <c r="G107" s="3">
        <v>6</v>
      </c>
      <c r="H107" s="3">
        <v>0.48199999999999998</v>
      </c>
      <c r="I107" s="6">
        <v>0.4285317950150877</v>
      </c>
      <c r="J107" s="6">
        <v>0.43962789981733319</v>
      </c>
      <c r="K107" s="11">
        <v>0.43676574143558644</v>
      </c>
      <c r="L107" s="7">
        <v>242</v>
      </c>
      <c r="M107" s="7">
        <v>231</v>
      </c>
      <c r="N107" s="7">
        <v>238</v>
      </c>
      <c r="O107" s="7">
        <f t="shared" si="2"/>
        <v>-4</v>
      </c>
    </row>
    <row r="108" spans="2:15" x14ac:dyDescent="0.25">
      <c r="B108" s="3">
        <v>104</v>
      </c>
      <c r="C108" s="3" t="s">
        <v>212</v>
      </c>
      <c r="D108" s="3" t="s">
        <v>213</v>
      </c>
      <c r="E108" s="3" t="s">
        <v>704</v>
      </c>
      <c r="F108" s="3">
        <v>6112</v>
      </c>
      <c r="G108" s="3">
        <v>6</v>
      </c>
      <c r="H108" s="3">
        <v>0.44800000000000001</v>
      </c>
      <c r="I108" s="6">
        <v>0.42947170963808518</v>
      </c>
      <c r="J108" s="6">
        <v>0.44542839594729061</v>
      </c>
      <c r="K108" s="11">
        <v>0.44592622482319616</v>
      </c>
      <c r="L108" s="7">
        <v>241</v>
      </c>
      <c r="M108" s="7">
        <v>224</v>
      </c>
      <c r="N108" s="7">
        <v>225</v>
      </c>
      <c r="O108" s="7">
        <f t="shared" si="2"/>
        <v>-16</v>
      </c>
    </row>
    <row r="109" spans="2:15" x14ac:dyDescent="0.25">
      <c r="B109" s="3">
        <v>32</v>
      </c>
      <c r="C109" s="3" t="s">
        <v>68</v>
      </c>
      <c r="D109" s="3" t="s">
        <v>69</v>
      </c>
      <c r="E109" s="3" t="s">
        <v>65</v>
      </c>
      <c r="F109" s="3">
        <v>4302</v>
      </c>
      <c r="G109" s="3">
        <v>4</v>
      </c>
      <c r="H109" s="3">
        <v>0.51100000000000001</v>
      </c>
      <c r="I109" s="6">
        <v>0.43216212723127384</v>
      </c>
      <c r="J109" s="6">
        <v>0.42106631220146939</v>
      </c>
      <c r="K109" s="11">
        <v>0.42330620459674617</v>
      </c>
      <c r="L109" s="7">
        <v>240</v>
      </c>
      <c r="M109" s="7">
        <v>249</v>
      </c>
      <c r="N109" s="7">
        <v>247</v>
      </c>
      <c r="O109" s="7">
        <f t="shared" si="2"/>
        <v>7</v>
      </c>
    </row>
    <row r="110" spans="2:15" x14ac:dyDescent="0.25">
      <c r="B110" s="3">
        <v>85</v>
      </c>
      <c r="C110" s="3" t="s">
        <v>174</v>
      </c>
      <c r="D110" s="3" t="s">
        <v>175</v>
      </c>
      <c r="E110" s="3" t="s">
        <v>704</v>
      </c>
      <c r="F110" s="3">
        <v>6102</v>
      </c>
      <c r="G110" s="3">
        <v>6</v>
      </c>
      <c r="H110" s="3">
        <v>0.46899999999999997</v>
      </c>
      <c r="I110" s="6">
        <v>0.43377150307315676</v>
      </c>
      <c r="J110" s="6">
        <v>0.44310819749530761</v>
      </c>
      <c r="K110" s="11">
        <v>0.44189643709518989</v>
      </c>
      <c r="L110" s="7">
        <v>239</v>
      </c>
      <c r="M110" s="7">
        <v>230</v>
      </c>
      <c r="N110" s="7">
        <v>230</v>
      </c>
      <c r="O110" s="7">
        <f t="shared" si="2"/>
        <v>-9</v>
      </c>
    </row>
    <row r="111" spans="2:15" x14ac:dyDescent="0.25">
      <c r="B111" s="3">
        <v>237</v>
      </c>
      <c r="C111" s="3" t="s">
        <v>482</v>
      </c>
      <c r="D111" s="3" t="s">
        <v>483</v>
      </c>
      <c r="E111" s="3" t="s">
        <v>473</v>
      </c>
      <c r="F111" s="3">
        <v>14104</v>
      </c>
      <c r="G111" s="3">
        <v>14</v>
      </c>
      <c r="H111" s="3">
        <v>0.47599999999999998</v>
      </c>
      <c r="I111" s="6">
        <v>0.43503688641274618</v>
      </c>
      <c r="J111" s="6">
        <v>0.45006879285125656</v>
      </c>
      <c r="K111" s="11">
        <v>0.43965452471620436</v>
      </c>
      <c r="L111" s="7">
        <v>238</v>
      </c>
      <c r="M111" s="7">
        <v>221</v>
      </c>
      <c r="N111" s="7">
        <v>233</v>
      </c>
      <c r="O111" s="7">
        <f t="shared" si="2"/>
        <v>-5</v>
      </c>
    </row>
    <row r="112" spans="2:15" x14ac:dyDescent="0.25">
      <c r="B112" s="3">
        <v>44</v>
      </c>
      <c r="C112" s="3" t="s">
        <v>91</v>
      </c>
      <c r="D112" s="3" t="s">
        <v>92</v>
      </c>
      <c r="E112" s="3" t="s">
        <v>65</v>
      </c>
      <c r="F112" s="3">
        <v>4106</v>
      </c>
      <c r="G112" s="3">
        <v>4</v>
      </c>
      <c r="H112" s="3">
        <v>0.54100000000000004</v>
      </c>
      <c r="I112" s="6">
        <v>0.43529590277191776</v>
      </c>
      <c r="J112" s="6">
        <v>0.43266730446138424</v>
      </c>
      <c r="K112" s="11">
        <v>0.43606999712696826</v>
      </c>
      <c r="L112" s="7">
        <v>237</v>
      </c>
      <c r="M112" s="7">
        <v>238</v>
      </c>
      <c r="N112" s="7">
        <v>239</v>
      </c>
      <c r="O112" s="7">
        <f t="shared" si="2"/>
        <v>2</v>
      </c>
    </row>
    <row r="113" spans="2:15" x14ac:dyDescent="0.25">
      <c r="B113" s="3">
        <v>325</v>
      </c>
      <c r="C113" s="3" t="s">
        <v>655</v>
      </c>
      <c r="D113" s="3" t="s">
        <v>656</v>
      </c>
      <c r="E113" s="3" t="s">
        <v>707</v>
      </c>
      <c r="F113" s="3">
        <v>13404</v>
      </c>
      <c r="G113" s="3">
        <v>13</v>
      </c>
      <c r="H113" s="3">
        <v>0.47699999999999998</v>
      </c>
      <c r="I113" s="6">
        <v>0.43663107324063</v>
      </c>
      <c r="J113" s="6">
        <v>0.43498750291336724</v>
      </c>
      <c r="K113" s="11">
        <v>0.44023789057429252</v>
      </c>
      <c r="L113" s="7">
        <v>236</v>
      </c>
      <c r="M113" s="7">
        <v>235</v>
      </c>
      <c r="N113" s="7">
        <v>232</v>
      </c>
      <c r="O113" s="7">
        <f t="shared" si="2"/>
        <v>-4</v>
      </c>
    </row>
    <row r="114" spans="2:15" x14ac:dyDescent="0.25">
      <c r="B114" s="3">
        <v>223</v>
      </c>
      <c r="C114" s="3" t="s">
        <v>453</v>
      </c>
      <c r="D114" s="3" t="s">
        <v>454</v>
      </c>
      <c r="E114" s="3" t="s">
        <v>408</v>
      </c>
      <c r="F114" s="3">
        <v>9209</v>
      </c>
      <c r="G114" s="3">
        <v>9</v>
      </c>
      <c r="H114" s="3">
        <v>0.41799999999999998</v>
      </c>
      <c r="I114" s="6">
        <v>0.43739487614805156</v>
      </c>
      <c r="J114" s="6">
        <v>0.43034710600940129</v>
      </c>
      <c r="K114" s="11">
        <v>0.42832092725360116</v>
      </c>
      <c r="L114" s="7">
        <v>235</v>
      </c>
      <c r="M114" s="7">
        <v>240</v>
      </c>
      <c r="N114" s="7">
        <v>241</v>
      </c>
      <c r="O114" s="7">
        <f t="shared" si="2"/>
        <v>6</v>
      </c>
    </row>
    <row r="115" spans="2:15" x14ac:dyDescent="0.25">
      <c r="B115" s="3">
        <v>230</v>
      </c>
      <c r="C115" s="3" t="s">
        <v>467</v>
      </c>
      <c r="D115" s="3" t="s">
        <v>468</v>
      </c>
      <c r="E115" s="3" t="s">
        <v>408</v>
      </c>
      <c r="F115" s="3">
        <v>9119</v>
      </c>
      <c r="G115" s="3">
        <v>9</v>
      </c>
      <c r="H115" s="3">
        <v>0.45700000000000002</v>
      </c>
      <c r="I115" s="6">
        <v>0.43832054715662722</v>
      </c>
      <c r="J115" s="6">
        <v>0.44310819749530761</v>
      </c>
      <c r="K115" s="11">
        <v>0.43951913466914955</v>
      </c>
      <c r="L115" s="7">
        <v>234</v>
      </c>
      <c r="M115" s="7">
        <v>228</v>
      </c>
      <c r="N115" s="7">
        <v>235</v>
      </c>
      <c r="O115" s="7">
        <f t="shared" si="2"/>
        <v>1</v>
      </c>
    </row>
    <row r="116" spans="2:15" x14ac:dyDescent="0.25">
      <c r="B116" s="3">
        <v>266</v>
      </c>
      <c r="C116" s="3" t="s">
        <v>540</v>
      </c>
      <c r="D116" s="3" t="s">
        <v>541</v>
      </c>
      <c r="E116" s="3" t="s">
        <v>482</v>
      </c>
      <c r="F116" s="3">
        <v>10304</v>
      </c>
      <c r="G116" s="3">
        <v>10</v>
      </c>
      <c r="H116" s="3">
        <v>0.51100000000000001</v>
      </c>
      <c r="I116" s="6">
        <v>0.4403124715399675</v>
      </c>
      <c r="J116" s="6">
        <v>0.45122889207724803</v>
      </c>
      <c r="K116" s="11">
        <v>0.44609158346674843</v>
      </c>
      <c r="L116" s="7">
        <v>233</v>
      </c>
      <c r="M116" s="7">
        <v>219</v>
      </c>
      <c r="N116" s="7">
        <v>224</v>
      </c>
      <c r="O116" s="7">
        <f t="shared" si="2"/>
        <v>-9</v>
      </c>
    </row>
    <row r="117" spans="2:15" x14ac:dyDescent="0.25">
      <c r="B117" s="3">
        <v>136</v>
      </c>
      <c r="C117" s="3" t="s">
        <v>276</v>
      </c>
      <c r="D117" s="3" t="s">
        <v>277</v>
      </c>
      <c r="E117" s="3" t="s">
        <v>238</v>
      </c>
      <c r="F117" s="3">
        <v>7306</v>
      </c>
      <c r="G117" s="3">
        <v>7</v>
      </c>
      <c r="H117" s="3">
        <v>0.45200000000000001</v>
      </c>
      <c r="I117" s="6">
        <v>0.44044296733093452</v>
      </c>
      <c r="J117" s="6">
        <v>0.45238899130323951</v>
      </c>
      <c r="K117" s="11">
        <v>0.44365290471209634</v>
      </c>
      <c r="L117" s="7">
        <v>232</v>
      </c>
      <c r="M117" s="7">
        <v>215</v>
      </c>
      <c r="N117" s="7">
        <v>227</v>
      </c>
      <c r="O117" s="7">
        <f t="shared" si="2"/>
        <v>-5</v>
      </c>
    </row>
    <row r="118" spans="2:15" x14ac:dyDescent="0.25">
      <c r="B118" s="3">
        <v>329</v>
      </c>
      <c r="C118" s="3" t="s">
        <v>663</v>
      </c>
      <c r="D118" s="3" t="s">
        <v>664</v>
      </c>
      <c r="E118" s="3" t="s">
        <v>707</v>
      </c>
      <c r="F118" s="3">
        <v>13202</v>
      </c>
      <c r="G118" s="3">
        <v>13</v>
      </c>
      <c r="H118" s="3">
        <v>0.45100000000000001</v>
      </c>
      <c r="I118" s="6">
        <v>0.44141567926528291</v>
      </c>
      <c r="J118" s="6">
        <v>0.43730770136535019</v>
      </c>
      <c r="K118" s="11">
        <v>0.44359336379237763</v>
      </c>
      <c r="L118" s="7">
        <v>231</v>
      </c>
      <c r="M118" s="7">
        <v>232</v>
      </c>
      <c r="N118" s="7">
        <v>228</v>
      </c>
      <c r="O118" s="7">
        <f t="shared" si="2"/>
        <v>-3</v>
      </c>
    </row>
    <row r="119" spans="2:15" x14ac:dyDescent="0.25">
      <c r="B119" s="3">
        <v>219</v>
      </c>
      <c r="C119" s="3" t="s">
        <v>445</v>
      </c>
      <c r="D119" s="3" t="s">
        <v>446</v>
      </c>
      <c r="E119" s="3" t="s">
        <v>408</v>
      </c>
      <c r="F119" s="3">
        <v>9113</v>
      </c>
      <c r="G119" s="3">
        <v>9</v>
      </c>
      <c r="H119" s="3">
        <v>0.48199999999999998</v>
      </c>
      <c r="I119" s="6">
        <v>0.44167844980268223</v>
      </c>
      <c r="J119" s="6">
        <v>0.45006879285125656</v>
      </c>
      <c r="K119" s="11">
        <v>0.44202836514084082</v>
      </c>
      <c r="L119" s="7">
        <v>230</v>
      </c>
      <c r="M119" s="7">
        <v>222</v>
      </c>
      <c r="N119" s="7">
        <v>229</v>
      </c>
      <c r="O119" s="7">
        <f t="shared" si="2"/>
        <v>-1</v>
      </c>
    </row>
    <row r="120" spans="2:15" x14ac:dyDescent="0.25">
      <c r="B120" s="3">
        <v>11</v>
      </c>
      <c r="C120" s="3" t="s">
        <v>24</v>
      </c>
      <c r="D120" s="3" t="s">
        <v>25</v>
      </c>
      <c r="E120" s="3" t="s">
        <v>13</v>
      </c>
      <c r="F120" s="3">
        <v>1401</v>
      </c>
      <c r="G120" s="3">
        <v>1</v>
      </c>
      <c r="H120" s="3">
        <v>0.48199999999999998</v>
      </c>
      <c r="I120" s="6">
        <v>0.44186749728987312</v>
      </c>
      <c r="J120" s="6">
        <v>0.44426829672129908</v>
      </c>
      <c r="K120" s="11">
        <v>0.44878093279468773</v>
      </c>
      <c r="L120" s="7">
        <v>229</v>
      </c>
      <c r="M120" s="7">
        <v>226</v>
      </c>
      <c r="N120" s="7">
        <v>222</v>
      </c>
      <c r="O120" s="7">
        <f t="shared" si="2"/>
        <v>-7</v>
      </c>
    </row>
    <row r="121" spans="2:15" x14ac:dyDescent="0.25">
      <c r="B121" s="3">
        <v>189</v>
      </c>
      <c r="C121" s="3" t="s">
        <v>384</v>
      </c>
      <c r="D121" s="3" t="s">
        <v>385</v>
      </c>
      <c r="E121" s="3" t="s">
        <v>341</v>
      </c>
      <c r="F121" s="3">
        <v>8308</v>
      </c>
      <c r="G121" s="3">
        <v>8</v>
      </c>
      <c r="H121" s="3"/>
      <c r="I121" s="6">
        <v>0.44186989046709707</v>
      </c>
      <c r="J121" s="6">
        <v>0.45354909052923098</v>
      </c>
      <c r="K121" s="11">
        <v>0.44091189117430418</v>
      </c>
      <c r="L121" s="7">
        <v>228</v>
      </c>
      <c r="M121" s="7">
        <v>214</v>
      </c>
      <c r="N121" s="7">
        <v>231</v>
      </c>
      <c r="O121" s="7">
        <f t="shared" si="2"/>
        <v>3</v>
      </c>
    </row>
    <row r="122" spans="2:15" x14ac:dyDescent="0.25">
      <c r="B122" s="3">
        <v>98</v>
      </c>
      <c r="C122" s="3" t="s">
        <v>200</v>
      </c>
      <c r="D122" s="3" t="s">
        <v>201</v>
      </c>
      <c r="E122" s="3" t="s">
        <v>704</v>
      </c>
      <c r="F122" s="3">
        <v>6305</v>
      </c>
      <c r="G122" s="3">
        <v>6</v>
      </c>
      <c r="H122" s="3">
        <v>0.45900000000000002</v>
      </c>
      <c r="I122" s="6">
        <v>0.4438192040645037</v>
      </c>
      <c r="J122" s="6">
        <v>0.45238899130323951</v>
      </c>
      <c r="K122" s="11">
        <v>0.45133667822809098</v>
      </c>
      <c r="L122" s="7">
        <v>227</v>
      </c>
      <c r="M122" s="7">
        <v>217</v>
      </c>
      <c r="N122" s="7">
        <v>218</v>
      </c>
      <c r="O122" s="7">
        <f t="shared" si="2"/>
        <v>-9</v>
      </c>
    </row>
    <row r="123" spans="2:15" x14ac:dyDescent="0.25">
      <c r="B123" s="3">
        <v>126</v>
      </c>
      <c r="C123" s="3" t="s">
        <v>257</v>
      </c>
      <c r="D123" s="3" t="s">
        <v>258</v>
      </c>
      <c r="E123" s="3" t="s">
        <v>238</v>
      </c>
      <c r="F123" s="3">
        <v>7403</v>
      </c>
      <c r="G123" s="3">
        <v>7</v>
      </c>
      <c r="H123" s="3">
        <v>0.42399999999999999</v>
      </c>
      <c r="I123" s="6">
        <v>0.44393154167458626</v>
      </c>
      <c r="J123" s="6">
        <v>0.39206383155168228</v>
      </c>
      <c r="K123" s="11">
        <v>0.3912161769102287</v>
      </c>
      <c r="L123" s="7">
        <v>226</v>
      </c>
      <c r="M123" s="7">
        <v>290</v>
      </c>
      <c r="N123" s="7">
        <v>293</v>
      </c>
      <c r="O123" s="7">
        <f t="shared" si="2"/>
        <v>67</v>
      </c>
    </row>
    <row r="124" spans="2:15" x14ac:dyDescent="0.25">
      <c r="B124" s="3">
        <v>138</v>
      </c>
      <c r="C124" s="3" t="s">
        <v>280</v>
      </c>
      <c r="D124" s="3" t="s">
        <v>281</v>
      </c>
      <c r="E124" s="3" t="s">
        <v>238</v>
      </c>
      <c r="F124" s="3">
        <v>7109</v>
      </c>
      <c r="G124" s="3">
        <v>7</v>
      </c>
      <c r="H124" s="3">
        <v>0.57199999999999995</v>
      </c>
      <c r="I124" s="6">
        <v>0.44433972714808767</v>
      </c>
      <c r="J124" s="6">
        <v>0.45818948743319693</v>
      </c>
      <c r="K124" s="11">
        <v>0.45232660894403109</v>
      </c>
      <c r="L124" s="7">
        <v>225</v>
      </c>
      <c r="M124" s="7">
        <v>208</v>
      </c>
      <c r="N124" s="7">
        <v>214</v>
      </c>
      <c r="O124" s="7">
        <f t="shared" si="2"/>
        <v>-11</v>
      </c>
    </row>
    <row r="125" spans="2:15" x14ac:dyDescent="0.25">
      <c r="B125" s="3">
        <v>268</v>
      </c>
      <c r="C125" s="3" t="s">
        <v>544</v>
      </c>
      <c r="D125" s="3" t="s">
        <v>545</v>
      </c>
      <c r="E125" s="3" t="s">
        <v>482</v>
      </c>
      <c r="F125" s="3">
        <v>10208</v>
      </c>
      <c r="G125" s="3">
        <v>10</v>
      </c>
      <c r="H125" s="3">
        <v>0.45600000000000002</v>
      </c>
      <c r="I125" s="6">
        <v>0.44567659790252068</v>
      </c>
      <c r="J125" s="6">
        <v>0.4593495866591884</v>
      </c>
      <c r="K125" s="11">
        <v>0.45897101956594449</v>
      </c>
      <c r="L125" s="7">
        <v>224</v>
      </c>
      <c r="M125" s="7">
        <v>204</v>
      </c>
      <c r="N125" s="7">
        <v>206</v>
      </c>
      <c r="O125" s="7">
        <f t="shared" si="2"/>
        <v>-18</v>
      </c>
    </row>
    <row r="126" spans="2:15" x14ac:dyDescent="0.25">
      <c r="B126" s="3">
        <v>218</v>
      </c>
      <c r="C126" s="3" t="s">
        <v>443</v>
      </c>
      <c r="D126" s="3" t="s">
        <v>444</v>
      </c>
      <c r="E126" s="3" t="s">
        <v>408</v>
      </c>
      <c r="F126" s="3">
        <v>9112</v>
      </c>
      <c r="G126" s="3">
        <v>9</v>
      </c>
      <c r="H126" s="3">
        <v>0.51200000000000001</v>
      </c>
      <c r="I126" s="6">
        <v>0.44748739522253833</v>
      </c>
      <c r="J126" s="6">
        <v>0.45122889207724803</v>
      </c>
      <c r="K126" s="11">
        <v>0.4510905997167019</v>
      </c>
      <c r="L126" s="7">
        <v>223</v>
      </c>
      <c r="M126" s="7">
        <v>216</v>
      </c>
      <c r="N126" s="7">
        <v>221</v>
      </c>
      <c r="O126" s="7">
        <f t="shared" si="2"/>
        <v>-2</v>
      </c>
    </row>
    <row r="127" spans="2:15" x14ac:dyDescent="0.25">
      <c r="B127" s="3">
        <v>302</v>
      </c>
      <c r="C127" s="3" t="s">
        <v>609</v>
      </c>
      <c r="D127" s="3" t="s">
        <v>610</v>
      </c>
      <c r="E127" s="3" t="s">
        <v>707</v>
      </c>
      <c r="F127" s="3">
        <v>13503</v>
      </c>
      <c r="G127" s="3">
        <v>13</v>
      </c>
      <c r="H127" s="3">
        <v>0.48499999999999999</v>
      </c>
      <c r="I127" s="6">
        <v>0.44828351253140786</v>
      </c>
      <c r="J127" s="6">
        <v>0.44310819749530761</v>
      </c>
      <c r="K127" s="11">
        <v>0.44514792068544956</v>
      </c>
      <c r="L127" s="7">
        <v>222</v>
      </c>
      <c r="M127" s="7">
        <v>227</v>
      </c>
      <c r="N127" s="7">
        <v>226</v>
      </c>
      <c r="O127" s="7">
        <f t="shared" si="2"/>
        <v>4</v>
      </c>
    </row>
    <row r="128" spans="2:15" x14ac:dyDescent="0.25">
      <c r="B128" s="3">
        <v>207</v>
      </c>
      <c r="C128" s="3" t="s">
        <v>421</v>
      </c>
      <c r="D128" s="3" t="s">
        <v>422</v>
      </c>
      <c r="E128" s="3" t="s">
        <v>408</v>
      </c>
      <c r="F128" s="3">
        <v>9204</v>
      </c>
      <c r="G128" s="3">
        <v>9</v>
      </c>
      <c r="H128" s="3"/>
      <c r="I128" s="6">
        <v>0.44900491151945915</v>
      </c>
      <c r="J128" s="6">
        <v>0.44774859439927356</v>
      </c>
      <c r="K128" s="11">
        <v>0.45120196416735975</v>
      </c>
      <c r="L128" s="7">
        <v>221</v>
      </c>
      <c r="M128" s="7">
        <v>223</v>
      </c>
      <c r="N128" s="7">
        <v>220</v>
      </c>
      <c r="O128" s="7">
        <f t="shared" si="2"/>
        <v>-1</v>
      </c>
    </row>
    <row r="129" spans="2:15" x14ac:dyDescent="0.25">
      <c r="B129" s="3">
        <v>241</v>
      </c>
      <c r="C129" s="3" t="s">
        <v>490</v>
      </c>
      <c r="D129" s="3" t="s">
        <v>491</v>
      </c>
      <c r="E129" s="3" t="s">
        <v>473</v>
      </c>
      <c r="F129" s="3">
        <v>14108</v>
      </c>
      <c r="G129" s="3">
        <v>14</v>
      </c>
      <c r="H129" s="3">
        <v>0.52400000000000002</v>
      </c>
      <c r="I129" s="6">
        <v>0.4505316252498438</v>
      </c>
      <c r="J129" s="6">
        <v>0.45470918975522245</v>
      </c>
      <c r="K129" s="11">
        <v>0.45180871227839614</v>
      </c>
      <c r="L129" s="7">
        <v>220</v>
      </c>
      <c r="M129" s="7">
        <v>211</v>
      </c>
      <c r="N129" s="7">
        <v>216</v>
      </c>
      <c r="O129" s="7">
        <f t="shared" si="2"/>
        <v>-4</v>
      </c>
    </row>
    <row r="130" spans="2:15" x14ac:dyDescent="0.25">
      <c r="B130" s="3">
        <v>210</v>
      </c>
      <c r="C130" s="3" t="s">
        <v>427</v>
      </c>
      <c r="D130" s="3" t="s">
        <v>428</v>
      </c>
      <c r="E130" s="3" t="s">
        <v>408</v>
      </c>
      <c r="F130" s="3">
        <v>9107</v>
      </c>
      <c r="G130" s="3">
        <v>9</v>
      </c>
      <c r="H130" s="3">
        <v>0.50800000000000001</v>
      </c>
      <c r="I130" s="6">
        <v>0.45147103940213229</v>
      </c>
      <c r="J130" s="6">
        <v>0.45702938820720546</v>
      </c>
      <c r="K130" s="11">
        <v>0.45795761855100853</v>
      </c>
      <c r="L130" s="7">
        <v>219</v>
      </c>
      <c r="M130" s="7">
        <v>209</v>
      </c>
      <c r="N130" s="7">
        <v>207</v>
      </c>
      <c r="O130" s="7">
        <f t="shared" si="2"/>
        <v>-12</v>
      </c>
    </row>
    <row r="131" spans="2:15" x14ac:dyDescent="0.25">
      <c r="B131" s="3">
        <v>148</v>
      </c>
      <c r="C131" s="3" t="s">
        <v>301</v>
      </c>
      <c r="D131" s="3" t="s">
        <v>302</v>
      </c>
      <c r="E131" s="3" t="s">
        <v>298</v>
      </c>
      <c r="F131" s="3">
        <v>16103</v>
      </c>
      <c r="G131" s="3">
        <v>16</v>
      </c>
      <c r="H131" s="3">
        <v>0.48499999999999999</v>
      </c>
      <c r="I131" s="6">
        <v>0.4518557527699511</v>
      </c>
      <c r="J131" s="6">
        <v>0.49763286111690747</v>
      </c>
      <c r="K131" s="11">
        <v>0.50018396386820818</v>
      </c>
      <c r="L131" s="7">
        <v>218</v>
      </c>
      <c r="M131" s="7">
        <v>163</v>
      </c>
      <c r="N131" s="7">
        <v>160</v>
      </c>
      <c r="O131" s="7">
        <f t="shared" si="2"/>
        <v>-58</v>
      </c>
    </row>
    <row r="132" spans="2:15" x14ac:dyDescent="0.25">
      <c r="B132" s="3">
        <v>46</v>
      </c>
      <c r="C132" s="3" t="s">
        <v>96</v>
      </c>
      <c r="D132" s="3" t="s">
        <v>97</v>
      </c>
      <c r="E132" s="3" t="s">
        <v>95</v>
      </c>
      <c r="F132" s="3">
        <v>5402</v>
      </c>
      <c r="G132" s="3">
        <v>5</v>
      </c>
      <c r="H132" s="3">
        <v>0.47199999999999998</v>
      </c>
      <c r="I132" s="6">
        <v>0.45246630588067144</v>
      </c>
      <c r="J132" s="6">
        <v>0.45586928898121398</v>
      </c>
      <c r="K132" s="11">
        <v>0.45391059896465547</v>
      </c>
      <c r="L132" s="7">
        <v>217</v>
      </c>
      <c r="M132" s="7">
        <v>210</v>
      </c>
      <c r="N132" s="7">
        <v>212</v>
      </c>
      <c r="O132" s="7">
        <f t="shared" ref="O132:O195" si="3">N132-L132</f>
        <v>-5</v>
      </c>
    </row>
    <row r="133" spans="2:15" x14ac:dyDescent="0.25">
      <c r="B133" s="3">
        <v>112</v>
      </c>
      <c r="C133" s="3" t="s">
        <v>228</v>
      </c>
      <c r="D133" s="3" t="s">
        <v>229</v>
      </c>
      <c r="E133" s="3" t="s">
        <v>704</v>
      </c>
      <c r="F133" s="3">
        <v>6116</v>
      </c>
      <c r="G133" s="3">
        <v>6</v>
      </c>
      <c r="H133" s="3">
        <v>0.53600000000000003</v>
      </c>
      <c r="I133" s="6">
        <v>0.45379711105716813</v>
      </c>
      <c r="J133" s="6">
        <v>0.45122889207724803</v>
      </c>
      <c r="K133" s="11">
        <v>0.45223628652277625</v>
      </c>
      <c r="L133" s="7">
        <v>216</v>
      </c>
      <c r="M133" s="7">
        <v>220</v>
      </c>
      <c r="N133" s="7">
        <v>215</v>
      </c>
      <c r="O133" s="7">
        <f t="shared" si="3"/>
        <v>-1</v>
      </c>
    </row>
    <row r="134" spans="2:15" x14ac:dyDescent="0.25">
      <c r="B134" s="3">
        <v>149</v>
      </c>
      <c r="C134" s="3" t="s">
        <v>303</v>
      </c>
      <c r="D134" s="3" t="s">
        <v>304</v>
      </c>
      <c r="E134" s="3" t="s">
        <v>298</v>
      </c>
      <c r="F134" s="3">
        <v>16202</v>
      </c>
      <c r="G134" s="3">
        <v>16</v>
      </c>
      <c r="H134" s="3"/>
      <c r="I134" s="6">
        <v>0.45380103305417463</v>
      </c>
      <c r="J134" s="6">
        <v>0.45818948743319693</v>
      </c>
      <c r="K134" s="11">
        <v>0.44696557603736625</v>
      </c>
      <c r="L134" s="7">
        <v>215</v>
      </c>
      <c r="M134" s="7">
        <v>207</v>
      </c>
      <c r="N134" s="7">
        <v>223</v>
      </c>
      <c r="O134" s="7">
        <f t="shared" si="3"/>
        <v>8</v>
      </c>
    </row>
    <row r="135" spans="2:15" x14ac:dyDescent="0.25">
      <c r="B135" s="3">
        <v>273</v>
      </c>
      <c r="C135" s="3" t="s">
        <v>554</v>
      </c>
      <c r="D135" s="3" t="s">
        <v>555</v>
      </c>
      <c r="E135" s="3" t="s">
        <v>482</v>
      </c>
      <c r="F135" s="3">
        <v>10307</v>
      </c>
      <c r="G135" s="3">
        <v>10</v>
      </c>
      <c r="H135" s="3">
        <v>0.36</v>
      </c>
      <c r="I135" s="6">
        <v>0.45386140753049248</v>
      </c>
      <c r="J135" s="6">
        <v>0.46282988433716288</v>
      </c>
      <c r="K135" s="11">
        <v>0.45256730765474379</v>
      </c>
      <c r="L135" s="7">
        <v>214</v>
      </c>
      <c r="M135" s="7">
        <v>200</v>
      </c>
      <c r="N135" s="7">
        <v>213</v>
      </c>
      <c r="O135" s="7">
        <f t="shared" si="3"/>
        <v>-1</v>
      </c>
    </row>
    <row r="136" spans="2:15" x14ac:dyDescent="0.25">
      <c r="B136" s="3">
        <v>245</v>
      </c>
      <c r="C136" s="3" t="s">
        <v>498</v>
      </c>
      <c r="D136" s="3" t="s">
        <v>499</v>
      </c>
      <c r="E136" s="3" t="s">
        <v>482</v>
      </c>
      <c r="F136" s="3">
        <v>10102</v>
      </c>
      <c r="G136" s="3">
        <v>10</v>
      </c>
      <c r="H136" s="3">
        <v>0.41299999999999998</v>
      </c>
      <c r="I136" s="6">
        <v>0.45414442164983415</v>
      </c>
      <c r="J136" s="6">
        <v>0.46050968588517993</v>
      </c>
      <c r="K136" s="11">
        <v>0.45647911533645991</v>
      </c>
      <c r="L136" s="7">
        <v>213</v>
      </c>
      <c r="M136" s="7">
        <v>206</v>
      </c>
      <c r="N136" s="7">
        <v>209</v>
      </c>
      <c r="O136" s="7">
        <f t="shared" si="3"/>
        <v>-4</v>
      </c>
    </row>
    <row r="137" spans="2:15" x14ac:dyDescent="0.25">
      <c r="B137" s="3">
        <v>51</v>
      </c>
      <c r="C137" s="3" t="s">
        <v>106</v>
      </c>
      <c r="D137" s="3" t="s">
        <v>107</v>
      </c>
      <c r="E137" s="3" t="s">
        <v>95</v>
      </c>
      <c r="F137" s="3">
        <v>5702</v>
      </c>
      <c r="G137" s="3">
        <v>5</v>
      </c>
      <c r="H137" s="3">
        <v>0.51500000000000001</v>
      </c>
      <c r="I137" s="6">
        <v>0.45558696314995123</v>
      </c>
      <c r="J137" s="6">
        <v>0.45122889207724803</v>
      </c>
      <c r="K137" s="11">
        <v>0.46021754214926658</v>
      </c>
      <c r="L137" s="7">
        <v>212</v>
      </c>
      <c r="M137" s="7">
        <v>218</v>
      </c>
      <c r="N137" s="7">
        <v>204</v>
      </c>
      <c r="O137" s="7">
        <f t="shared" si="3"/>
        <v>-8</v>
      </c>
    </row>
    <row r="138" spans="2:15" x14ac:dyDescent="0.25">
      <c r="B138" s="3">
        <v>128</v>
      </c>
      <c r="C138" s="3" t="s">
        <v>260</v>
      </c>
      <c r="D138" s="3" t="s">
        <v>261</v>
      </c>
      <c r="E138" s="3" t="s">
        <v>238</v>
      </c>
      <c r="F138" s="3">
        <v>7304</v>
      </c>
      <c r="G138" s="3">
        <v>7</v>
      </c>
      <c r="H138" s="3">
        <v>0.51100000000000001</v>
      </c>
      <c r="I138" s="6">
        <v>0.45567005513591646</v>
      </c>
      <c r="J138" s="6">
        <v>0.46515008278914582</v>
      </c>
      <c r="K138" s="11">
        <v>0.46421203956506957</v>
      </c>
      <c r="L138" s="7">
        <v>211</v>
      </c>
      <c r="M138" s="7">
        <v>198</v>
      </c>
      <c r="N138" s="7">
        <v>201</v>
      </c>
      <c r="O138" s="7">
        <f t="shared" si="3"/>
        <v>-10</v>
      </c>
    </row>
    <row r="139" spans="2:15" x14ac:dyDescent="0.25">
      <c r="B139" s="3">
        <v>77</v>
      </c>
      <c r="C139" s="3" t="s">
        <v>158</v>
      </c>
      <c r="D139" s="3" t="s">
        <v>159</v>
      </c>
      <c r="E139" s="3" t="s">
        <v>95</v>
      </c>
      <c r="F139" s="3">
        <v>5706</v>
      </c>
      <c r="G139" s="3">
        <v>5</v>
      </c>
      <c r="H139" s="3">
        <v>0.45400000000000001</v>
      </c>
      <c r="I139" s="6">
        <v>0.45581441041643433</v>
      </c>
      <c r="J139" s="6">
        <v>0.44542839594729061</v>
      </c>
      <c r="K139" s="11">
        <v>0.45127535425556459</v>
      </c>
      <c r="L139" s="7">
        <v>210</v>
      </c>
      <c r="M139" s="7">
        <v>225</v>
      </c>
      <c r="N139" s="7">
        <v>219</v>
      </c>
      <c r="O139" s="7">
        <f t="shared" si="3"/>
        <v>9</v>
      </c>
    </row>
    <row r="140" spans="2:15" x14ac:dyDescent="0.25">
      <c r="B140" s="3">
        <v>193</v>
      </c>
      <c r="C140" s="3" t="s">
        <v>392</v>
      </c>
      <c r="D140" s="3" t="s">
        <v>393</v>
      </c>
      <c r="E140" s="3" t="s">
        <v>341</v>
      </c>
      <c r="F140" s="3">
        <v>8311</v>
      </c>
      <c r="G140" s="3">
        <v>8</v>
      </c>
      <c r="H140" s="3">
        <v>0.53200000000000003</v>
      </c>
      <c r="I140" s="6">
        <v>0.4560446689629491</v>
      </c>
      <c r="J140" s="6">
        <v>0.4616697851111714</v>
      </c>
      <c r="K140" s="11">
        <v>0.45933758601779745</v>
      </c>
      <c r="L140" s="7">
        <v>209</v>
      </c>
      <c r="M140" s="7">
        <v>203</v>
      </c>
      <c r="N140" s="7">
        <v>205</v>
      </c>
      <c r="O140" s="7">
        <f t="shared" si="3"/>
        <v>-4</v>
      </c>
    </row>
    <row r="141" spans="2:15" x14ac:dyDescent="0.25">
      <c r="B141" s="3">
        <v>162</v>
      </c>
      <c r="C141" s="3" t="s">
        <v>329</v>
      </c>
      <c r="D141" s="3" t="s">
        <v>330</v>
      </c>
      <c r="E141" s="3" t="s">
        <v>298</v>
      </c>
      <c r="F141" s="3">
        <v>16304</v>
      </c>
      <c r="G141" s="3">
        <v>16</v>
      </c>
      <c r="H141" s="3">
        <v>0.41099999999999998</v>
      </c>
      <c r="I141" s="6">
        <v>0.45665569905947562</v>
      </c>
      <c r="J141" s="6">
        <v>0.4755909758230692</v>
      </c>
      <c r="K141" s="11">
        <v>0.45579607739093331</v>
      </c>
      <c r="L141" s="7">
        <v>208</v>
      </c>
      <c r="M141" s="7">
        <v>190</v>
      </c>
      <c r="N141" s="7">
        <v>210</v>
      </c>
      <c r="O141" s="7">
        <f t="shared" si="3"/>
        <v>2</v>
      </c>
    </row>
    <row r="142" spans="2:15" x14ac:dyDescent="0.25">
      <c r="B142" s="3">
        <v>27</v>
      </c>
      <c r="C142" s="3" t="s">
        <v>57</v>
      </c>
      <c r="D142" s="3" t="s">
        <v>58</v>
      </c>
      <c r="E142" s="3" t="s">
        <v>46</v>
      </c>
      <c r="F142" s="3">
        <v>3304</v>
      </c>
      <c r="G142" s="3">
        <v>3</v>
      </c>
      <c r="H142" s="3">
        <v>0.48899999999999999</v>
      </c>
      <c r="I142" s="6">
        <v>0.45704108382781183</v>
      </c>
      <c r="J142" s="6">
        <v>0.38046283929176744</v>
      </c>
      <c r="K142" s="11">
        <v>0.38915697385468601</v>
      </c>
      <c r="L142" s="7">
        <v>207</v>
      </c>
      <c r="M142" s="7">
        <v>305</v>
      </c>
      <c r="N142" s="7">
        <v>297</v>
      </c>
      <c r="O142" s="7">
        <f t="shared" si="3"/>
        <v>90</v>
      </c>
    </row>
    <row r="143" spans="2:15" x14ac:dyDescent="0.25">
      <c r="B143" s="3">
        <v>271</v>
      </c>
      <c r="C143" s="3" t="s">
        <v>550</v>
      </c>
      <c r="D143" s="3" t="s">
        <v>551</v>
      </c>
      <c r="E143" s="3" t="s">
        <v>482</v>
      </c>
      <c r="F143" s="3">
        <v>10305</v>
      </c>
      <c r="G143" s="3">
        <v>10</v>
      </c>
      <c r="H143" s="3">
        <v>0.48899999999999999</v>
      </c>
      <c r="I143" s="6">
        <v>0.45724646052630602</v>
      </c>
      <c r="J143" s="6">
        <v>0.4686303804671203</v>
      </c>
      <c r="K143" s="11">
        <v>0.46379034102742078</v>
      </c>
      <c r="L143" s="7">
        <v>206</v>
      </c>
      <c r="M143" s="7">
        <v>193</v>
      </c>
      <c r="N143" s="7">
        <v>202</v>
      </c>
      <c r="O143" s="7">
        <f t="shared" si="3"/>
        <v>-4</v>
      </c>
    </row>
    <row r="144" spans="2:15" x14ac:dyDescent="0.25">
      <c r="B144" s="3">
        <v>217</v>
      </c>
      <c r="C144" s="3" t="s">
        <v>441</v>
      </c>
      <c r="D144" s="3" t="s">
        <v>442</v>
      </c>
      <c r="E144" s="3" t="s">
        <v>408</v>
      </c>
      <c r="F144" s="3">
        <v>9111</v>
      </c>
      <c r="G144" s="3">
        <v>9</v>
      </c>
      <c r="H144" s="3">
        <v>0.49399999999999999</v>
      </c>
      <c r="I144" s="6">
        <v>0.45873696889884624</v>
      </c>
      <c r="J144" s="6">
        <v>0.4686303804671203</v>
      </c>
      <c r="K144" s="11">
        <v>0.4613386512794691</v>
      </c>
      <c r="L144" s="7">
        <v>205</v>
      </c>
      <c r="M144" s="7">
        <v>194</v>
      </c>
      <c r="N144" s="7">
        <v>203</v>
      </c>
      <c r="O144" s="7">
        <f t="shared" si="3"/>
        <v>-2</v>
      </c>
    </row>
    <row r="145" spans="2:15" x14ac:dyDescent="0.25">
      <c r="B145" s="3">
        <v>30</v>
      </c>
      <c r="C145" s="3" t="s">
        <v>63</v>
      </c>
      <c r="D145" s="3" t="s">
        <v>64</v>
      </c>
      <c r="E145" s="3" t="s">
        <v>65</v>
      </c>
      <c r="F145" s="3">
        <v>4103</v>
      </c>
      <c r="G145" s="3">
        <v>4</v>
      </c>
      <c r="H145" s="3">
        <v>0.53200000000000003</v>
      </c>
      <c r="I145" s="6">
        <v>0.46057104426857559</v>
      </c>
      <c r="J145" s="6">
        <v>0.45470918975522245</v>
      </c>
      <c r="K145" s="11">
        <v>0.45152961083964055</v>
      </c>
      <c r="L145" s="7">
        <v>204</v>
      </c>
      <c r="M145" s="7">
        <v>213</v>
      </c>
      <c r="N145" s="7">
        <v>217</v>
      </c>
      <c r="O145" s="7">
        <f t="shared" si="3"/>
        <v>13</v>
      </c>
    </row>
    <row r="146" spans="2:15" x14ac:dyDescent="0.25">
      <c r="B146" s="3">
        <v>204</v>
      </c>
      <c r="C146" s="3" t="s">
        <v>415</v>
      </c>
      <c r="D146" s="3" t="s">
        <v>416</v>
      </c>
      <c r="E146" s="3" t="s">
        <v>408</v>
      </c>
      <c r="F146" s="3">
        <v>9103</v>
      </c>
      <c r="G146" s="3">
        <v>9</v>
      </c>
      <c r="H146" s="3">
        <v>0.54400000000000004</v>
      </c>
      <c r="I146" s="6">
        <v>0.46111348917512618</v>
      </c>
      <c r="J146" s="6">
        <v>0.47211067814509478</v>
      </c>
      <c r="K146" s="11">
        <v>0.45741731423051929</v>
      </c>
      <c r="L146" s="7">
        <v>203</v>
      </c>
      <c r="M146" s="7">
        <v>191</v>
      </c>
      <c r="N146" s="7">
        <v>208</v>
      </c>
      <c r="O146" s="7">
        <f t="shared" si="3"/>
        <v>5</v>
      </c>
    </row>
    <row r="147" spans="2:15" x14ac:dyDescent="0.25">
      <c r="B147" s="3">
        <v>143</v>
      </c>
      <c r="C147" s="3" t="s">
        <v>290</v>
      </c>
      <c r="D147" s="3" t="s">
        <v>291</v>
      </c>
      <c r="E147" s="3" t="s">
        <v>238</v>
      </c>
      <c r="F147" s="3">
        <v>7309</v>
      </c>
      <c r="G147" s="3">
        <v>7</v>
      </c>
      <c r="H147" s="3"/>
      <c r="I147" s="6">
        <v>0.46254436581983388</v>
      </c>
      <c r="J147" s="6">
        <v>0.45470918975522245</v>
      </c>
      <c r="K147" s="11">
        <v>0.43950634360320529</v>
      </c>
      <c r="L147" s="7">
        <v>202</v>
      </c>
      <c r="M147" s="7">
        <v>212</v>
      </c>
      <c r="N147" s="7">
        <v>236</v>
      </c>
      <c r="O147" s="7">
        <f t="shared" si="3"/>
        <v>34</v>
      </c>
    </row>
    <row r="148" spans="2:15" x14ac:dyDescent="0.25">
      <c r="B148" s="3">
        <v>133</v>
      </c>
      <c r="C148" s="3" t="s">
        <v>270</v>
      </c>
      <c r="D148" s="3" t="s">
        <v>271</v>
      </c>
      <c r="E148" s="3" t="s">
        <v>238</v>
      </c>
      <c r="F148" s="3">
        <v>7305</v>
      </c>
      <c r="G148" s="3">
        <v>7</v>
      </c>
      <c r="H148" s="3">
        <v>0.44700000000000001</v>
      </c>
      <c r="I148" s="6">
        <v>0.46490778233646385</v>
      </c>
      <c r="J148" s="6">
        <v>0.48371167040500962</v>
      </c>
      <c r="K148" s="11">
        <v>0.47998472197706826</v>
      </c>
      <c r="L148" s="7">
        <v>201</v>
      </c>
      <c r="M148" s="7">
        <v>184</v>
      </c>
      <c r="N148" s="7">
        <v>187</v>
      </c>
      <c r="O148" s="7">
        <f t="shared" si="3"/>
        <v>-14</v>
      </c>
    </row>
    <row r="149" spans="2:15" x14ac:dyDescent="0.25">
      <c r="B149" s="3">
        <v>100</v>
      </c>
      <c r="C149" s="3" t="s">
        <v>204</v>
      </c>
      <c r="D149" s="3" t="s">
        <v>205</v>
      </c>
      <c r="E149" s="3" t="s">
        <v>704</v>
      </c>
      <c r="F149" s="3">
        <v>6111</v>
      </c>
      <c r="G149" s="3">
        <v>6</v>
      </c>
      <c r="H149" s="3">
        <v>0.55700000000000005</v>
      </c>
      <c r="I149" s="6">
        <v>0.4660490510541439</v>
      </c>
      <c r="J149" s="6">
        <v>0.46282988433716288</v>
      </c>
      <c r="K149" s="11">
        <v>0.46447542018832655</v>
      </c>
      <c r="L149" s="7">
        <v>200</v>
      </c>
      <c r="M149" s="7">
        <v>201</v>
      </c>
      <c r="N149" s="7">
        <v>200</v>
      </c>
      <c r="O149" s="7">
        <f t="shared" si="3"/>
        <v>0</v>
      </c>
    </row>
    <row r="150" spans="2:15" x14ac:dyDescent="0.25">
      <c r="B150" s="3">
        <v>114</v>
      </c>
      <c r="C150" s="3" t="s">
        <v>232</v>
      </c>
      <c r="D150" s="3" t="s">
        <v>233</v>
      </c>
      <c r="E150" s="3" t="s">
        <v>704</v>
      </c>
      <c r="F150" s="3">
        <v>6117</v>
      </c>
      <c r="G150" s="3">
        <v>6</v>
      </c>
      <c r="H150" s="3">
        <v>0.505</v>
      </c>
      <c r="I150" s="6">
        <v>0.46777093194241093</v>
      </c>
      <c r="J150" s="6">
        <v>0.4779111742750522</v>
      </c>
      <c r="K150" s="11">
        <v>0.47611100471776491</v>
      </c>
      <c r="L150" s="7">
        <v>199</v>
      </c>
      <c r="M150" s="7">
        <v>189</v>
      </c>
      <c r="N150" s="7">
        <v>194</v>
      </c>
      <c r="O150" s="7">
        <f t="shared" si="3"/>
        <v>-5</v>
      </c>
    </row>
    <row r="151" spans="2:15" x14ac:dyDescent="0.25">
      <c r="B151" s="3">
        <v>199</v>
      </c>
      <c r="C151" s="3" t="s">
        <v>404</v>
      </c>
      <c r="D151" s="3" t="s">
        <v>405</v>
      </c>
      <c r="E151" s="3" t="s">
        <v>341</v>
      </c>
      <c r="F151" s="3">
        <v>8313</v>
      </c>
      <c r="G151" s="3">
        <v>8</v>
      </c>
      <c r="H151" s="3">
        <v>0.47</v>
      </c>
      <c r="I151" s="6">
        <v>0.47050263846589468</v>
      </c>
      <c r="J151" s="6">
        <v>0.48951216653496704</v>
      </c>
      <c r="K151" s="11">
        <v>0.47452757662382883</v>
      </c>
      <c r="L151" s="7">
        <v>198</v>
      </c>
      <c r="M151" s="7">
        <v>175</v>
      </c>
      <c r="N151" s="7">
        <v>195</v>
      </c>
      <c r="O151" s="7">
        <f t="shared" si="3"/>
        <v>-3</v>
      </c>
    </row>
    <row r="152" spans="2:15" x14ac:dyDescent="0.25">
      <c r="B152" s="3">
        <v>134</v>
      </c>
      <c r="C152" s="3" t="s">
        <v>272</v>
      </c>
      <c r="D152" s="3" t="s">
        <v>273</v>
      </c>
      <c r="E152" s="3" t="s">
        <v>238</v>
      </c>
      <c r="F152" s="3">
        <v>7405</v>
      </c>
      <c r="G152" s="3">
        <v>7</v>
      </c>
      <c r="H152" s="3">
        <v>0.41799999999999998</v>
      </c>
      <c r="I152" s="6">
        <v>0.47075710032837126</v>
      </c>
      <c r="J152" s="6">
        <v>0.37350224393581855</v>
      </c>
      <c r="K152" s="11">
        <v>0.3723706826942158</v>
      </c>
      <c r="L152" s="7">
        <v>197</v>
      </c>
      <c r="M152" s="7">
        <v>317</v>
      </c>
      <c r="N152" s="7">
        <v>322</v>
      </c>
      <c r="O152" s="7">
        <f t="shared" si="3"/>
        <v>125</v>
      </c>
    </row>
    <row r="153" spans="2:15" x14ac:dyDescent="0.25">
      <c r="B153" s="3">
        <v>240</v>
      </c>
      <c r="C153" s="3" t="s">
        <v>488</v>
      </c>
      <c r="D153" s="3" t="s">
        <v>489</v>
      </c>
      <c r="E153" s="3" t="s">
        <v>473</v>
      </c>
      <c r="F153" s="3">
        <v>14107</v>
      </c>
      <c r="G153" s="3">
        <v>14</v>
      </c>
      <c r="H153" s="3">
        <v>0.50900000000000001</v>
      </c>
      <c r="I153" s="6">
        <v>0.47161450406682115</v>
      </c>
      <c r="J153" s="6">
        <v>0.48255157117901815</v>
      </c>
      <c r="K153" s="11">
        <v>0.48167474064329308</v>
      </c>
      <c r="L153" s="7">
        <v>196</v>
      </c>
      <c r="M153" s="7">
        <v>185</v>
      </c>
      <c r="N153" s="7">
        <v>185</v>
      </c>
      <c r="O153" s="7">
        <f t="shared" si="3"/>
        <v>-11</v>
      </c>
    </row>
    <row r="154" spans="2:15" x14ac:dyDescent="0.25">
      <c r="B154" s="3">
        <v>146</v>
      </c>
      <c r="C154" s="3" t="s">
        <v>296</v>
      </c>
      <c r="D154" s="3" t="s">
        <v>297</v>
      </c>
      <c r="E154" s="3" t="s">
        <v>298</v>
      </c>
      <c r="F154" s="3">
        <v>16102</v>
      </c>
      <c r="G154" s="3">
        <v>16</v>
      </c>
      <c r="H154" s="3">
        <v>0.46800000000000003</v>
      </c>
      <c r="I154" s="6">
        <v>0.47430017841612432</v>
      </c>
      <c r="J154" s="6">
        <v>0.49531266266492446</v>
      </c>
      <c r="K154" s="11">
        <v>0.47874151706811158</v>
      </c>
      <c r="L154" s="7">
        <v>195</v>
      </c>
      <c r="M154" s="7">
        <v>169</v>
      </c>
      <c r="N154" s="7">
        <v>188</v>
      </c>
      <c r="O154" s="7">
        <f t="shared" si="3"/>
        <v>-7</v>
      </c>
    </row>
    <row r="155" spans="2:15" x14ac:dyDescent="0.25">
      <c r="B155" s="3">
        <v>322</v>
      </c>
      <c r="C155" s="3" t="s">
        <v>649</v>
      </c>
      <c r="D155" s="3" t="s">
        <v>650</v>
      </c>
      <c r="E155" s="3" t="s">
        <v>707</v>
      </c>
      <c r="F155" s="3">
        <v>13501</v>
      </c>
      <c r="G155" s="3">
        <v>13</v>
      </c>
      <c r="H155" s="3">
        <v>0.54300000000000004</v>
      </c>
      <c r="I155" s="6">
        <v>0.47446414435431344</v>
      </c>
      <c r="J155" s="6">
        <v>0.48023137272703514</v>
      </c>
      <c r="K155" s="11">
        <v>0.4831790605525248</v>
      </c>
      <c r="L155" s="7">
        <v>194</v>
      </c>
      <c r="M155" s="7">
        <v>186</v>
      </c>
      <c r="N155" s="7">
        <v>182</v>
      </c>
      <c r="O155" s="7">
        <f t="shared" si="3"/>
        <v>-12</v>
      </c>
    </row>
    <row r="156" spans="2:15" x14ac:dyDescent="0.25">
      <c r="B156" s="3">
        <v>222</v>
      </c>
      <c r="C156" s="3" t="s">
        <v>451</v>
      </c>
      <c r="D156" s="3" t="s">
        <v>452</v>
      </c>
      <c r="E156" s="3" t="s">
        <v>408</v>
      </c>
      <c r="F156" s="3">
        <v>9208</v>
      </c>
      <c r="G156" s="3">
        <v>9</v>
      </c>
      <c r="H156" s="3">
        <v>0.45900000000000002</v>
      </c>
      <c r="I156" s="6">
        <v>0.47562458197436835</v>
      </c>
      <c r="J156" s="6">
        <v>0.48719196808298409</v>
      </c>
      <c r="K156" s="11">
        <v>0.47747771324846933</v>
      </c>
      <c r="L156" s="7">
        <v>193</v>
      </c>
      <c r="M156" s="7">
        <v>179</v>
      </c>
      <c r="N156" s="7">
        <v>192</v>
      </c>
      <c r="O156" s="7">
        <f t="shared" si="3"/>
        <v>-1</v>
      </c>
    </row>
    <row r="157" spans="2:15" x14ac:dyDescent="0.25">
      <c r="B157" s="3">
        <v>297</v>
      </c>
      <c r="C157" s="3" t="s">
        <v>599</v>
      </c>
      <c r="D157" s="3" t="s">
        <v>600</v>
      </c>
      <c r="E157" s="3" t="s">
        <v>707</v>
      </c>
      <c r="F157" s="3">
        <v>13403</v>
      </c>
      <c r="G157" s="3">
        <v>13</v>
      </c>
      <c r="H157" s="3">
        <v>0.47899999999999998</v>
      </c>
      <c r="I157" s="6">
        <v>0.476740040988193</v>
      </c>
      <c r="J157" s="6">
        <v>0.46515008278914582</v>
      </c>
      <c r="K157" s="11">
        <v>0.47820649721235925</v>
      </c>
      <c r="L157" s="7">
        <v>192</v>
      </c>
      <c r="M157" s="7">
        <v>197</v>
      </c>
      <c r="N157" s="7">
        <v>191</v>
      </c>
      <c r="O157" s="7">
        <f t="shared" si="3"/>
        <v>-1</v>
      </c>
    </row>
    <row r="158" spans="2:15" x14ac:dyDescent="0.25">
      <c r="B158" s="3">
        <v>109</v>
      </c>
      <c r="C158" s="3" t="s">
        <v>222</v>
      </c>
      <c r="D158" s="3" t="s">
        <v>223</v>
      </c>
      <c r="E158" s="3" t="s">
        <v>704</v>
      </c>
      <c r="F158" s="3">
        <v>6114</v>
      </c>
      <c r="G158" s="3">
        <v>6</v>
      </c>
      <c r="H158" s="3">
        <v>0.503</v>
      </c>
      <c r="I158" s="6">
        <v>0.47688865051982271</v>
      </c>
      <c r="J158" s="6">
        <v>0.46747028124112883</v>
      </c>
      <c r="K158" s="11">
        <v>0.466143063925404</v>
      </c>
      <c r="L158" s="7">
        <v>191</v>
      </c>
      <c r="M158" s="7">
        <v>195</v>
      </c>
      <c r="N158" s="7">
        <v>198</v>
      </c>
      <c r="O158" s="7">
        <f t="shared" si="3"/>
        <v>7</v>
      </c>
    </row>
    <row r="159" spans="2:15" x14ac:dyDescent="0.25">
      <c r="B159" s="3">
        <v>238</v>
      </c>
      <c r="C159" s="3" t="s">
        <v>484</v>
      </c>
      <c r="D159" s="3" t="s">
        <v>485</v>
      </c>
      <c r="E159" s="3" t="s">
        <v>473</v>
      </c>
      <c r="F159" s="3">
        <v>14105</v>
      </c>
      <c r="G159" s="3">
        <v>14</v>
      </c>
      <c r="H159" s="3">
        <v>0.45200000000000001</v>
      </c>
      <c r="I159" s="6">
        <v>0.47721326064546565</v>
      </c>
      <c r="J159" s="6">
        <v>0.50111315879488183</v>
      </c>
      <c r="K159" s="11">
        <v>0.47848950543454927</v>
      </c>
      <c r="L159" s="7">
        <v>190</v>
      </c>
      <c r="M159" s="7">
        <v>159</v>
      </c>
      <c r="N159" s="7">
        <v>189</v>
      </c>
      <c r="O159" s="7">
        <f t="shared" si="3"/>
        <v>-1</v>
      </c>
    </row>
    <row r="160" spans="2:15" x14ac:dyDescent="0.25">
      <c r="B160" s="3">
        <v>239</v>
      </c>
      <c r="C160" s="3" t="s">
        <v>486</v>
      </c>
      <c r="D160" s="3" t="s">
        <v>487</v>
      </c>
      <c r="E160" s="3" t="s">
        <v>473</v>
      </c>
      <c r="F160" s="3">
        <v>14106</v>
      </c>
      <c r="G160" s="3">
        <v>14</v>
      </c>
      <c r="H160" s="3">
        <v>0.496</v>
      </c>
      <c r="I160" s="6">
        <v>0.47725306385188548</v>
      </c>
      <c r="J160" s="6">
        <v>0.49183236498695004</v>
      </c>
      <c r="K160" s="11">
        <v>0.48831520743116263</v>
      </c>
      <c r="L160" s="7">
        <v>189</v>
      </c>
      <c r="M160" s="7">
        <v>172</v>
      </c>
      <c r="N160" s="7">
        <v>175</v>
      </c>
      <c r="O160" s="7">
        <f t="shared" si="3"/>
        <v>-14</v>
      </c>
    </row>
    <row r="161" spans="2:15" x14ac:dyDescent="0.25">
      <c r="B161" s="3">
        <v>214</v>
      </c>
      <c r="C161" s="3" t="s">
        <v>435</v>
      </c>
      <c r="D161" s="3" t="s">
        <v>436</v>
      </c>
      <c r="E161" s="3" t="s">
        <v>408</v>
      </c>
      <c r="F161" s="3">
        <v>9206</v>
      </c>
      <c r="G161" s="3">
        <v>9</v>
      </c>
      <c r="H161" s="3">
        <v>0.502</v>
      </c>
      <c r="I161" s="6">
        <v>0.47921027252460641</v>
      </c>
      <c r="J161" s="6">
        <v>0.48603186885699257</v>
      </c>
      <c r="K161" s="11">
        <v>0.48013195968316258</v>
      </c>
      <c r="L161" s="7">
        <v>188</v>
      </c>
      <c r="M161" s="7">
        <v>182</v>
      </c>
      <c r="N161" s="7">
        <v>186</v>
      </c>
      <c r="O161" s="7">
        <f t="shared" si="3"/>
        <v>-2</v>
      </c>
    </row>
    <row r="162" spans="2:15" x14ac:dyDescent="0.25">
      <c r="B162" s="3">
        <v>161</v>
      </c>
      <c r="C162" s="3" t="s">
        <v>327</v>
      </c>
      <c r="D162" s="3" t="s">
        <v>328</v>
      </c>
      <c r="E162" s="3" t="s">
        <v>298</v>
      </c>
      <c r="F162" s="3">
        <v>16301</v>
      </c>
      <c r="G162" s="3">
        <v>16</v>
      </c>
      <c r="H162" s="3">
        <v>0.54500000000000004</v>
      </c>
      <c r="I162" s="6">
        <v>0.48067354711549942</v>
      </c>
      <c r="J162" s="6">
        <v>0.49183236498695004</v>
      </c>
      <c r="K162" s="11">
        <v>0.48553172470341949</v>
      </c>
      <c r="L162" s="7">
        <v>187</v>
      </c>
      <c r="M162" s="7">
        <v>173</v>
      </c>
      <c r="N162" s="7">
        <v>179</v>
      </c>
      <c r="O162" s="7">
        <f t="shared" si="3"/>
        <v>-8</v>
      </c>
    </row>
    <row r="163" spans="2:15" x14ac:dyDescent="0.25">
      <c r="B163" s="3">
        <v>171</v>
      </c>
      <c r="C163" s="3" t="s">
        <v>348</v>
      </c>
      <c r="D163" s="3" t="s">
        <v>349</v>
      </c>
      <c r="E163" s="3" t="s">
        <v>341</v>
      </c>
      <c r="F163" s="3">
        <v>8203</v>
      </c>
      <c r="G163" s="3">
        <v>8</v>
      </c>
      <c r="H163" s="3">
        <v>0.54300000000000004</v>
      </c>
      <c r="I163" s="6">
        <v>0.48116799113119385</v>
      </c>
      <c r="J163" s="6">
        <v>0.48719196808298409</v>
      </c>
      <c r="K163" s="11">
        <v>0.48927412426303324</v>
      </c>
      <c r="L163" s="7">
        <v>186</v>
      </c>
      <c r="M163" s="7">
        <v>180</v>
      </c>
      <c r="N163" s="7">
        <v>174</v>
      </c>
      <c r="O163" s="7">
        <f t="shared" si="3"/>
        <v>-12</v>
      </c>
    </row>
    <row r="164" spans="2:15" x14ac:dyDescent="0.25">
      <c r="B164" s="3">
        <v>34</v>
      </c>
      <c r="C164" s="3" t="s">
        <v>71</v>
      </c>
      <c r="D164" s="3" t="s">
        <v>72</v>
      </c>
      <c r="E164" s="3" t="s">
        <v>65</v>
      </c>
      <c r="F164" s="3">
        <v>4201</v>
      </c>
      <c r="G164" s="3">
        <v>4</v>
      </c>
      <c r="H164" s="3">
        <v>0.505</v>
      </c>
      <c r="I164" s="6">
        <v>0.48170247311340797</v>
      </c>
      <c r="J164" s="6">
        <v>0.48023137272703514</v>
      </c>
      <c r="K164" s="11">
        <v>0.47621578602567877</v>
      </c>
      <c r="L164" s="7">
        <v>185</v>
      </c>
      <c r="M164" s="7">
        <v>188</v>
      </c>
      <c r="N164" s="7">
        <v>193</v>
      </c>
      <c r="O164" s="7">
        <f t="shared" si="3"/>
        <v>8</v>
      </c>
    </row>
    <row r="165" spans="2:15" x14ac:dyDescent="0.25">
      <c r="B165" s="3">
        <v>69</v>
      </c>
      <c r="C165" s="3" t="s">
        <v>142</v>
      </c>
      <c r="D165" s="3" t="s">
        <v>143</v>
      </c>
      <c r="E165" s="3" t="s">
        <v>95</v>
      </c>
      <c r="F165" s="3">
        <v>5705</v>
      </c>
      <c r="G165" s="3">
        <v>5</v>
      </c>
      <c r="H165" s="3">
        <v>0.51200000000000001</v>
      </c>
      <c r="I165" s="6">
        <v>0.4821897339274025</v>
      </c>
      <c r="J165" s="6">
        <v>0.48835206730897557</v>
      </c>
      <c r="K165" s="11">
        <v>0.48417805054497703</v>
      </c>
      <c r="L165" s="7">
        <v>184</v>
      </c>
      <c r="M165" s="7">
        <v>177</v>
      </c>
      <c r="N165" s="7">
        <v>181</v>
      </c>
      <c r="O165" s="7">
        <f t="shared" si="3"/>
        <v>-3</v>
      </c>
    </row>
    <row r="166" spans="2:15" x14ac:dyDescent="0.25">
      <c r="B166" s="3">
        <v>166</v>
      </c>
      <c r="C166" s="3" t="s">
        <v>337</v>
      </c>
      <c r="D166" s="3" t="s">
        <v>338</v>
      </c>
      <c r="E166" s="3" t="s">
        <v>298</v>
      </c>
      <c r="F166" s="3">
        <v>16109</v>
      </c>
      <c r="G166" s="3">
        <v>16</v>
      </c>
      <c r="H166" s="3">
        <v>0.43</v>
      </c>
      <c r="I166" s="6">
        <v>0.48556903497453979</v>
      </c>
      <c r="J166" s="6">
        <v>0.50343335724686489</v>
      </c>
      <c r="K166" s="11">
        <v>0.49478466001713561</v>
      </c>
      <c r="L166" s="7">
        <v>183</v>
      </c>
      <c r="M166" s="7">
        <v>154</v>
      </c>
      <c r="N166" s="7">
        <v>167</v>
      </c>
      <c r="O166" s="7">
        <f t="shared" si="3"/>
        <v>-16</v>
      </c>
    </row>
    <row r="167" spans="2:15" x14ac:dyDescent="0.25">
      <c r="B167" s="3">
        <v>284</v>
      </c>
      <c r="C167" s="3" t="s">
        <v>575</v>
      </c>
      <c r="D167" s="3" t="s">
        <v>576</v>
      </c>
      <c r="E167" s="3" t="s">
        <v>706</v>
      </c>
      <c r="F167" s="3">
        <v>12201</v>
      </c>
      <c r="G167" s="3">
        <v>12</v>
      </c>
      <c r="H167" s="3"/>
      <c r="I167" s="6">
        <v>0.48637807740111583</v>
      </c>
      <c r="J167" s="6">
        <v>0.46979047969311177</v>
      </c>
      <c r="K167" s="11">
        <v>0.47839811666461307</v>
      </c>
      <c r="L167" s="7">
        <v>182</v>
      </c>
      <c r="M167" s="7">
        <v>192</v>
      </c>
      <c r="N167" s="7">
        <v>190</v>
      </c>
      <c r="O167" s="7">
        <f t="shared" si="3"/>
        <v>8</v>
      </c>
    </row>
    <row r="168" spans="2:15" x14ac:dyDescent="0.25">
      <c r="B168" s="3">
        <v>236</v>
      </c>
      <c r="C168" s="3" t="s">
        <v>480</v>
      </c>
      <c r="D168" s="3" t="s">
        <v>481</v>
      </c>
      <c r="E168" s="3" t="s">
        <v>473</v>
      </c>
      <c r="F168" s="3">
        <v>14103</v>
      </c>
      <c r="G168" s="3">
        <v>14</v>
      </c>
      <c r="H168" s="3">
        <v>0.54200000000000004</v>
      </c>
      <c r="I168" s="6">
        <v>0.48664813147012692</v>
      </c>
      <c r="J168" s="6">
        <v>0.49067226576095851</v>
      </c>
      <c r="K168" s="11">
        <v>0.49061653556575424</v>
      </c>
      <c r="L168" s="7">
        <v>181</v>
      </c>
      <c r="M168" s="7">
        <v>174</v>
      </c>
      <c r="N168" s="7">
        <v>169</v>
      </c>
      <c r="O168" s="7">
        <f t="shared" si="3"/>
        <v>-12</v>
      </c>
    </row>
    <row r="169" spans="2:15" x14ac:dyDescent="0.25">
      <c r="B169" s="3">
        <v>194</v>
      </c>
      <c r="C169" s="3" t="s">
        <v>394</v>
      </c>
      <c r="D169" s="3" t="s">
        <v>395</v>
      </c>
      <c r="E169" s="3" t="s">
        <v>341</v>
      </c>
      <c r="F169" s="3">
        <v>8109</v>
      </c>
      <c r="G169" s="3">
        <v>8</v>
      </c>
      <c r="H169" s="3">
        <v>0.48899999999999999</v>
      </c>
      <c r="I169" s="6">
        <v>0.48666911344980524</v>
      </c>
      <c r="J169" s="6">
        <v>0.49531266266492446</v>
      </c>
      <c r="K169" s="11">
        <v>0.4857406248092479</v>
      </c>
      <c r="L169" s="7">
        <v>180</v>
      </c>
      <c r="M169" s="7">
        <v>167</v>
      </c>
      <c r="N169" s="7">
        <v>178</v>
      </c>
      <c r="O169" s="7">
        <f t="shared" si="3"/>
        <v>-2</v>
      </c>
    </row>
    <row r="170" spans="2:15" x14ac:dyDescent="0.25">
      <c r="B170" s="3">
        <v>158</v>
      </c>
      <c r="C170" s="3" t="s">
        <v>321</v>
      </c>
      <c r="D170" s="3" t="s">
        <v>322</v>
      </c>
      <c r="E170" s="3" t="s">
        <v>298</v>
      </c>
      <c r="F170" s="3">
        <v>16107</v>
      </c>
      <c r="G170" s="3">
        <v>16</v>
      </c>
      <c r="H170" s="3">
        <v>0.495</v>
      </c>
      <c r="I170" s="6">
        <v>0.48727758619917821</v>
      </c>
      <c r="J170" s="6">
        <v>0.49647276189091594</v>
      </c>
      <c r="K170" s="11">
        <v>0.48776057012945234</v>
      </c>
      <c r="L170" s="7">
        <v>179</v>
      </c>
      <c r="M170" s="7">
        <v>165</v>
      </c>
      <c r="N170" s="7">
        <v>176</v>
      </c>
      <c r="O170" s="7">
        <f t="shared" si="3"/>
        <v>-3</v>
      </c>
    </row>
    <row r="171" spans="2:15" x14ac:dyDescent="0.25">
      <c r="B171" s="3">
        <v>275</v>
      </c>
      <c r="C171" s="3" t="s">
        <v>558</v>
      </c>
      <c r="D171" s="3" t="s">
        <v>559</v>
      </c>
      <c r="E171" s="3" t="s">
        <v>705</v>
      </c>
      <c r="F171" s="3">
        <v>11401</v>
      </c>
      <c r="G171" s="3">
        <v>11</v>
      </c>
      <c r="H171" s="3">
        <v>0.49299999999999999</v>
      </c>
      <c r="I171" s="6">
        <v>0.48924666855433996</v>
      </c>
      <c r="J171" s="6">
        <v>0.49647276189091594</v>
      </c>
      <c r="K171" s="11">
        <v>0.49542693543787614</v>
      </c>
      <c r="L171" s="7">
        <v>178</v>
      </c>
      <c r="M171" s="7">
        <v>164</v>
      </c>
      <c r="N171" s="7">
        <v>166</v>
      </c>
      <c r="O171" s="7">
        <f t="shared" si="3"/>
        <v>-12</v>
      </c>
    </row>
    <row r="172" spans="2:15" x14ac:dyDescent="0.25">
      <c r="B172" s="3">
        <v>247</v>
      </c>
      <c r="C172" s="3" t="s">
        <v>502</v>
      </c>
      <c r="D172" s="3" t="s">
        <v>503</v>
      </c>
      <c r="E172" s="3" t="s">
        <v>482</v>
      </c>
      <c r="F172" s="3">
        <v>10401</v>
      </c>
      <c r="G172" s="3">
        <v>10</v>
      </c>
      <c r="H172" s="3">
        <v>0.38300000000000001</v>
      </c>
      <c r="I172" s="6">
        <v>0.48929730886989176</v>
      </c>
      <c r="J172" s="6">
        <v>0.46050968588517993</v>
      </c>
      <c r="K172" s="11">
        <v>0.48290873392969974</v>
      </c>
      <c r="L172" s="7">
        <v>177</v>
      </c>
      <c r="M172" s="7">
        <v>205</v>
      </c>
      <c r="N172" s="7">
        <v>183</v>
      </c>
      <c r="O172" s="7">
        <f t="shared" si="3"/>
        <v>6</v>
      </c>
    </row>
    <row r="173" spans="2:15" x14ac:dyDescent="0.25">
      <c r="B173" s="3">
        <v>280</v>
      </c>
      <c r="C173" s="3" t="s">
        <v>568</v>
      </c>
      <c r="D173" s="3" t="s">
        <v>569</v>
      </c>
      <c r="E173" s="3" t="s">
        <v>705</v>
      </c>
      <c r="F173" s="3">
        <v>11102</v>
      </c>
      <c r="G173" s="3">
        <v>11</v>
      </c>
      <c r="H173" s="3"/>
      <c r="I173" s="6">
        <v>0.48951722259786185</v>
      </c>
      <c r="J173" s="6">
        <v>0.49879296034289894</v>
      </c>
      <c r="K173" s="11">
        <v>0.51556686239745175</v>
      </c>
      <c r="L173" s="7">
        <v>176</v>
      </c>
      <c r="M173" s="7">
        <v>161</v>
      </c>
      <c r="N173" s="7">
        <v>141</v>
      </c>
      <c r="O173" s="7">
        <f t="shared" si="3"/>
        <v>-35</v>
      </c>
    </row>
    <row r="174" spans="2:15" x14ac:dyDescent="0.25">
      <c r="B174" s="3">
        <v>308</v>
      </c>
      <c r="C174" s="3" t="s">
        <v>621</v>
      </c>
      <c r="D174" s="3" t="s">
        <v>622</v>
      </c>
      <c r="E174" s="3" t="s">
        <v>707</v>
      </c>
      <c r="F174" s="3">
        <v>13603</v>
      </c>
      <c r="G174" s="3">
        <v>13</v>
      </c>
      <c r="H174" s="3">
        <v>0.43</v>
      </c>
      <c r="I174" s="6">
        <v>0.48976668898343884</v>
      </c>
      <c r="J174" s="6">
        <v>0.46515008278914582</v>
      </c>
      <c r="K174" s="11">
        <v>0.46564056018278549</v>
      </c>
      <c r="L174" s="7">
        <v>175</v>
      </c>
      <c r="M174" s="7">
        <v>196</v>
      </c>
      <c r="N174" s="7">
        <v>199</v>
      </c>
      <c r="O174" s="7">
        <f t="shared" si="3"/>
        <v>24</v>
      </c>
    </row>
    <row r="175" spans="2:15" x14ac:dyDescent="0.25">
      <c r="B175" s="3">
        <v>242</v>
      </c>
      <c r="C175" s="3" t="s">
        <v>492</v>
      </c>
      <c r="D175" s="3" t="s">
        <v>493</v>
      </c>
      <c r="E175" s="3" t="s">
        <v>473</v>
      </c>
      <c r="F175" s="3">
        <v>14204</v>
      </c>
      <c r="G175" s="3">
        <v>14</v>
      </c>
      <c r="H175" s="3">
        <v>0.53</v>
      </c>
      <c r="I175" s="6">
        <v>0.49076746977727298</v>
      </c>
      <c r="J175" s="6">
        <v>0.51387425028078826</v>
      </c>
      <c r="K175" s="11">
        <v>0.50120643317603697</v>
      </c>
      <c r="L175" s="7">
        <v>174</v>
      </c>
      <c r="M175" s="7">
        <v>146</v>
      </c>
      <c r="N175" s="7">
        <v>159</v>
      </c>
      <c r="O175" s="7">
        <f t="shared" si="3"/>
        <v>-15</v>
      </c>
    </row>
    <row r="176" spans="2:15" x14ac:dyDescent="0.25">
      <c r="B176" s="3">
        <v>156</v>
      </c>
      <c r="C176" s="3" t="s">
        <v>317</v>
      </c>
      <c r="D176" s="3" t="s">
        <v>318</v>
      </c>
      <c r="E176" s="3" t="s">
        <v>298</v>
      </c>
      <c r="F176" s="3">
        <v>16106</v>
      </c>
      <c r="G176" s="3">
        <v>16</v>
      </c>
      <c r="H176" s="3">
        <v>0.52300000000000002</v>
      </c>
      <c r="I176" s="6">
        <v>0.49126459708540199</v>
      </c>
      <c r="J176" s="6">
        <v>0.48603186885699257</v>
      </c>
      <c r="K176" s="11">
        <v>0.47309737848525008</v>
      </c>
      <c r="L176" s="7">
        <v>173</v>
      </c>
      <c r="M176" s="7">
        <v>183</v>
      </c>
      <c r="N176" s="7">
        <v>196</v>
      </c>
      <c r="O176" s="7">
        <f t="shared" si="3"/>
        <v>23</v>
      </c>
    </row>
    <row r="177" spans="2:15" x14ac:dyDescent="0.25">
      <c r="B177" s="3">
        <v>55</v>
      </c>
      <c r="C177" s="3" t="s">
        <v>114</v>
      </c>
      <c r="D177" s="3" t="s">
        <v>115</v>
      </c>
      <c r="E177" s="3" t="s">
        <v>95</v>
      </c>
      <c r="F177" s="3">
        <v>5503</v>
      </c>
      <c r="G177" s="3">
        <v>5</v>
      </c>
      <c r="H177" s="3">
        <v>0.47799999999999998</v>
      </c>
      <c r="I177" s="6">
        <v>0.49186183563900615</v>
      </c>
      <c r="J177" s="6">
        <v>0.49415256343893299</v>
      </c>
      <c r="K177" s="11">
        <v>0.4861034293894968</v>
      </c>
      <c r="L177" s="7">
        <v>172</v>
      </c>
      <c r="M177" s="7">
        <v>170</v>
      </c>
      <c r="N177" s="7">
        <v>177</v>
      </c>
      <c r="O177" s="7">
        <f t="shared" si="3"/>
        <v>5</v>
      </c>
    </row>
    <row r="178" spans="2:15" x14ac:dyDescent="0.25">
      <c r="B178" s="3">
        <v>282</v>
      </c>
      <c r="C178" s="3" t="s">
        <v>571</v>
      </c>
      <c r="D178" s="3" t="s">
        <v>572</v>
      </c>
      <c r="E178" s="3" t="s">
        <v>705</v>
      </c>
      <c r="F178" s="3">
        <v>11402</v>
      </c>
      <c r="G178" s="3">
        <v>11</v>
      </c>
      <c r="H178" s="3"/>
      <c r="I178" s="6">
        <v>0.49217993968253998</v>
      </c>
      <c r="J178" s="6">
        <v>0.50111315879488183</v>
      </c>
      <c r="K178" s="11">
        <v>0.49054455625414728</v>
      </c>
      <c r="L178" s="7">
        <v>171</v>
      </c>
      <c r="M178" s="7">
        <v>158</v>
      </c>
      <c r="N178" s="7">
        <v>170</v>
      </c>
      <c r="O178" s="7">
        <f t="shared" si="3"/>
        <v>-1</v>
      </c>
    </row>
    <row r="179" spans="2:15" x14ac:dyDescent="0.25">
      <c r="B179" s="3">
        <v>192</v>
      </c>
      <c r="C179" s="3" t="s">
        <v>390</v>
      </c>
      <c r="D179" s="3" t="s">
        <v>391</v>
      </c>
      <c r="E179" s="3" t="s">
        <v>341</v>
      </c>
      <c r="F179" s="3">
        <v>8310</v>
      </c>
      <c r="G179" s="3">
        <v>8</v>
      </c>
      <c r="H179" s="3"/>
      <c r="I179" s="6">
        <v>0.493808132124613</v>
      </c>
      <c r="J179" s="6">
        <v>0.51851464718475415</v>
      </c>
      <c r="K179" s="11">
        <v>0.50732732360948196</v>
      </c>
      <c r="L179" s="7">
        <v>170</v>
      </c>
      <c r="M179" s="7">
        <v>138</v>
      </c>
      <c r="N179" s="7">
        <v>150</v>
      </c>
      <c r="O179" s="7">
        <f t="shared" si="3"/>
        <v>-20</v>
      </c>
    </row>
    <row r="180" spans="2:15" x14ac:dyDescent="0.25">
      <c r="B180" s="3">
        <v>119</v>
      </c>
      <c r="C180" s="3" t="s">
        <v>243</v>
      </c>
      <c r="D180" s="3" t="s">
        <v>244</v>
      </c>
      <c r="E180" s="3" t="s">
        <v>238</v>
      </c>
      <c r="F180" s="3">
        <v>7102</v>
      </c>
      <c r="G180" s="3">
        <v>7</v>
      </c>
      <c r="H180" s="3">
        <v>0.51700000000000002</v>
      </c>
      <c r="I180" s="6">
        <v>0.49431220127995568</v>
      </c>
      <c r="J180" s="6">
        <v>0.49647276189091594</v>
      </c>
      <c r="K180" s="11">
        <v>0.49887409144819511</v>
      </c>
      <c r="L180" s="7">
        <v>169</v>
      </c>
      <c r="M180" s="7">
        <v>166</v>
      </c>
      <c r="N180" s="7">
        <v>162</v>
      </c>
      <c r="O180" s="7">
        <f t="shared" si="3"/>
        <v>-7</v>
      </c>
    </row>
    <row r="181" spans="2:15" x14ac:dyDescent="0.25">
      <c r="B181" s="3">
        <v>61</v>
      </c>
      <c r="C181" s="3" t="s">
        <v>126</v>
      </c>
      <c r="D181" s="3" t="s">
        <v>127</v>
      </c>
      <c r="E181" s="3" t="s">
        <v>95</v>
      </c>
      <c r="F181" s="3">
        <v>5703</v>
      </c>
      <c r="G181" s="3">
        <v>5</v>
      </c>
      <c r="H181" s="3">
        <v>0.53</v>
      </c>
      <c r="I181" s="6">
        <v>0.49603147241232581</v>
      </c>
      <c r="J181" s="6">
        <v>0.49299246421294152</v>
      </c>
      <c r="K181" s="11">
        <v>0.49299891913466165</v>
      </c>
      <c r="L181" s="7">
        <v>168</v>
      </c>
      <c r="M181" s="7">
        <v>171</v>
      </c>
      <c r="N181" s="7">
        <v>168</v>
      </c>
      <c r="O181" s="7">
        <f t="shared" si="3"/>
        <v>0</v>
      </c>
    </row>
    <row r="182" spans="2:15" x14ac:dyDescent="0.25">
      <c r="B182" s="3">
        <v>265</v>
      </c>
      <c r="C182" s="3" t="s">
        <v>538</v>
      </c>
      <c r="D182" s="3" t="s">
        <v>539</v>
      </c>
      <c r="E182" s="3" t="s">
        <v>482</v>
      </c>
      <c r="F182" s="3">
        <v>10303</v>
      </c>
      <c r="G182" s="3">
        <v>10</v>
      </c>
      <c r="H182" s="3">
        <v>0.53600000000000003</v>
      </c>
      <c r="I182" s="6">
        <v>0.49694152235918276</v>
      </c>
      <c r="J182" s="6">
        <v>0.49995305956889041</v>
      </c>
      <c r="K182" s="11">
        <v>0.50220803058596242</v>
      </c>
      <c r="L182" s="7">
        <v>167</v>
      </c>
      <c r="M182" s="7">
        <v>160</v>
      </c>
      <c r="N182" s="7">
        <v>157</v>
      </c>
      <c r="O182" s="7">
        <f t="shared" si="3"/>
        <v>-10</v>
      </c>
    </row>
    <row r="183" spans="2:15" x14ac:dyDescent="0.25">
      <c r="B183" s="3">
        <v>5</v>
      </c>
      <c r="C183" s="3" t="s">
        <v>11</v>
      </c>
      <c r="D183" s="3" t="s">
        <v>12</v>
      </c>
      <c r="E183" s="3" t="s">
        <v>13</v>
      </c>
      <c r="F183" s="3">
        <v>1107</v>
      </c>
      <c r="G183" s="3">
        <v>1</v>
      </c>
      <c r="H183" s="3">
        <v>0.57599999999999996</v>
      </c>
      <c r="I183" s="6">
        <v>0.49743098666029273</v>
      </c>
      <c r="J183" s="6">
        <v>0.5115540518288052</v>
      </c>
      <c r="K183" s="11">
        <v>0.49887572539254421</v>
      </c>
      <c r="L183" s="7">
        <v>166</v>
      </c>
      <c r="M183" s="7">
        <v>149</v>
      </c>
      <c r="N183" s="7">
        <v>161</v>
      </c>
      <c r="O183" s="7">
        <f t="shared" si="3"/>
        <v>-5</v>
      </c>
    </row>
    <row r="184" spans="2:15" x14ac:dyDescent="0.25">
      <c r="B184" s="3">
        <v>228</v>
      </c>
      <c r="C184" s="3" t="s">
        <v>463</v>
      </c>
      <c r="D184" s="3" t="s">
        <v>464</v>
      </c>
      <c r="E184" s="3" t="s">
        <v>408</v>
      </c>
      <c r="F184" s="3">
        <v>9210</v>
      </c>
      <c r="G184" s="3">
        <v>9</v>
      </c>
      <c r="H184" s="3">
        <v>0.55200000000000005</v>
      </c>
      <c r="I184" s="6">
        <v>0.49781615383343558</v>
      </c>
      <c r="J184" s="6">
        <v>0.50923385337682225</v>
      </c>
      <c r="K184" s="11">
        <v>0.50281175905624076</v>
      </c>
      <c r="L184" s="7">
        <v>165</v>
      </c>
      <c r="M184" s="7">
        <v>152</v>
      </c>
      <c r="N184" s="7">
        <v>155</v>
      </c>
      <c r="O184" s="7">
        <f t="shared" si="3"/>
        <v>-10</v>
      </c>
    </row>
    <row r="185" spans="2:15" x14ac:dyDescent="0.25">
      <c r="B185" s="3">
        <v>115</v>
      </c>
      <c r="C185" s="3" t="s">
        <v>234</v>
      </c>
      <c r="D185" s="3" t="s">
        <v>235</v>
      </c>
      <c r="E185" s="3" t="s">
        <v>704</v>
      </c>
      <c r="F185" s="3">
        <v>6310</v>
      </c>
      <c r="G185" s="3">
        <v>6</v>
      </c>
      <c r="H185" s="3">
        <v>0.502</v>
      </c>
      <c r="I185" s="6">
        <v>0.49784388991000739</v>
      </c>
      <c r="J185" s="6">
        <v>0.51503434950677973</v>
      </c>
      <c r="K185" s="11">
        <v>0.50894057062636289</v>
      </c>
      <c r="L185" s="7">
        <v>164</v>
      </c>
      <c r="M185" s="7">
        <v>144</v>
      </c>
      <c r="N185" s="7">
        <v>149</v>
      </c>
      <c r="O185" s="7">
        <f t="shared" si="3"/>
        <v>-15</v>
      </c>
    </row>
    <row r="186" spans="2:15" x14ac:dyDescent="0.25">
      <c r="B186" s="3">
        <v>87</v>
      </c>
      <c r="C186" s="3" t="s">
        <v>178</v>
      </c>
      <c r="D186" s="3" t="s">
        <v>179</v>
      </c>
      <c r="E186" s="3" t="s">
        <v>704</v>
      </c>
      <c r="F186" s="3">
        <v>6104</v>
      </c>
      <c r="G186" s="3">
        <v>6</v>
      </c>
      <c r="H186" s="3">
        <v>0.497</v>
      </c>
      <c r="I186" s="6">
        <v>0.49786296235263905</v>
      </c>
      <c r="J186" s="6">
        <v>0.49531266266492446</v>
      </c>
      <c r="K186" s="11">
        <v>0.49039173635332772</v>
      </c>
      <c r="L186" s="7">
        <v>163</v>
      </c>
      <c r="M186" s="7">
        <v>168</v>
      </c>
      <c r="N186" s="7">
        <v>171</v>
      </c>
      <c r="O186" s="7">
        <f t="shared" si="3"/>
        <v>8</v>
      </c>
    </row>
    <row r="187" spans="2:15" x14ac:dyDescent="0.25">
      <c r="B187" s="3">
        <v>150</v>
      </c>
      <c r="C187" s="3" t="s">
        <v>305</v>
      </c>
      <c r="D187" s="3" t="s">
        <v>306</v>
      </c>
      <c r="E187" s="3" t="s">
        <v>298</v>
      </c>
      <c r="F187" s="3">
        <v>16203</v>
      </c>
      <c r="G187" s="3">
        <v>16</v>
      </c>
      <c r="H187" s="3">
        <v>0.497</v>
      </c>
      <c r="I187" s="6">
        <v>0.4984579375447778</v>
      </c>
      <c r="J187" s="6">
        <v>0.50227325802087341</v>
      </c>
      <c r="K187" s="11">
        <v>0.50253913880970913</v>
      </c>
      <c r="L187" s="7">
        <v>162</v>
      </c>
      <c r="M187" s="7">
        <v>156</v>
      </c>
      <c r="N187" s="7">
        <v>156</v>
      </c>
      <c r="O187" s="7">
        <f t="shared" si="3"/>
        <v>-6</v>
      </c>
    </row>
    <row r="188" spans="2:15" x14ac:dyDescent="0.25">
      <c r="B188" s="3">
        <v>244</v>
      </c>
      <c r="C188" s="3" t="s">
        <v>496</v>
      </c>
      <c r="D188" s="3" t="s">
        <v>497</v>
      </c>
      <c r="E188" s="3" t="s">
        <v>482</v>
      </c>
      <c r="F188" s="3">
        <v>10202</v>
      </c>
      <c r="G188" s="3">
        <v>10</v>
      </c>
      <c r="H188" s="3">
        <v>0.53800000000000003</v>
      </c>
      <c r="I188" s="6">
        <v>0.49995360502777447</v>
      </c>
      <c r="J188" s="6">
        <v>0.48603186885699257</v>
      </c>
      <c r="K188" s="11">
        <v>0.48276168417027521</v>
      </c>
      <c r="L188" s="7">
        <v>161</v>
      </c>
      <c r="M188" s="7">
        <v>181</v>
      </c>
      <c r="N188" s="7">
        <v>184</v>
      </c>
      <c r="O188" s="7">
        <f t="shared" si="3"/>
        <v>23</v>
      </c>
    </row>
    <row r="189" spans="2:15" x14ac:dyDescent="0.25">
      <c r="B189" s="3">
        <v>203</v>
      </c>
      <c r="C189" s="3" t="s">
        <v>413</v>
      </c>
      <c r="D189" s="3" t="s">
        <v>414</v>
      </c>
      <c r="E189" s="3" t="s">
        <v>408</v>
      </c>
      <c r="F189" s="3">
        <v>9202</v>
      </c>
      <c r="G189" s="3">
        <v>9</v>
      </c>
      <c r="H189" s="3">
        <v>0.53300000000000003</v>
      </c>
      <c r="I189" s="6">
        <v>0.50141220449632007</v>
      </c>
      <c r="J189" s="6">
        <v>0.49763286111690747</v>
      </c>
      <c r="K189" s="11">
        <v>0.50211559304307851</v>
      </c>
      <c r="L189" s="7">
        <v>160</v>
      </c>
      <c r="M189" s="7">
        <v>162</v>
      </c>
      <c r="N189" s="7">
        <v>158</v>
      </c>
      <c r="O189" s="7">
        <f t="shared" si="3"/>
        <v>-2</v>
      </c>
    </row>
    <row r="190" spans="2:15" x14ac:dyDescent="0.25">
      <c r="B190" s="3">
        <v>314</v>
      </c>
      <c r="C190" s="3" t="s">
        <v>633</v>
      </c>
      <c r="D190" s="3" t="s">
        <v>634</v>
      </c>
      <c r="E190" s="3" t="s">
        <v>707</v>
      </c>
      <c r="F190" s="3">
        <v>13302</v>
      </c>
      <c r="G190" s="3">
        <v>13</v>
      </c>
      <c r="H190" s="3">
        <v>0.48899999999999999</v>
      </c>
      <c r="I190" s="6">
        <v>0.50274075872657065</v>
      </c>
      <c r="J190" s="6">
        <v>0.5254752425407031</v>
      </c>
      <c r="K190" s="11">
        <v>0.50695470489995487</v>
      </c>
      <c r="L190" s="7">
        <v>159</v>
      </c>
      <c r="M190" s="7">
        <v>133</v>
      </c>
      <c r="N190" s="7">
        <v>151</v>
      </c>
      <c r="O190" s="7">
        <f t="shared" si="3"/>
        <v>-8</v>
      </c>
    </row>
    <row r="191" spans="2:15" x14ac:dyDescent="0.25">
      <c r="B191" s="3">
        <v>131</v>
      </c>
      <c r="C191" s="3" t="s">
        <v>266</v>
      </c>
      <c r="D191" s="3" t="s">
        <v>267</v>
      </c>
      <c r="E191" s="3" t="s">
        <v>238</v>
      </c>
      <c r="F191" s="3">
        <v>7203</v>
      </c>
      <c r="G191" s="3">
        <v>7</v>
      </c>
      <c r="H191" s="3">
        <v>0.45400000000000001</v>
      </c>
      <c r="I191" s="6">
        <v>0.50377068374872336</v>
      </c>
      <c r="J191" s="6">
        <v>0.50343335724686489</v>
      </c>
      <c r="K191" s="11">
        <v>0.49008399323668655</v>
      </c>
      <c r="L191" s="7">
        <v>158</v>
      </c>
      <c r="M191" s="7">
        <v>155</v>
      </c>
      <c r="N191" s="7">
        <v>172</v>
      </c>
      <c r="O191" s="7">
        <f t="shared" si="3"/>
        <v>14</v>
      </c>
    </row>
    <row r="192" spans="2:15" x14ac:dyDescent="0.25">
      <c r="B192" s="3">
        <v>170</v>
      </c>
      <c r="C192" s="3" t="s">
        <v>346</v>
      </c>
      <c r="D192" s="3" t="s">
        <v>347</v>
      </c>
      <c r="E192" s="3" t="s">
        <v>341</v>
      </c>
      <c r="F192" s="3">
        <v>8303</v>
      </c>
      <c r="G192" s="3">
        <v>8</v>
      </c>
      <c r="H192" s="3">
        <v>0.44600000000000001</v>
      </c>
      <c r="I192" s="6">
        <v>0.50449931269232684</v>
      </c>
      <c r="J192" s="6">
        <v>0.52315504408872016</v>
      </c>
      <c r="K192" s="11">
        <v>0.51045347140672637</v>
      </c>
      <c r="L192" s="7">
        <v>157</v>
      </c>
      <c r="M192" s="7">
        <v>134</v>
      </c>
      <c r="N192" s="7">
        <v>147</v>
      </c>
      <c r="O192" s="7">
        <f t="shared" si="3"/>
        <v>-10</v>
      </c>
    </row>
    <row r="193" spans="2:15" x14ac:dyDescent="0.25">
      <c r="B193" s="3">
        <v>39</v>
      </c>
      <c r="C193" s="3" t="s">
        <v>81</v>
      </c>
      <c r="D193" s="3" t="s">
        <v>82</v>
      </c>
      <c r="E193" s="3" t="s">
        <v>65</v>
      </c>
      <c r="F193" s="3">
        <v>4301</v>
      </c>
      <c r="G193" s="3">
        <v>4</v>
      </c>
      <c r="H193" s="3">
        <v>0.52100000000000002</v>
      </c>
      <c r="I193" s="6">
        <v>0.50470466228220556</v>
      </c>
      <c r="J193" s="6">
        <v>0.51271415105479679</v>
      </c>
      <c r="K193" s="11">
        <v>0.50955432424433367</v>
      </c>
      <c r="L193" s="7">
        <v>156</v>
      </c>
      <c r="M193" s="7">
        <v>148</v>
      </c>
      <c r="N193" s="7">
        <v>148</v>
      </c>
      <c r="O193" s="7">
        <f t="shared" si="3"/>
        <v>-8</v>
      </c>
    </row>
    <row r="194" spans="2:15" x14ac:dyDescent="0.25">
      <c r="B194" s="3">
        <v>180</v>
      </c>
      <c r="C194" s="3" t="s">
        <v>366</v>
      </c>
      <c r="D194" s="3" t="s">
        <v>367</v>
      </c>
      <c r="E194" s="3" t="s">
        <v>341</v>
      </c>
      <c r="F194" s="3">
        <v>8304</v>
      </c>
      <c r="G194" s="3">
        <v>8</v>
      </c>
      <c r="H194" s="3">
        <v>0.47899999999999998</v>
      </c>
      <c r="I194" s="6">
        <v>0.50793773564396316</v>
      </c>
      <c r="J194" s="6">
        <v>0.5254752425407031</v>
      </c>
      <c r="K194" s="11">
        <v>0.51587459612135567</v>
      </c>
      <c r="L194" s="7">
        <v>155</v>
      </c>
      <c r="M194" s="7">
        <v>131</v>
      </c>
      <c r="N194" s="7">
        <v>140</v>
      </c>
      <c r="O194" s="7">
        <f t="shared" si="3"/>
        <v>-15</v>
      </c>
    </row>
    <row r="195" spans="2:15" x14ac:dyDescent="0.25">
      <c r="B195" s="3">
        <v>97</v>
      </c>
      <c r="C195" s="3" t="s">
        <v>198</v>
      </c>
      <c r="D195" s="3" t="s">
        <v>199</v>
      </c>
      <c r="E195" s="3" t="s">
        <v>704</v>
      </c>
      <c r="F195" s="3">
        <v>6110</v>
      </c>
      <c r="G195" s="3">
        <v>6</v>
      </c>
      <c r="H195" s="3">
        <v>0.47399999999999998</v>
      </c>
      <c r="I195" s="6">
        <v>0.50837830409337958</v>
      </c>
      <c r="J195" s="6">
        <v>0.51967474641074562</v>
      </c>
      <c r="K195" s="11">
        <v>0.51418661155467893</v>
      </c>
      <c r="L195" s="7">
        <v>154</v>
      </c>
      <c r="M195" s="7">
        <v>137</v>
      </c>
      <c r="N195" s="7">
        <v>143</v>
      </c>
      <c r="O195" s="7">
        <f t="shared" si="3"/>
        <v>-11</v>
      </c>
    </row>
    <row r="196" spans="2:15" x14ac:dyDescent="0.25">
      <c r="B196" s="3">
        <v>185</v>
      </c>
      <c r="C196" s="3" t="s">
        <v>376</v>
      </c>
      <c r="D196" s="3" t="s">
        <v>377</v>
      </c>
      <c r="E196" s="3" t="s">
        <v>341</v>
      </c>
      <c r="F196" s="3">
        <v>8305</v>
      </c>
      <c r="G196" s="3">
        <v>8</v>
      </c>
      <c r="H196" s="3">
        <v>0.53900000000000003</v>
      </c>
      <c r="I196" s="6">
        <v>0.50852457118706573</v>
      </c>
      <c r="J196" s="6">
        <v>0.51503434950677973</v>
      </c>
      <c r="K196" s="11">
        <v>0.51649186015196391</v>
      </c>
      <c r="L196" s="7">
        <v>153</v>
      </c>
      <c r="M196" s="7">
        <v>142</v>
      </c>
      <c r="N196" s="7">
        <v>138</v>
      </c>
      <c r="O196" s="7">
        <f t="shared" ref="O196:O259" si="4">N196-L196</f>
        <v>-15</v>
      </c>
    </row>
    <row r="197" spans="2:15" x14ac:dyDescent="0.25">
      <c r="B197" s="3">
        <v>345</v>
      </c>
      <c r="C197" s="3" t="s">
        <v>695</v>
      </c>
      <c r="D197" s="3" t="s">
        <v>696</v>
      </c>
      <c r="E197" s="3" t="s">
        <v>707</v>
      </c>
      <c r="F197" s="3">
        <v>13303</v>
      </c>
      <c r="G197" s="3">
        <v>13</v>
      </c>
      <c r="H197" s="3">
        <v>0.39400000000000002</v>
      </c>
      <c r="I197" s="6">
        <v>0.50894978470785068</v>
      </c>
      <c r="J197" s="6">
        <v>0.48835206730897557</v>
      </c>
      <c r="K197" s="11">
        <v>0.49729018135636527</v>
      </c>
      <c r="L197" s="7">
        <v>152</v>
      </c>
      <c r="M197" s="7">
        <v>176</v>
      </c>
      <c r="N197" s="7">
        <v>165</v>
      </c>
      <c r="O197" s="7">
        <f t="shared" si="4"/>
        <v>13</v>
      </c>
    </row>
    <row r="198" spans="2:15" x14ac:dyDescent="0.25">
      <c r="B198" s="3">
        <v>99</v>
      </c>
      <c r="C198" s="3" t="s">
        <v>202</v>
      </c>
      <c r="D198" s="3" t="s">
        <v>203</v>
      </c>
      <c r="E198" s="3" t="s">
        <v>704</v>
      </c>
      <c r="F198" s="3">
        <v>6205</v>
      </c>
      <c r="G198" s="3">
        <v>6</v>
      </c>
      <c r="H198" s="3">
        <v>0.47099999999999997</v>
      </c>
      <c r="I198" s="6">
        <v>0.50909029136055273</v>
      </c>
      <c r="J198" s="6">
        <v>0.51503434950677973</v>
      </c>
      <c r="K198" s="11">
        <v>0.4708399380699963</v>
      </c>
      <c r="L198" s="7">
        <v>151</v>
      </c>
      <c r="M198" s="7">
        <v>145</v>
      </c>
      <c r="N198" s="7">
        <v>197</v>
      </c>
      <c r="O198" s="7">
        <f t="shared" si="4"/>
        <v>46</v>
      </c>
    </row>
    <row r="199" spans="2:15" x14ac:dyDescent="0.25">
      <c r="B199" s="3">
        <v>25</v>
      </c>
      <c r="C199" s="3" t="s">
        <v>53</v>
      </c>
      <c r="D199" s="3" t="s">
        <v>54</v>
      </c>
      <c r="E199" s="3" t="s">
        <v>46</v>
      </c>
      <c r="F199" s="3">
        <v>3202</v>
      </c>
      <c r="G199" s="3">
        <v>3</v>
      </c>
      <c r="H199" s="3">
        <v>0.41499999999999998</v>
      </c>
      <c r="I199" s="6">
        <v>0.50941257157642594</v>
      </c>
      <c r="J199" s="6">
        <v>0.46398998356315435</v>
      </c>
      <c r="K199" s="11">
        <v>0.48449163590889677</v>
      </c>
      <c r="L199" s="7">
        <v>150</v>
      </c>
      <c r="M199" s="7">
        <v>199</v>
      </c>
      <c r="N199" s="7">
        <v>180</v>
      </c>
      <c r="O199" s="7">
        <f t="shared" si="4"/>
        <v>30</v>
      </c>
    </row>
    <row r="200" spans="2:15" x14ac:dyDescent="0.25">
      <c r="B200" s="3">
        <v>57</v>
      </c>
      <c r="C200" s="3" t="s">
        <v>118</v>
      </c>
      <c r="D200" s="3" t="s">
        <v>119</v>
      </c>
      <c r="E200" s="3" t="s">
        <v>95</v>
      </c>
      <c r="F200" s="3">
        <v>5104</v>
      </c>
      <c r="G200" s="3">
        <v>5</v>
      </c>
      <c r="H200" s="3"/>
      <c r="I200" s="6">
        <v>0.50993157539600509</v>
      </c>
      <c r="J200" s="6">
        <v>0.47907127350104367</v>
      </c>
      <c r="K200" s="11">
        <v>0.49828916644576432</v>
      </c>
      <c r="L200" s="7">
        <v>149</v>
      </c>
      <c r="M200" s="7">
        <v>187</v>
      </c>
      <c r="N200" s="7">
        <v>163</v>
      </c>
      <c r="O200" s="7">
        <f t="shared" si="4"/>
        <v>14</v>
      </c>
    </row>
    <row r="201" spans="2:15" x14ac:dyDescent="0.25">
      <c r="B201" s="3">
        <v>50</v>
      </c>
      <c r="C201" s="3" t="s">
        <v>104</v>
      </c>
      <c r="D201" s="3" t="s">
        <v>105</v>
      </c>
      <c r="E201" s="3" t="s">
        <v>95</v>
      </c>
      <c r="F201" s="3">
        <v>5102</v>
      </c>
      <c r="G201" s="3">
        <v>5</v>
      </c>
      <c r="H201" s="3">
        <v>0.56100000000000005</v>
      </c>
      <c r="I201" s="6">
        <v>0.51091159260859986</v>
      </c>
      <c r="J201" s="6">
        <v>0.5208348456367371</v>
      </c>
      <c r="K201" s="11">
        <v>0.51161072338762592</v>
      </c>
      <c r="L201" s="7">
        <v>148</v>
      </c>
      <c r="M201" s="7">
        <v>136</v>
      </c>
      <c r="N201" s="7">
        <v>146</v>
      </c>
      <c r="O201" s="7">
        <f t="shared" si="4"/>
        <v>-2</v>
      </c>
    </row>
    <row r="202" spans="2:15" x14ac:dyDescent="0.25">
      <c r="B202" s="3">
        <v>124</v>
      </c>
      <c r="C202" s="3" t="s">
        <v>253</v>
      </c>
      <c r="D202" s="3" t="s">
        <v>254</v>
      </c>
      <c r="E202" s="3" t="s">
        <v>238</v>
      </c>
      <c r="F202" s="3">
        <v>7303</v>
      </c>
      <c r="G202" s="3">
        <v>7</v>
      </c>
      <c r="H202" s="3">
        <v>0.52600000000000002</v>
      </c>
      <c r="I202" s="6">
        <v>0.51092945282396729</v>
      </c>
      <c r="J202" s="6">
        <v>0.50459345647285636</v>
      </c>
      <c r="K202" s="11">
        <v>0.49741600378471279</v>
      </c>
      <c r="L202" s="7">
        <v>147</v>
      </c>
      <c r="M202" s="7">
        <v>153</v>
      </c>
      <c r="N202" s="7">
        <v>164</v>
      </c>
      <c r="O202" s="7">
        <f t="shared" si="4"/>
        <v>17</v>
      </c>
    </row>
    <row r="203" spans="2:15" x14ac:dyDescent="0.25">
      <c r="B203" s="3">
        <v>317</v>
      </c>
      <c r="C203" s="3" t="s">
        <v>639</v>
      </c>
      <c r="D203" s="3" t="s">
        <v>640</v>
      </c>
      <c r="E203" s="3" t="s">
        <v>707</v>
      </c>
      <c r="F203" s="3">
        <v>13116</v>
      </c>
      <c r="G203" s="3">
        <v>13</v>
      </c>
      <c r="H203" s="3">
        <v>0.54</v>
      </c>
      <c r="I203" s="6">
        <v>0.51144073161712489</v>
      </c>
      <c r="J203" s="6">
        <v>0.50111315879488183</v>
      </c>
      <c r="K203" s="11">
        <v>0.51603791221663076</v>
      </c>
      <c r="L203" s="7">
        <v>146</v>
      </c>
      <c r="M203" s="7">
        <v>157</v>
      </c>
      <c r="N203" s="7">
        <v>139</v>
      </c>
      <c r="O203" s="7">
        <f t="shared" si="4"/>
        <v>-7</v>
      </c>
    </row>
    <row r="204" spans="2:15" x14ac:dyDescent="0.25">
      <c r="B204" s="3">
        <v>291</v>
      </c>
      <c r="C204" s="3" t="s">
        <v>589</v>
      </c>
      <c r="D204" s="3" t="s">
        <v>590</v>
      </c>
      <c r="E204" s="3" t="s">
        <v>706</v>
      </c>
      <c r="F204" s="3">
        <v>12104</v>
      </c>
      <c r="G204" s="3">
        <v>12</v>
      </c>
      <c r="H204" s="3"/>
      <c r="I204" s="6">
        <v>0.51169147150944971</v>
      </c>
      <c r="J204" s="6">
        <v>0.38278303774375039</v>
      </c>
      <c r="K204" s="11">
        <v>0.45494620714873912</v>
      </c>
      <c r="L204" s="7">
        <v>145</v>
      </c>
      <c r="M204" s="7">
        <v>301</v>
      </c>
      <c r="N204" s="7">
        <v>211</v>
      </c>
      <c r="O204" s="7">
        <f t="shared" si="4"/>
        <v>66</v>
      </c>
    </row>
    <row r="205" spans="2:15" x14ac:dyDescent="0.25">
      <c r="B205" s="3">
        <v>65</v>
      </c>
      <c r="C205" s="3" t="s">
        <v>134</v>
      </c>
      <c r="D205" s="3" t="s">
        <v>135</v>
      </c>
      <c r="E205" s="3" t="s">
        <v>95</v>
      </c>
      <c r="F205" s="3">
        <v>5704</v>
      </c>
      <c r="G205" s="3">
        <v>5</v>
      </c>
      <c r="H205" s="3">
        <v>0.44500000000000001</v>
      </c>
      <c r="I205" s="6">
        <v>0.51200388686733278</v>
      </c>
      <c r="J205" s="6">
        <v>0.48835206730897557</v>
      </c>
      <c r="K205" s="11">
        <v>0.48949804253432949</v>
      </c>
      <c r="L205" s="7">
        <v>144</v>
      </c>
      <c r="M205" s="7">
        <v>178</v>
      </c>
      <c r="N205" s="7">
        <v>173</v>
      </c>
      <c r="O205" s="7">
        <f t="shared" si="4"/>
        <v>29</v>
      </c>
    </row>
    <row r="206" spans="2:15" x14ac:dyDescent="0.25">
      <c r="B206" s="3">
        <v>174</v>
      </c>
      <c r="C206" s="3" t="s">
        <v>354</v>
      </c>
      <c r="D206" s="3" t="s">
        <v>355</v>
      </c>
      <c r="E206" s="3" t="s">
        <v>341</v>
      </c>
      <c r="F206" s="3">
        <v>8204</v>
      </c>
      <c r="G206" s="3">
        <v>8</v>
      </c>
      <c r="H206" s="3">
        <v>0.52800000000000002</v>
      </c>
      <c r="I206" s="6">
        <v>0.5121998998291537</v>
      </c>
      <c r="J206" s="6">
        <v>0.51503434950677973</v>
      </c>
      <c r="K206" s="11">
        <v>0.51715515521955957</v>
      </c>
      <c r="L206" s="7">
        <v>143</v>
      </c>
      <c r="M206" s="7">
        <v>143</v>
      </c>
      <c r="N206" s="7">
        <v>137</v>
      </c>
      <c r="O206" s="7">
        <f t="shared" si="4"/>
        <v>-6</v>
      </c>
    </row>
    <row r="207" spans="2:15" x14ac:dyDescent="0.25">
      <c r="B207" s="3">
        <v>212</v>
      </c>
      <c r="C207" s="3" t="s">
        <v>431</v>
      </c>
      <c r="D207" s="3" t="s">
        <v>432</v>
      </c>
      <c r="E207" s="3" t="s">
        <v>408</v>
      </c>
      <c r="F207" s="3">
        <v>9109</v>
      </c>
      <c r="G207" s="3">
        <v>9</v>
      </c>
      <c r="H207" s="3">
        <v>0.52400000000000002</v>
      </c>
      <c r="I207" s="6">
        <v>0.51237230189545835</v>
      </c>
      <c r="J207" s="6">
        <v>0.52895554021867752</v>
      </c>
      <c r="K207" s="11">
        <v>0.51420930732714076</v>
      </c>
      <c r="L207" s="7">
        <v>142</v>
      </c>
      <c r="M207" s="7">
        <v>129</v>
      </c>
      <c r="N207" s="7">
        <v>142</v>
      </c>
      <c r="O207" s="7">
        <f t="shared" si="4"/>
        <v>0</v>
      </c>
    </row>
    <row r="208" spans="2:15" x14ac:dyDescent="0.25">
      <c r="B208" s="3">
        <v>304</v>
      </c>
      <c r="C208" s="3" t="s">
        <v>613</v>
      </c>
      <c r="D208" s="3" t="s">
        <v>614</v>
      </c>
      <c r="E208" s="3" t="s">
        <v>707</v>
      </c>
      <c r="F208" s="3">
        <v>13602</v>
      </c>
      <c r="G208" s="3">
        <v>13</v>
      </c>
      <c r="H208" s="3">
        <v>0.435</v>
      </c>
      <c r="I208" s="6">
        <v>0.5125230497143487</v>
      </c>
      <c r="J208" s="6">
        <v>0.51851464718475415</v>
      </c>
      <c r="K208" s="11">
        <v>0.52618862061905991</v>
      </c>
      <c r="L208" s="7">
        <v>141</v>
      </c>
      <c r="M208" s="7">
        <v>140</v>
      </c>
      <c r="N208" s="7">
        <v>132</v>
      </c>
      <c r="O208" s="7">
        <f t="shared" si="4"/>
        <v>-9</v>
      </c>
    </row>
    <row r="209" spans="2:15" x14ac:dyDescent="0.25">
      <c r="B209" s="3">
        <v>86</v>
      </c>
      <c r="C209" s="3" t="s">
        <v>176</v>
      </c>
      <c r="D209" s="3" t="s">
        <v>177</v>
      </c>
      <c r="E209" s="3" t="s">
        <v>704</v>
      </c>
      <c r="F209" s="3">
        <v>6103</v>
      </c>
      <c r="G209" s="3">
        <v>6</v>
      </c>
      <c r="H209" s="3"/>
      <c r="I209" s="6">
        <v>0.51305185847784052</v>
      </c>
      <c r="J209" s="6">
        <v>0.52199494486272868</v>
      </c>
      <c r="K209" s="11">
        <v>0.51275721106063166</v>
      </c>
      <c r="L209" s="7">
        <v>140</v>
      </c>
      <c r="M209" s="7">
        <v>135</v>
      </c>
      <c r="N209" s="7">
        <v>145</v>
      </c>
      <c r="O209" s="7">
        <f t="shared" si="4"/>
        <v>5</v>
      </c>
    </row>
    <row r="210" spans="2:15" x14ac:dyDescent="0.25">
      <c r="B210" s="3">
        <v>59</v>
      </c>
      <c r="C210" s="3" t="s">
        <v>122</v>
      </c>
      <c r="D210" s="3" t="s">
        <v>123</v>
      </c>
      <c r="E210" s="3" t="s">
        <v>95</v>
      </c>
      <c r="F210" s="3">
        <v>5401</v>
      </c>
      <c r="G210" s="3">
        <v>5</v>
      </c>
      <c r="H210" s="3">
        <v>0.49299999999999999</v>
      </c>
      <c r="I210" s="6">
        <v>0.51366691659900077</v>
      </c>
      <c r="J210" s="6">
        <v>0.51851464718475415</v>
      </c>
      <c r="K210" s="11">
        <v>0.50381522063331852</v>
      </c>
      <c r="L210" s="7">
        <v>139</v>
      </c>
      <c r="M210" s="7">
        <v>139</v>
      </c>
      <c r="N210" s="7">
        <v>153</v>
      </c>
      <c r="O210" s="7">
        <f t="shared" si="4"/>
        <v>14</v>
      </c>
    </row>
    <row r="211" spans="2:15" x14ac:dyDescent="0.25">
      <c r="B211" s="3">
        <v>19</v>
      </c>
      <c r="C211" s="3" t="s">
        <v>40</v>
      </c>
      <c r="D211" s="3" t="s">
        <v>41</v>
      </c>
      <c r="E211" s="3" t="s">
        <v>26</v>
      </c>
      <c r="F211" s="3">
        <v>2104</v>
      </c>
      <c r="G211" s="3">
        <v>2</v>
      </c>
      <c r="H211" s="3">
        <v>0.45800000000000002</v>
      </c>
      <c r="I211" s="6">
        <v>0.51406087631880093</v>
      </c>
      <c r="J211" s="6">
        <v>0.50923385337682225</v>
      </c>
      <c r="K211" s="11">
        <v>0.52376382720312908</v>
      </c>
      <c r="L211" s="7">
        <v>138</v>
      </c>
      <c r="M211" s="7">
        <v>150</v>
      </c>
      <c r="N211" s="7">
        <v>134</v>
      </c>
      <c r="O211" s="7">
        <f t="shared" si="4"/>
        <v>-4</v>
      </c>
    </row>
    <row r="212" spans="2:15" x14ac:dyDescent="0.25">
      <c r="B212" s="3">
        <v>205</v>
      </c>
      <c r="C212" s="3" t="s">
        <v>417</v>
      </c>
      <c r="D212" s="3" t="s">
        <v>418</v>
      </c>
      <c r="E212" s="3" t="s">
        <v>408</v>
      </c>
      <c r="F212" s="3">
        <v>9203</v>
      </c>
      <c r="G212" s="3">
        <v>9</v>
      </c>
      <c r="H212" s="3">
        <v>0.47199999999999998</v>
      </c>
      <c r="I212" s="6">
        <v>0.51484203478589485</v>
      </c>
      <c r="J212" s="6">
        <v>0.51851464718475415</v>
      </c>
      <c r="K212" s="11">
        <v>0.50451406166667967</v>
      </c>
      <c r="L212" s="7">
        <v>137</v>
      </c>
      <c r="M212" s="7">
        <v>141</v>
      </c>
      <c r="N212" s="7">
        <v>152</v>
      </c>
      <c r="O212" s="7">
        <f t="shared" si="4"/>
        <v>15</v>
      </c>
    </row>
    <row r="213" spans="2:15" x14ac:dyDescent="0.25">
      <c r="B213" s="3">
        <v>88</v>
      </c>
      <c r="C213" s="3" t="s">
        <v>180</v>
      </c>
      <c r="D213" s="3" t="s">
        <v>181</v>
      </c>
      <c r="E213" s="3" t="s">
        <v>704</v>
      </c>
      <c r="F213" s="3">
        <v>6105</v>
      </c>
      <c r="G213" s="3">
        <v>6</v>
      </c>
      <c r="H213" s="3">
        <v>0.54700000000000004</v>
      </c>
      <c r="I213" s="6">
        <v>0.51531338479338851</v>
      </c>
      <c r="J213" s="6">
        <v>0.51271415105479679</v>
      </c>
      <c r="K213" s="11">
        <v>0.51367714939376385</v>
      </c>
      <c r="L213" s="7">
        <v>136</v>
      </c>
      <c r="M213" s="7">
        <v>147</v>
      </c>
      <c r="N213" s="7">
        <v>144</v>
      </c>
      <c r="O213" s="7">
        <f t="shared" si="4"/>
        <v>8</v>
      </c>
    </row>
    <row r="214" spans="2:15" x14ac:dyDescent="0.25">
      <c r="B214" s="3">
        <v>15</v>
      </c>
      <c r="C214" s="3" t="s">
        <v>32</v>
      </c>
      <c r="D214" s="3" t="s">
        <v>33</v>
      </c>
      <c r="E214" s="3" t="s">
        <v>26</v>
      </c>
      <c r="F214" s="3">
        <v>2102</v>
      </c>
      <c r="G214" s="3">
        <v>2</v>
      </c>
      <c r="H214" s="3">
        <v>0.51800000000000002</v>
      </c>
      <c r="I214" s="6">
        <v>0.51670640392330713</v>
      </c>
      <c r="J214" s="6">
        <v>0.51039395260281373</v>
      </c>
      <c r="K214" s="11">
        <v>0.51822223429693248</v>
      </c>
      <c r="L214" s="7">
        <v>135</v>
      </c>
      <c r="M214" s="7">
        <v>151</v>
      </c>
      <c r="N214" s="7">
        <v>136</v>
      </c>
      <c r="O214" s="7">
        <f t="shared" si="4"/>
        <v>1</v>
      </c>
    </row>
    <row r="215" spans="2:15" x14ac:dyDescent="0.25">
      <c r="B215" s="3">
        <v>296</v>
      </c>
      <c r="C215" s="3" t="s">
        <v>597</v>
      </c>
      <c r="D215" s="3" t="s">
        <v>598</v>
      </c>
      <c r="E215" s="3" t="s">
        <v>707</v>
      </c>
      <c r="F215" s="3">
        <v>13402</v>
      </c>
      <c r="G215" s="3">
        <v>13</v>
      </c>
      <c r="H215" s="3">
        <v>0.53400000000000003</v>
      </c>
      <c r="I215" s="6">
        <v>0.52113196331644274</v>
      </c>
      <c r="J215" s="6">
        <v>0.54983732628652426</v>
      </c>
      <c r="K215" s="11">
        <v>0.53464668254780068</v>
      </c>
      <c r="L215" s="7">
        <v>134</v>
      </c>
      <c r="M215" s="7">
        <v>110</v>
      </c>
      <c r="N215" s="7">
        <v>123</v>
      </c>
      <c r="O215" s="7">
        <f t="shared" si="4"/>
        <v>-11</v>
      </c>
    </row>
    <row r="216" spans="2:15" x14ac:dyDescent="0.25">
      <c r="B216" s="3">
        <v>211</v>
      </c>
      <c r="C216" s="3" t="s">
        <v>429</v>
      </c>
      <c r="D216" s="3" t="s">
        <v>430</v>
      </c>
      <c r="E216" s="3" t="s">
        <v>408</v>
      </c>
      <c r="F216" s="3">
        <v>9108</v>
      </c>
      <c r="G216" s="3">
        <v>9</v>
      </c>
      <c r="H216" s="3">
        <v>0.57799999999999996</v>
      </c>
      <c r="I216" s="6">
        <v>0.52124365940541095</v>
      </c>
      <c r="J216" s="6">
        <v>0.54171663170458384</v>
      </c>
      <c r="K216" s="11">
        <v>0.52725745186714379</v>
      </c>
      <c r="L216" s="7">
        <v>133</v>
      </c>
      <c r="M216" s="7">
        <v>122</v>
      </c>
      <c r="N216" s="7">
        <v>129</v>
      </c>
      <c r="O216" s="7">
        <f t="shared" si="4"/>
        <v>-4</v>
      </c>
    </row>
    <row r="217" spans="2:15" x14ac:dyDescent="0.25">
      <c r="B217" s="3">
        <v>220</v>
      </c>
      <c r="C217" s="3" t="s">
        <v>447</v>
      </c>
      <c r="D217" s="3" t="s">
        <v>448</v>
      </c>
      <c r="E217" s="3" t="s">
        <v>408</v>
      </c>
      <c r="F217" s="3">
        <v>9114</v>
      </c>
      <c r="G217" s="3">
        <v>9</v>
      </c>
      <c r="H217" s="3">
        <v>0.57399999999999995</v>
      </c>
      <c r="I217" s="6">
        <v>0.52382990100668525</v>
      </c>
      <c r="J217" s="6">
        <v>0.54519692938255837</v>
      </c>
      <c r="K217" s="11">
        <v>0.52855008927016134</v>
      </c>
      <c r="L217" s="7">
        <v>132</v>
      </c>
      <c r="M217" s="7">
        <v>119</v>
      </c>
      <c r="N217" s="7">
        <v>127</v>
      </c>
      <c r="O217" s="7">
        <f t="shared" si="4"/>
        <v>-5</v>
      </c>
    </row>
    <row r="218" spans="2:15" x14ac:dyDescent="0.25">
      <c r="B218" s="3">
        <v>75</v>
      </c>
      <c r="C218" s="3" t="s">
        <v>154</v>
      </c>
      <c r="D218" s="3" t="s">
        <v>155</v>
      </c>
      <c r="E218" s="3" t="s">
        <v>95</v>
      </c>
      <c r="F218" s="3">
        <v>5304</v>
      </c>
      <c r="G218" s="3">
        <v>5</v>
      </c>
      <c r="H218" s="3">
        <v>0.48899999999999999</v>
      </c>
      <c r="I218" s="6">
        <v>0.52419612082540434</v>
      </c>
      <c r="J218" s="6">
        <v>0.52779544099268605</v>
      </c>
      <c r="K218" s="11">
        <v>0.52824387933401107</v>
      </c>
      <c r="L218" s="7">
        <v>131</v>
      </c>
      <c r="M218" s="7">
        <v>130</v>
      </c>
      <c r="N218" s="7">
        <v>128</v>
      </c>
      <c r="O218" s="7">
        <f t="shared" si="4"/>
        <v>-3</v>
      </c>
    </row>
    <row r="219" spans="2:15" x14ac:dyDescent="0.25">
      <c r="B219" s="3">
        <v>198</v>
      </c>
      <c r="C219" s="3" t="s">
        <v>402</v>
      </c>
      <c r="D219" s="3" t="s">
        <v>403</v>
      </c>
      <c r="E219" s="3" t="s">
        <v>341</v>
      </c>
      <c r="F219" s="3">
        <v>8312</v>
      </c>
      <c r="G219" s="3">
        <v>8</v>
      </c>
      <c r="H219" s="3">
        <v>0.44</v>
      </c>
      <c r="I219" s="6">
        <v>0.5252457552574189</v>
      </c>
      <c r="J219" s="6">
        <v>0.54867722706053279</v>
      </c>
      <c r="K219" s="11">
        <v>0.53103775884589366</v>
      </c>
      <c r="L219" s="7">
        <v>130</v>
      </c>
      <c r="M219" s="7">
        <v>113</v>
      </c>
      <c r="N219" s="7">
        <v>126</v>
      </c>
      <c r="O219" s="7">
        <f t="shared" si="4"/>
        <v>-4</v>
      </c>
    </row>
    <row r="220" spans="2:15" x14ac:dyDescent="0.25">
      <c r="B220" s="3">
        <v>321</v>
      </c>
      <c r="C220" s="3" t="s">
        <v>647</v>
      </c>
      <c r="D220" s="3" t="s">
        <v>648</v>
      </c>
      <c r="E220" s="3" t="s">
        <v>707</v>
      </c>
      <c r="F220" s="3">
        <v>13504</v>
      </c>
      <c r="G220" s="3">
        <v>13</v>
      </c>
      <c r="H220" s="3">
        <v>0.40699999999999997</v>
      </c>
      <c r="I220" s="6">
        <v>0.52555855097940785</v>
      </c>
      <c r="J220" s="6">
        <v>0.3572608547719377</v>
      </c>
      <c r="K220" s="11">
        <v>0.35822287402248248</v>
      </c>
      <c r="L220" s="7">
        <v>129</v>
      </c>
      <c r="M220" s="7">
        <v>334</v>
      </c>
      <c r="N220" s="7">
        <v>338</v>
      </c>
      <c r="O220" s="7">
        <f t="shared" si="4"/>
        <v>209</v>
      </c>
    </row>
    <row r="221" spans="2:15" x14ac:dyDescent="0.25">
      <c r="B221" s="3">
        <v>342</v>
      </c>
      <c r="C221" s="3" t="s">
        <v>689</v>
      </c>
      <c r="D221" s="3" t="s">
        <v>690</v>
      </c>
      <c r="E221" s="3" t="s">
        <v>707</v>
      </c>
      <c r="F221" s="3">
        <v>13131</v>
      </c>
      <c r="G221" s="3">
        <v>13</v>
      </c>
      <c r="H221" s="3">
        <v>0.54600000000000004</v>
      </c>
      <c r="I221" s="6">
        <v>0.52887157145990382</v>
      </c>
      <c r="J221" s="6">
        <v>0.52895554021867752</v>
      </c>
      <c r="K221" s="11">
        <v>0.53689441158139084</v>
      </c>
      <c r="L221" s="7">
        <v>128</v>
      </c>
      <c r="M221" s="7">
        <v>128</v>
      </c>
      <c r="N221" s="7">
        <v>119</v>
      </c>
      <c r="O221" s="7">
        <f t="shared" si="4"/>
        <v>-9</v>
      </c>
    </row>
    <row r="222" spans="2:15" x14ac:dyDescent="0.25">
      <c r="B222" s="3">
        <v>253</v>
      </c>
      <c r="C222" s="3" t="s">
        <v>514</v>
      </c>
      <c r="D222" s="3" t="s">
        <v>515</v>
      </c>
      <c r="E222" s="3" t="s">
        <v>482</v>
      </c>
      <c r="F222" s="3">
        <v>10105</v>
      </c>
      <c r="G222" s="3">
        <v>10</v>
      </c>
      <c r="H222" s="3">
        <v>0.45300000000000001</v>
      </c>
      <c r="I222" s="6">
        <v>0.52907659429404053</v>
      </c>
      <c r="J222" s="6">
        <v>0.55795802086846469</v>
      </c>
      <c r="K222" s="11">
        <v>0.52719266770190276</v>
      </c>
      <c r="L222" s="7">
        <v>127</v>
      </c>
      <c r="M222" s="7">
        <v>102</v>
      </c>
      <c r="N222" s="7">
        <v>130</v>
      </c>
      <c r="O222" s="7">
        <f t="shared" si="4"/>
        <v>3</v>
      </c>
    </row>
    <row r="223" spans="2:15" x14ac:dyDescent="0.25">
      <c r="B223" s="3">
        <v>178</v>
      </c>
      <c r="C223" s="3" t="s">
        <v>362</v>
      </c>
      <c r="D223" s="3" t="s">
        <v>363</v>
      </c>
      <c r="E223" s="3" t="s">
        <v>341</v>
      </c>
      <c r="F223" s="3">
        <v>8112</v>
      </c>
      <c r="G223" s="3">
        <v>8</v>
      </c>
      <c r="H223" s="3">
        <v>0.57599999999999996</v>
      </c>
      <c r="I223" s="6">
        <v>0.5302982575121552</v>
      </c>
      <c r="J223" s="6">
        <v>0.54867722706053279</v>
      </c>
      <c r="K223" s="11">
        <v>0.55815084643834434</v>
      </c>
      <c r="L223" s="7">
        <v>126</v>
      </c>
      <c r="M223" s="7">
        <v>114</v>
      </c>
      <c r="N223" s="7">
        <v>105</v>
      </c>
      <c r="O223" s="7">
        <f t="shared" si="4"/>
        <v>-21</v>
      </c>
    </row>
    <row r="224" spans="2:15" x14ac:dyDescent="0.25">
      <c r="B224" s="3">
        <v>125</v>
      </c>
      <c r="C224" s="3" t="s">
        <v>255</v>
      </c>
      <c r="D224" s="3" t="s">
        <v>256</v>
      </c>
      <c r="E224" s="3" t="s">
        <v>238</v>
      </c>
      <c r="F224" s="3">
        <v>7401</v>
      </c>
      <c r="G224" s="3">
        <v>7</v>
      </c>
      <c r="H224" s="3">
        <v>0.54700000000000004</v>
      </c>
      <c r="I224" s="6">
        <v>0.53086888552095812</v>
      </c>
      <c r="J224" s="6">
        <v>0.534756036348635</v>
      </c>
      <c r="K224" s="11">
        <v>0.53538449965140311</v>
      </c>
      <c r="L224" s="7">
        <v>125</v>
      </c>
      <c r="M224" s="7">
        <v>126</v>
      </c>
      <c r="N224" s="7">
        <v>122</v>
      </c>
      <c r="O224" s="7">
        <f t="shared" si="4"/>
        <v>-3</v>
      </c>
    </row>
    <row r="225" spans="2:15" x14ac:dyDescent="0.25">
      <c r="B225" s="3">
        <v>63</v>
      </c>
      <c r="C225" s="3" t="s">
        <v>130</v>
      </c>
      <c r="D225" s="3" t="s">
        <v>131</v>
      </c>
      <c r="E225" s="3" t="s">
        <v>95</v>
      </c>
      <c r="F225" s="3">
        <v>5506</v>
      </c>
      <c r="G225" s="3">
        <v>5</v>
      </c>
      <c r="H225" s="3">
        <v>0.49099999999999999</v>
      </c>
      <c r="I225" s="6">
        <v>0.53116708478925523</v>
      </c>
      <c r="J225" s="6">
        <v>0.53707623480061795</v>
      </c>
      <c r="K225" s="11">
        <v>0.53744265544818715</v>
      </c>
      <c r="L225" s="7">
        <v>124</v>
      </c>
      <c r="M225" s="7">
        <v>125</v>
      </c>
      <c r="N225" s="7">
        <v>118</v>
      </c>
      <c r="O225" s="7">
        <f t="shared" si="4"/>
        <v>-6</v>
      </c>
    </row>
    <row r="226" spans="2:15" x14ac:dyDescent="0.25">
      <c r="B226" s="3">
        <v>260</v>
      </c>
      <c r="C226" s="3" t="s">
        <v>528</v>
      </c>
      <c r="D226" s="3" t="s">
        <v>529</v>
      </c>
      <c r="E226" s="3" t="s">
        <v>482</v>
      </c>
      <c r="F226" s="3">
        <v>10404</v>
      </c>
      <c r="G226" s="3">
        <v>10</v>
      </c>
      <c r="H226" s="3"/>
      <c r="I226" s="6">
        <v>0.53192450426650684</v>
      </c>
      <c r="J226" s="6">
        <v>0.54635702860854984</v>
      </c>
      <c r="K226" s="11">
        <v>0.52533973117349364</v>
      </c>
      <c r="L226" s="7">
        <v>123</v>
      </c>
      <c r="M226" s="7">
        <v>117</v>
      </c>
      <c r="N226" s="7">
        <v>133</v>
      </c>
      <c r="O226" s="7">
        <f t="shared" si="4"/>
        <v>10</v>
      </c>
    </row>
    <row r="227" spans="2:15" x14ac:dyDescent="0.25">
      <c r="B227" s="3">
        <v>48</v>
      </c>
      <c r="C227" s="3" t="s">
        <v>100</v>
      </c>
      <c r="D227" s="3" t="s">
        <v>101</v>
      </c>
      <c r="E227" s="3" t="s">
        <v>95</v>
      </c>
      <c r="F227" s="3">
        <v>5302</v>
      </c>
      <c r="G227" s="3">
        <v>5</v>
      </c>
      <c r="H227" s="3">
        <v>0.56399999999999995</v>
      </c>
      <c r="I227" s="6">
        <v>0.53197227943856518</v>
      </c>
      <c r="J227" s="6">
        <v>0.52663534176669458</v>
      </c>
      <c r="K227" s="11">
        <v>0.52313302642732773</v>
      </c>
      <c r="L227" s="7">
        <v>122</v>
      </c>
      <c r="M227" s="7">
        <v>132</v>
      </c>
      <c r="N227" s="7">
        <v>135</v>
      </c>
      <c r="O227" s="7">
        <f t="shared" si="4"/>
        <v>13</v>
      </c>
    </row>
    <row r="228" spans="2:15" x14ac:dyDescent="0.25">
      <c r="B228" s="3">
        <v>246</v>
      </c>
      <c r="C228" s="3" t="s">
        <v>500</v>
      </c>
      <c r="D228" s="3" t="s">
        <v>501</v>
      </c>
      <c r="E228" s="3" t="s">
        <v>482</v>
      </c>
      <c r="F228" s="3">
        <v>10201</v>
      </c>
      <c r="G228" s="3">
        <v>10</v>
      </c>
      <c r="H228" s="3">
        <v>0.46</v>
      </c>
      <c r="I228" s="6">
        <v>0.53221129049064375</v>
      </c>
      <c r="J228" s="6">
        <v>0.54983732628652426</v>
      </c>
      <c r="K228" s="11">
        <v>0.54310596016776902</v>
      </c>
      <c r="L228" s="7">
        <v>121</v>
      </c>
      <c r="M228" s="7">
        <v>109</v>
      </c>
      <c r="N228" s="7">
        <v>116</v>
      </c>
      <c r="O228" s="7">
        <f t="shared" si="4"/>
        <v>-5</v>
      </c>
    </row>
    <row r="229" spans="2:15" x14ac:dyDescent="0.25">
      <c r="B229" s="3">
        <v>64</v>
      </c>
      <c r="C229" s="3" t="s">
        <v>132</v>
      </c>
      <c r="D229" s="3" t="s">
        <v>133</v>
      </c>
      <c r="E229" s="3" t="s">
        <v>95</v>
      </c>
      <c r="F229" s="3">
        <v>5803</v>
      </c>
      <c r="G229" s="3">
        <v>5</v>
      </c>
      <c r="H229" s="3">
        <v>0.43099999999999999</v>
      </c>
      <c r="I229" s="6">
        <v>0.53551820189756449</v>
      </c>
      <c r="J229" s="6">
        <v>0.54635702860854984</v>
      </c>
      <c r="K229" s="11">
        <v>0.53567558857249808</v>
      </c>
      <c r="L229" s="7">
        <v>120</v>
      </c>
      <c r="M229" s="7">
        <v>118</v>
      </c>
      <c r="N229" s="7">
        <v>121</v>
      </c>
      <c r="O229" s="7">
        <f t="shared" si="4"/>
        <v>1</v>
      </c>
    </row>
    <row r="230" spans="2:15" x14ac:dyDescent="0.25">
      <c r="B230" s="3">
        <v>22</v>
      </c>
      <c r="C230" s="3" t="s">
        <v>47</v>
      </c>
      <c r="D230" s="3" t="s">
        <v>48</v>
      </c>
      <c r="E230" s="3" t="s">
        <v>46</v>
      </c>
      <c r="F230" s="3">
        <v>3102</v>
      </c>
      <c r="G230" s="3">
        <v>3</v>
      </c>
      <c r="H230" s="3">
        <v>0.44900000000000001</v>
      </c>
      <c r="I230" s="6">
        <v>0.5361244767609622</v>
      </c>
      <c r="J230" s="6">
        <v>0.53359593712264353</v>
      </c>
      <c r="K230" s="11">
        <v>0.53225309522021036</v>
      </c>
      <c r="L230" s="7">
        <v>119</v>
      </c>
      <c r="M230" s="7">
        <v>127</v>
      </c>
      <c r="N230" s="7">
        <v>125</v>
      </c>
      <c r="O230" s="7">
        <f t="shared" si="4"/>
        <v>6</v>
      </c>
    </row>
    <row r="231" spans="2:15" x14ac:dyDescent="0.25">
      <c r="B231" s="3">
        <v>344</v>
      </c>
      <c r="C231" s="3" t="s">
        <v>693</v>
      </c>
      <c r="D231" s="3" t="s">
        <v>694</v>
      </c>
      <c r="E231" s="3" t="s">
        <v>707</v>
      </c>
      <c r="F231" s="3">
        <v>13601</v>
      </c>
      <c r="G231" s="3">
        <v>13</v>
      </c>
      <c r="H231" s="3">
        <v>0.51900000000000002</v>
      </c>
      <c r="I231" s="6">
        <v>0.53773793953460913</v>
      </c>
      <c r="J231" s="6">
        <v>0.54055653247859237</v>
      </c>
      <c r="K231" s="11">
        <v>0.5484955588578051</v>
      </c>
      <c r="L231" s="7">
        <v>118</v>
      </c>
      <c r="M231" s="7">
        <v>121</v>
      </c>
      <c r="N231" s="7">
        <v>113</v>
      </c>
      <c r="O231" s="7">
        <f t="shared" si="4"/>
        <v>-5</v>
      </c>
    </row>
    <row r="232" spans="2:15" x14ac:dyDescent="0.25">
      <c r="B232" s="3">
        <v>256</v>
      </c>
      <c r="C232" s="3" t="s">
        <v>520</v>
      </c>
      <c r="D232" s="3" t="s">
        <v>521</v>
      </c>
      <c r="E232" s="3" t="s">
        <v>482</v>
      </c>
      <c r="F232" s="3">
        <v>10107</v>
      </c>
      <c r="G232" s="3">
        <v>10</v>
      </c>
      <c r="H232" s="3">
        <v>0.48</v>
      </c>
      <c r="I232" s="6">
        <v>0.5387998542303023</v>
      </c>
      <c r="J232" s="6">
        <v>0.54751712783454132</v>
      </c>
      <c r="K232" s="11">
        <v>0.54199030474812582</v>
      </c>
      <c r="L232" s="7">
        <v>117</v>
      </c>
      <c r="M232" s="7">
        <v>116</v>
      </c>
      <c r="N232" s="7">
        <v>117</v>
      </c>
      <c r="O232" s="7">
        <f t="shared" si="4"/>
        <v>0</v>
      </c>
    </row>
    <row r="233" spans="2:15" x14ac:dyDescent="0.25">
      <c r="B233" s="3">
        <v>293</v>
      </c>
      <c r="C233" s="3" t="s">
        <v>591</v>
      </c>
      <c r="D233" s="3" t="s">
        <v>592</v>
      </c>
      <c r="E233" s="3" t="s">
        <v>706</v>
      </c>
      <c r="F233" s="3">
        <v>12303</v>
      </c>
      <c r="G233" s="3">
        <v>12</v>
      </c>
      <c r="H233" s="3"/>
      <c r="I233" s="6">
        <v>0.54214619592502511</v>
      </c>
      <c r="J233" s="6">
        <v>0.43614760213935871</v>
      </c>
      <c r="K233" s="11">
        <v>0.50326966672431162</v>
      </c>
      <c r="L233" s="7">
        <v>116</v>
      </c>
      <c r="M233" s="7">
        <v>234</v>
      </c>
      <c r="N233" s="7">
        <v>154</v>
      </c>
      <c r="O233" s="7">
        <f t="shared" si="4"/>
        <v>38</v>
      </c>
    </row>
    <row r="234" spans="2:15" x14ac:dyDescent="0.25">
      <c r="B234" s="3">
        <v>116</v>
      </c>
      <c r="C234" s="3" t="s">
        <v>236</v>
      </c>
      <c r="D234" s="3" t="s">
        <v>237</v>
      </c>
      <c r="E234" s="3" t="s">
        <v>238</v>
      </c>
      <c r="F234" s="3">
        <v>7201</v>
      </c>
      <c r="G234" s="3">
        <v>7</v>
      </c>
      <c r="H234" s="3">
        <v>0.53700000000000003</v>
      </c>
      <c r="I234" s="6">
        <v>0.54269626435947482</v>
      </c>
      <c r="J234" s="6">
        <v>0.55215752473850721</v>
      </c>
      <c r="K234" s="11">
        <v>0.5464341793292703</v>
      </c>
      <c r="L234" s="7">
        <v>115</v>
      </c>
      <c r="M234" s="7">
        <v>108</v>
      </c>
      <c r="N234" s="7">
        <v>114</v>
      </c>
      <c r="O234" s="7">
        <f t="shared" si="4"/>
        <v>-1</v>
      </c>
    </row>
    <row r="235" spans="2:15" x14ac:dyDescent="0.25">
      <c r="B235" s="3">
        <v>183</v>
      </c>
      <c r="C235" s="3" t="s">
        <v>372</v>
      </c>
      <c r="D235" s="3" t="s">
        <v>373</v>
      </c>
      <c r="E235" s="3" t="s">
        <v>341</v>
      </c>
      <c r="F235" s="3">
        <v>8301</v>
      </c>
      <c r="G235" s="3">
        <v>8</v>
      </c>
      <c r="H235" s="3">
        <v>0.59899999999999998</v>
      </c>
      <c r="I235" s="6">
        <v>0.54272002610346326</v>
      </c>
      <c r="J235" s="6">
        <v>0.56375851699842205</v>
      </c>
      <c r="K235" s="11">
        <v>0.55209682830872919</v>
      </c>
      <c r="L235" s="7">
        <v>114</v>
      </c>
      <c r="M235" s="7">
        <v>99</v>
      </c>
      <c r="N235" s="7">
        <v>110</v>
      </c>
      <c r="O235" s="7">
        <f t="shared" si="4"/>
        <v>-4</v>
      </c>
    </row>
    <row r="236" spans="2:15" x14ac:dyDescent="0.25">
      <c r="B236" s="3">
        <v>186</v>
      </c>
      <c r="C236" s="3" t="s">
        <v>378</v>
      </c>
      <c r="D236" s="3" t="s">
        <v>379</v>
      </c>
      <c r="E236" s="3" t="s">
        <v>341</v>
      </c>
      <c r="F236" s="3">
        <v>8306</v>
      </c>
      <c r="G236" s="3">
        <v>8</v>
      </c>
      <c r="H236" s="3">
        <v>0.54700000000000004</v>
      </c>
      <c r="I236" s="6">
        <v>0.54770980846356321</v>
      </c>
      <c r="J236" s="6">
        <v>0.55911812009445616</v>
      </c>
      <c r="K236" s="11">
        <v>0.55982220884432843</v>
      </c>
      <c r="L236" s="7">
        <v>113</v>
      </c>
      <c r="M236" s="7">
        <v>101</v>
      </c>
      <c r="N236" s="7">
        <v>100</v>
      </c>
      <c r="O236" s="7">
        <f t="shared" si="4"/>
        <v>-13</v>
      </c>
    </row>
    <row r="237" spans="2:15" x14ac:dyDescent="0.25">
      <c r="B237" s="3">
        <v>300</v>
      </c>
      <c r="C237" s="3" t="s">
        <v>605</v>
      </c>
      <c r="D237" s="3" t="s">
        <v>606</v>
      </c>
      <c r="E237" s="3" t="s">
        <v>707</v>
      </c>
      <c r="F237" s="3">
        <v>13301</v>
      </c>
      <c r="G237" s="3">
        <v>13</v>
      </c>
      <c r="H237" s="3">
        <v>0.58099999999999996</v>
      </c>
      <c r="I237" s="6">
        <v>0.54874893073051778</v>
      </c>
      <c r="J237" s="6">
        <v>0.54403683015656679</v>
      </c>
      <c r="K237" s="11">
        <v>0.55402451234142125</v>
      </c>
      <c r="L237" s="7">
        <v>112</v>
      </c>
      <c r="M237" s="7">
        <v>120</v>
      </c>
      <c r="N237" s="7">
        <v>109</v>
      </c>
      <c r="O237" s="7">
        <f t="shared" si="4"/>
        <v>-3</v>
      </c>
    </row>
    <row r="238" spans="2:15" x14ac:dyDescent="0.25">
      <c r="B238" s="3">
        <v>129</v>
      </c>
      <c r="C238" s="3" t="s">
        <v>262</v>
      </c>
      <c r="D238" s="3" t="s">
        <v>263</v>
      </c>
      <c r="E238" s="3" t="s">
        <v>238</v>
      </c>
      <c r="F238" s="3">
        <v>7404</v>
      </c>
      <c r="G238" s="3">
        <v>7</v>
      </c>
      <c r="H238" s="3">
        <v>0.52</v>
      </c>
      <c r="I238" s="6">
        <v>0.54920027340294053</v>
      </c>
      <c r="J238" s="6">
        <v>0.53939643325260089</v>
      </c>
      <c r="K238" s="11">
        <v>0.52703494864227896</v>
      </c>
      <c r="L238" s="7">
        <v>111</v>
      </c>
      <c r="M238" s="7">
        <v>124</v>
      </c>
      <c r="N238" s="7">
        <v>131</v>
      </c>
      <c r="O238" s="7">
        <f t="shared" si="4"/>
        <v>20</v>
      </c>
    </row>
    <row r="239" spans="2:15" x14ac:dyDescent="0.25">
      <c r="B239" s="3">
        <v>221</v>
      </c>
      <c r="C239" s="3" t="s">
        <v>449</v>
      </c>
      <c r="D239" s="3" t="s">
        <v>450</v>
      </c>
      <c r="E239" s="3" t="s">
        <v>408</v>
      </c>
      <c r="F239" s="3">
        <v>9115</v>
      </c>
      <c r="G239" s="3">
        <v>9</v>
      </c>
      <c r="H239" s="3">
        <v>0.53400000000000003</v>
      </c>
      <c r="I239" s="6">
        <v>0.54980856134794465</v>
      </c>
      <c r="J239" s="6">
        <v>0.5799999061623029</v>
      </c>
      <c r="K239" s="11">
        <v>0.55196981678912638</v>
      </c>
      <c r="L239" s="7">
        <v>110</v>
      </c>
      <c r="M239" s="7">
        <v>79</v>
      </c>
      <c r="N239" s="7">
        <v>111</v>
      </c>
      <c r="O239" s="7">
        <f t="shared" si="4"/>
        <v>1</v>
      </c>
    </row>
    <row r="240" spans="2:15" x14ac:dyDescent="0.25">
      <c r="B240" s="3">
        <v>234</v>
      </c>
      <c r="C240" s="3" t="s">
        <v>476</v>
      </c>
      <c r="D240" s="3" t="s">
        <v>477</v>
      </c>
      <c r="E240" s="3" t="s">
        <v>473</v>
      </c>
      <c r="F240" s="3">
        <v>14201</v>
      </c>
      <c r="G240" s="3">
        <v>14</v>
      </c>
      <c r="H240" s="3">
        <v>0.56699999999999995</v>
      </c>
      <c r="I240" s="6">
        <v>0.54998523226296403</v>
      </c>
      <c r="J240" s="6">
        <v>0.56723881467639659</v>
      </c>
      <c r="K240" s="11">
        <v>0.55717895266987272</v>
      </c>
      <c r="L240" s="7">
        <v>109</v>
      </c>
      <c r="M240" s="7">
        <v>96</v>
      </c>
      <c r="N240" s="7">
        <v>106</v>
      </c>
      <c r="O240" s="7">
        <f t="shared" si="4"/>
        <v>-3</v>
      </c>
    </row>
    <row r="241" spans="2:15" x14ac:dyDescent="0.25">
      <c r="B241" s="3">
        <v>277</v>
      </c>
      <c r="C241" s="3" t="s">
        <v>562</v>
      </c>
      <c r="D241" s="3" t="s">
        <v>563</v>
      </c>
      <c r="E241" s="3" t="s">
        <v>705</v>
      </c>
      <c r="F241" s="3">
        <v>11301</v>
      </c>
      <c r="G241" s="3">
        <v>11</v>
      </c>
      <c r="H241" s="3">
        <v>0.46</v>
      </c>
      <c r="I241" s="6">
        <v>0.55263337282701197</v>
      </c>
      <c r="J241" s="6">
        <v>0.55331762396449868</v>
      </c>
      <c r="K241" s="11">
        <v>0.5555818309411209</v>
      </c>
      <c r="L241" s="7">
        <v>108</v>
      </c>
      <c r="M241" s="7">
        <v>106</v>
      </c>
      <c r="N241" s="7">
        <v>107</v>
      </c>
      <c r="O241" s="7">
        <f t="shared" si="4"/>
        <v>-1</v>
      </c>
    </row>
    <row r="242" spans="2:15" x14ac:dyDescent="0.25">
      <c r="B242" s="3">
        <v>337</v>
      </c>
      <c r="C242" s="3" t="s">
        <v>679</v>
      </c>
      <c r="D242" s="3" t="s">
        <v>680</v>
      </c>
      <c r="E242" s="3" t="s">
        <v>707</v>
      </c>
      <c r="F242" s="3">
        <v>13401</v>
      </c>
      <c r="G242" s="3">
        <v>13</v>
      </c>
      <c r="H242" s="3">
        <v>0.53900000000000003</v>
      </c>
      <c r="I242" s="6">
        <v>0.5534497606555222</v>
      </c>
      <c r="J242" s="6">
        <v>0.55447772319049027</v>
      </c>
      <c r="K242" s="11">
        <v>0.56721402669644339</v>
      </c>
      <c r="L242" s="7">
        <v>107</v>
      </c>
      <c r="M242" s="7">
        <v>105</v>
      </c>
      <c r="N242" s="7">
        <v>94</v>
      </c>
      <c r="O242" s="7">
        <f t="shared" si="4"/>
        <v>-13</v>
      </c>
    </row>
    <row r="243" spans="2:15" x14ac:dyDescent="0.25">
      <c r="B243" s="3">
        <v>299</v>
      </c>
      <c r="C243" s="3" t="s">
        <v>603</v>
      </c>
      <c r="D243" s="3" t="s">
        <v>604</v>
      </c>
      <c r="E243" s="3" t="s">
        <v>707</v>
      </c>
      <c r="F243" s="3">
        <v>13103</v>
      </c>
      <c r="G243" s="3">
        <v>13</v>
      </c>
      <c r="H243" s="3">
        <v>0.54600000000000004</v>
      </c>
      <c r="I243" s="6">
        <v>0.55437434656866869</v>
      </c>
      <c r="J243" s="6">
        <v>0.55215752473850721</v>
      </c>
      <c r="K243" s="11">
        <v>0.55940858461083809</v>
      </c>
      <c r="L243" s="7">
        <v>106</v>
      </c>
      <c r="M243" s="7">
        <v>107</v>
      </c>
      <c r="N243" s="7">
        <v>102</v>
      </c>
      <c r="O243" s="7">
        <f t="shared" si="4"/>
        <v>-4</v>
      </c>
    </row>
    <row r="244" spans="2:15" x14ac:dyDescent="0.25">
      <c r="B244" s="3">
        <v>169</v>
      </c>
      <c r="C244" s="3" t="s">
        <v>344</v>
      </c>
      <c r="D244" s="3" t="s">
        <v>345</v>
      </c>
      <c r="E244" s="3" t="s">
        <v>341</v>
      </c>
      <c r="F244" s="3">
        <v>8202</v>
      </c>
      <c r="G244" s="3">
        <v>8</v>
      </c>
      <c r="H244" s="3">
        <v>0.499</v>
      </c>
      <c r="I244" s="6">
        <v>0.55533045916927581</v>
      </c>
      <c r="J244" s="6">
        <v>0.56259841777243058</v>
      </c>
      <c r="K244" s="11">
        <v>0.55839641025218556</v>
      </c>
      <c r="L244" s="7">
        <v>105</v>
      </c>
      <c r="M244" s="7">
        <v>100</v>
      </c>
      <c r="N244" s="7">
        <v>104</v>
      </c>
      <c r="O244" s="7">
        <f t="shared" si="4"/>
        <v>-1</v>
      </c>
    </row>
    <row r="245" spans="2:15" x14ac:dyDescent="0.25">
      <c r="B245" s="3">
        <v>229</v>
      </c>
      <c r="C245" s="3" t="s">
        <v>465</v>
      </c>
      <c r="D245" s="3" t="s">
        <v>466</v>
      </c>
      <c r="E245" s="3" t="s">
        <v>408</v>
      </c>
      <c r="F245" s="3">
        <v>9211</v>
      </c>
      <c r="G245" s="3">
        <v>9</v>
      </c>
      <c r="H245" s="3">
        <v>0.54600000000000004</v>
      </c>
      <c r="I245" s="6">
        <v>0.55729349293659958</v>
      </c>
      <c r="J245" s="6">
        <v>0.57303931080635395</v>
      </c>
      <c r="K245" s="11">
        <v>0.5655684026718828</v>
      </c>
      <c r="L245" s="7">
        <v>104</v>
      </c>
      <c r="M245" s="7">
        <v>89</v>
      </c>
      <c r="N245" s="7">
        <v>98</v>
      </c>
      <c r="O245" s="7">
        <f t="shared" si="4"/>
        <v>-6</v>
      </c>
    </row>
    <row r="246" spans="2:15" x14ac:dyDescent="0.25">
      <c r="B246" s="3">
        <v>66</v>
      </c>
      <c r="C246" s="3" t="s">
        <v>136</v>
      </c>
      <c r="D246" s="3" t="s">
        <v>137</v>
      </c>
      <c r="E246" s="3" t="s">
        <v>95</v>
      </c>
      <c r="F246" s="3">
        <v>5403</v>
      </c>
      <c r="G246" s="3">
        <v>5</v>
      </c>
      <c r="H246" s="3">
        <v>0.45200000000000001</v>
      </c>
      <c r="I246" s="6">
        <v>0.55890017487119781</v>
      </c>
      <c r="J246" s="6">
        <v>0.58812060074424333</v>
      </c>
      <c r="K246" s="11">
        <v>0.53568946765219061</v>
      </c>
      <c r="L246" s="7">
        <v>103</v>
      </c>
      <c r="M246" s="7">
        <v>69</v>
      </c>
      <c r="N246" s="7">
        <v>120</v>
      </c>
      <c r="O246" s="7">
        <f t="shared" si="4"/>
        <v>17</v>
      </c>
    </row>
    <row r="247" spans="2:15" x14ac:dyDescent="0.25">
      <c r="B247" s="3">
        <v>336</v>
      </c>
      <c r="C247" s="3" t="s">
        <v>677</v>
      </c>
      <c r="D247" s="3" t="s">
        <v>678</v>
      </c>
      <c r="E247" s="3" t="s">
        <v>707</v>
      </c>
      <c r="F247" s="3">
        <v>13128</v>
      </c>
      <c r="G247" s="3">
        <v>13</v>
      </c>
      <c r="H247" s="3">
        <v>0.54600000000000004</v>
      </c>
      <c r="I247" s="6">
        <v>0.56091777743029403</v>
      </c>
      <c r="J247" s="6">
        <v>0.55679792164247321</v>
      </c>
      <c r="K247" s="11">
        <v>0.57017745861942426</v>
      </c>
      <c r="L247" s="7">
        <v>102</v>
      </c>
      <c r="M247" s="7">
        <v>104</v>
      </c>
      <c r="N247" s="7">
        <v>93</v>
      </c>
      <c r="O247" s="7">
        <f t="shared" si="4"/>
        <v>-9</v>
      </c>
    </row>
    <row r="248" spans="2:15" x14ac:dyDescent="0.25">
      <c r="B248" s="3">
        <v>182</v>
      </c>
      <c r="C248" s="3" t="s">
        <v>370</v>
      </c>
      <c r="D248" s="3" t="s">
        <v>371</v>
      </c>
      <c r="E248" s="3" t="s">
        <v>341</v>
      </c>
      <c r="F248" s="3">
        <v>8206</v>
      </c>
      <c r="G248" s="3">
        <v>8</v>
      </c>
      <c r="H248" s="3">
        <v>0.53900000000000003</v>
      </c>
      <c r="I248" s="6">
        <v>0.56440892573664214</v>
      </c>
      <c r="J248" s="6">
        <v>0.57187921158036248</v>
      </c>
      <c r="K248" s="11">
        <v>0.56613971787291484</v>
      </c>
      <c r="L248" s="7">
        <v>101</v>
      </c>
      <c r="M248" s="7">
        <v>94</v>
      </c>
      <c r="N248" s="7">
        <v>97</v>
      </c>
      <c r="O248" s="7">
        <f t="shared" si="4"/>
        <v>-4</v>
      </c>
    </row>
    <row r="249" spans="2:15" x14ac:dyDescent="0.25">
      <c r="B249" s="3">
        <v>311</v>
      </c>
      <c r="C249" s="3" t="s">
        <v>627</v>
      </c>
      <c r="D249" s="3" t="s">
        <v>628</v>
      </c>
      <c r="E249" s="3" t="s">
        <v>707</v>
      </c>
      <c r="F249" s="3">
        <v>13111</v>
      </c>
      <c r="G249" s="3">
        <v>13</v>
      </c>
      <c r="H249" s="3">
        <v>0.59399999999999997</v>
      </c>
      <c r="I249" s="6">
        <v>0.56460069417045489</v>
      </c>
      <c r="J249" s="6">
        <v>0.57187921158036248</v>
      </c>
      <c r="K249" s="11">
        <v>0.57294585538954967</v>
      </c>
      <c r="L249" s="7">
        <v>100</v>
      </c>
      <c r="M249" s="7">
        <v>93</v>
      </c>
      <c r="N249" s="7">
        <v>91</v>
      </c>
      <c r="O249" s="7">
        <f t="shared" si="4"/>
        <v>-9</v>
      </c>
    </row>
    <row r="250" spans="2:15" x14ac:dyDescent="0.25">
      <c r="B250" s="3">
        <v>29</v>
      </c>
      <c r="C250" s="3" t="s">
        <v>61</v>
      </c>
      <c r="D250" s="3" t="s">
        <v>62</v>
      </c>
      <c r="E250" s="3" t="s">
        <v>46</v>
      </c>
      <c r="F250" s="3">
        <v>3301</v>
      </c>
      <c r="G250" s="3">
        <v>3</v>
      </c>
      <c r="H250" s="3">
        <v>0.53300000000000003</v>
      </c>
      <c r="I250" s="6">
        <v>0.5654011870330542</v>
      </c>
      <c r="J250" s="6">
        <v>0.56723881467639659</v>
      </c>
      <c r="K250" s="11">
        <v>0.56489226952781002</v>
      </c>
      <c r="L250" s="7">
        <v>99</v>
      </c>
      <c r="M250" s="7">
        <v>97</v>
      </c>
      <c r="N250" s="7">
        <v>99</v>
      </c>
      <c r="O250" s="7">
        <f t="shared" si="4"/>
        <v>0</v>
      </c>
    </row>
    <row r="251" spans="2:15" x14ac:dyDescent="0.25">
      <c r="B251" s="3">
        <v>37</v>
      </c>
      <c r="C251" s="3" t="s">
        <v>77</v>
      </c>
      <c r="D251" s="3" t="s">
        <v>78</v>
      </c>
      <c r="E251" s="3" t="s">
        <v>65</v>
      </c>
      <c r="F251" s="3">
        <v>4203</v>
      </c>
      <c r="G251" s="3">
        <v>4</v>
      </c>
      <c r="H251" s="3">
        <v>0.52200000000000002</v>
      </c>
      <c r="I251" s="6">
        <v>0.56565155628071906</v>
      </c>
      <c r="J251" s="6">
        <v>0.55795802086846469</v>
      </c>
      <c r="K251" s="11">
        <v>0.55555705010249556</v>
      </c>
      <c r="L251" s="7">
        <v>98</v>
      </c>
      <c r="M251" s="7">
        <v>103</v>
      </c>
      <c r="N251" s="7">
        <v>108</v>
      </c>
      <c r="O251" s="7">
        <f t="shared" si="4"/>
        <v>10</v>
      </c>
    </row>
    <row r="252" spans="2:15" x14ac:dyDescent="0.25">
      <c r="B252" s="3">
        <v>113</v>
      </c>
      <c r="C252" s="3" t="s">
        <v>230</v>
      </c>
      <c r="D252" s="3" t="s">
        <v>231</v>
      </c>
      <c r="E252" s="3" t="s">
        <v>704</v>
      </c>
      <c r="F252" s="3">
        <v>6301</v>
      </c>
      <c r="G252" s="3">
        <v>6</v>
      </c>
      <c r="H252" s="3">
        <v>0.58099999999999996</v>
      </c>
      <c r="I252" s="6">
        <v>0.56588876294550527</v>
      </c>
      <c r="J252" s="6">
        <v>0.5799999061623029</v>
      </c>
      <c r="K252" s="11">
        <v>0.57961519731183297</v>
      </c>
      <c r="L252" s="7">
        <v>97</v>
      </c>
      <c r="M252" s="7">
        <v>80</v>
      </c>
      <c r="N252" s="7">
        <v>87</v>
      </c>
      <c r="O252" s="7">
        <f t="shared" si="4"/>
        <v>-10</v>
      </c>
    </row>
    <row r="253" spans="2:15" x14ac:dyDescent="0.25">
      <c r="B253" s="3">
        <v>111</v>
      </c>
      <c r="C253" s="3" t="s">
        <v>226</v>
      </c>
      <c r="D253" s="3" t="s">
        <v>227</v>
      </c>
      <c r="E253" s="3" t="s">
        <v>704</v>
      </c>
      <c r="F253" s="3">
        <v>6115</v>
      </c>
      <c r="G253" s="3">
        <v>6</v>
      </c>
      <c r="H253" s="3">
        <v>0.57199999999999995</v>
      </c>
      <c r="I253" s="6">
        <v>0.56651000071968827</v>
      </c>
      <c r="J253" s="6">
        <v>0.57651960848432837</v>
      </c>
      <c r="K253" s="11">
        <v>0.56705828200167407</v>
      </c>
      <c r="L253" s="7">
        <v>96</v>
      </c>
      <c r="M253" s="7">
        <v>87</v>
      </c>
      <c r="N253" s="7">
        <v>95</v>
      </c>
      <c r="O253" s="7">
        <f t="shared" si="4"/>
        <v>-1</v>
      </c>
    </row>
    <row r="254" spans="2:15" x14ac:dyDescent="0.25">
      <c r="B254" s="3">
        <v>73</v>
      </c>
      <c r="C254" s="3" t="s">
        <v>150</v>
      </c>
      <c r="D254" s="3" t="s">
        <v>151</v>
      </c>
      <c r="E254" s="3" t="s">
        <v>95</v>
      </c>
      <c r="F254" s="3">
        <v>5303</v>
      </c>
      <c r="G254" s="3">
        <v>5</v>
      </c>
      <c r="H254" s="3">
        <v>0.47799999999999998</v>
      </c>
      <c r="I254" s="6">
        <v>0.56681105096292006</v>
      </c>
      <c r="J254" s="6">
        <v>0.57303931080635395</v>
      </c>
      <c r="K254" s="11">
        <v>0.55843513917074672</v>
      </c>
      <c r="L254" s="7">
        <v>95</v>
      </c>
      <c r="M254" s="7">
        <v>92</v>
      </c>
      <c r="N254" s="7">
        <v>103</v>
      </c>
      <c r="O254" s="7">
        <f t="shared" si="4"/>
        <v>8</v>
      </c>
    </row>
    <row r="255" spans="2:15" x14ac:dyDescent="0.25">
      <c r="B255" s="3">
        <v>231</v>
      </c>
      <c r="C255" s="3" t="s">
        <v>469</v>
      </c>
      <c r="D255" s="3" t="s">
        <v>470</v>
      </c>
      <c r="E255" s="3" t="s">
        <v>408</v>
      </c>
      <c r="F255" s="3">
        <v>9120</v>
      </c>
      <c r="G255" s="3">
        <v>9</v>
      </c>
      <c r="H255" s="3">
        <v>0.56599999999999995</v>
      </c>
      <c r="I255" s="6">
        <v>0.56686830229453911</v>
      </c>
      <c r="J255" s="6">
        <v>0.61248268449006449</v>
      </c>
      <c r="K255" s="11">
        <v>0.56683924779577377</v>
      </c>
      <c r="L255" s="7">
        <v>94</v>
      </c>
      <c r="M255" s="7">
        <v>50</v>
      </c>
      <c r="N255" s="7">
        <v>96</v>
      </c>
      <c r="O255" s="7">
        <f t="shared" si="4"/>
        <v>2</v>
      </c>
    </row>
    <row r="256" spans="2:15" x14ac:dyDescent="0.25">
      <c r="B256" s="3">
        <v>254</v>
      </c>
      <c r="C256" s="3" t="s">
        <v>516</v>
      </c>
      <c r="D256" s="3" t="s">
        <v>517</v>
      </c>
      <c r="E256" s="3" t="s">
        <v>482</v>
      </c>
      <c r="F256" s="3">
        <v>10402</v>
      </c>
      <c r="G256" s="3">
        <v>10</v>
      </c>
      <c r="H256" s="3"/>
      <c r="I256" s="6">
        <v>0.56735748876537728</v>
      </c>
      <c r="J256" s="6">
        <v>0.5892806999702348</v>
      </c>
      <c r="K256" s="11">
        <v>0.55972820393696165</v>
      </c>
      <c r="L256" s="7">
        <v>93</v>
      </c>
      <c r="M256" s="7">
        <v>65</v>
      </c>
      <c r="N256" s="7">
        <v>101</v>
      </c>
      <c r="O256" s="7">
        <f t="shared" si="4"/>
        <v>8</v>
      </c>
    </row>
    <row r="257" spans="2:15" x14ac:dyDescent="0.25">
      <c r="B257" s="3">
        <v>179</v>
      </c>
      <c r="C257" s="3" t="s">
        <v>364</v>
      </c>
      <c r="D257" s="3" t="s">
        <v>365</v>
      </c>
      <c r="E257" s="3" t="s">
        <v>341</v>
      </c>
      <c r="F257" s="3">
        <v>8105</v>
      </c>
      <c r="G257" s="3">
        <v>8</v>
      </c>
      <c r="H257" s="3">
        <v>0.495</v>
      </c>
      <c r="I257" s="6">
        <v>0.56857464069595265</v>
      </c>
      <c r="J257" s="6">
        <v>0.5799999061623029</v>
      </c>
      <c r="K257" s="11">
        <v>0.57252028165588176</v>
      </c>
      <c r="L257" s="7">
        <v>92</v>
      </c>
      <c r="M257" s="7">
        <v>78</v>
      </c>
      <c r="N257" s="7">
        <v>92</v>
      </c>
      <c r="O257" s="7">
        <f t="shared" si="4"/>
        <v>0</v>
      </c>
    </row>
    <row r="258" spans="2:15" x14ac:dyDescent="0.25">
      <c r="B258" s="3">
        <v>1</v>
      </c>
      <c r="C258" s="3" t="s">
        <v>3</v>
      </c>
      <c r="D258" s="3" t="s">
        <v>4</v>
      </c>
      <c r="E258" s="3" t="s">
        <v>703</v>
      </c>
      <c r="F258" s="3">
        <v>15101</v>
      </c>
      <c r="G258" s="3">
        <v>15</v>
      </c>
      <c r="H258" s="3">
        <v>0.57199999999999995</v>
      </c>
      <c r="I258" s="6">
        <v>0.56983099095584289</v>
      </c>
      <c r="J258" s="6">
        <v>0.58696050151825174</v>
      </c>
      <c r="K258" s="11">
        <v>0.58371326543979274</v>
      </c>
      <c r="L258" s="7">
        <v>91</v>
      </c>
      <c r="M258" s="7">
        <v>70</v>
      </c>
      <c r="N258" s="7">
        <v>84</v>
      </c>
      <c r="O258" s="7">
        <f t="shared" si="4"/>
        <v>-7</v>
      </c>
    </row>
    <row r="259" spans="2:15" x14ac:dyDescent="0.25">
      <c r="B259" s="3">
        <v>274</v>
      </c>
      <c r="C259" s="3" t="s">
        <v>556</v>
      </c>
      <c r="D259" s="3" t="s">
        <v>557</v>
      </c>
      <c r="E259" s="3" t="s">
        <v>705</v>
      </c>
      <c r="F259" s="3">
        <v>11201</v>
      </c>
      <c r="G259" s="3">
        <v>11</v>
      </c>
      <c r="H259" s="3">
        <v>0.56299999999999994</v>
      </c>
      <c r="I259" s="6">
        <v>0.5699243096725165</v>
      </c>
      <c r="J259" s="6">
        <v>0.57651960848432837</v>
      </c>
      <c r="K259" s="11">
        <v>0.58070314793906408</v>
      </c>
      <c r="L259" s="7">
        <v>90</v>
      </c>
      <c r="M259" s="7">
        <v>86</v>
      </c>
      <c r="N259" s="7">
        <v>86</v>
      </c>
      <c r="O259" s="7">
        <f t="shared" si="4"/>
        <v>-4</v>
      </c>
    </row>
    <row r="260" spans="2:15" x14ac:dyDescent="0.25">
      <c r="B260" s="3">
        <v>76</v>
      </c>
      <c r="C260" s="3" t="s">
        <v>156</v>
      </c>
      <c r="D260" s="3" t="s">
        <v>157</v>
      </c>
      <c r="E260" s="3" t="s">
        <v>95</v>
      </c>
      <c r="F260" s="3">
        <v>5701</v>
      </c>
      <c r="G260" s="3">
        <v>5</v>
      </c>
      <c r="H260" s="3">
        <v>0.55100000000000005</v>
      </c>
      <c r="I260" s="6">
        <v>0.57070472720566534</v>
      </c>
      <c r="J260" s="6">
        <v>0.57767970771031996</v>
      </c>
      <c r="K260" s="11">
        <v>0.57829060595781234</v>
      </c>
      <c r="L260" s="7">
        <v>89</v>
      </c>
      <c r="M260" s="7">
        <v>83</v>
      </c>
      <c r="N260" s="7">
        <v>88</v>
      </c>
      <c r="O260" s="7">
        <f t="shared" ref="O260:O323" si="5">N260-L260</f>
        <v>-1</v>
      </c>
    </row>
    <row r="261" spans="2:15" x14ac:dyDescent="0.25">
      <c r="B261" s="3">
        <v>328</v>
      </c>
      <c r="C261" s="3" t="s">
        <v>661</v>
      </c>
      <c r="D261" s="3" t="s">
        <v>662</v>
      </c>
      <c r="E261" s="3" t="s">
        <v>707</v>
      </c>
      <c r="F261" s="3">
        <v>13122</v>
      </c>
      <c r="G261" s="3">
        <v>13</v>
      </c>
      <c r="H261" s="3">
        <v>0.55200000000000005</v>
      </c>
      <c r="I261" s="6">
        <v>0.5709109419052647</v>
      </c>
      <c r="J261" s="6">
        <v>0.56607871545040511</v>
      </c>
      <c r="K261" s="11">
        <v>0.58299366719494616</v>
      </c>
      <c r="L261" s="7">
        <v>88</v>
      </c>
      <c r="M261" s="7">
        <v>98</v>
      </c>
      <c r="N261" s="7">
        <v>85</v>
      </c>
      <c r="O261" s="7">
        <f t="shared" si="5"/>
        <v>-3</v>
      </c>
    </row>
    <row r="262" spans="2:15" x14ac:dyDescent="0.25">
      <c r="B262" s="3">
        <v>181</v>
      </c>
      <c r="C262" s="3" t="s">
        <v>368</v>
      </c>
      <c r="D262" s="3" t="s">
        <v>369</v>
      </c>
      <c r="E262" s="3" t="s">
        <v>341</v>
      </c>
      <c r="F262" s="3">
        <v>8201</v>
      </c>
      <c r="G262" s="3">
        <v>8</v>
      </c>
      <c r="H262" s="3">
        <v>0.52900000000000003</v>
      </c>
      <c r="I262" s="6">
        <v>0.57118649428407475</v>
      </c>
      <c r="J262" s="6">
        <v>0.57419941003234543</v>
      </c>
      <c r="K262" s="11">
        <v>0.5757675969100704</v>
      </c>
      <c r="L262" s="7">
        <v>87</v>
      </c>
      <c r="M262" s="7">
        <v>90</v>
      </c>
      <c r="N262" s="7">
        <v>90</v>
      </c>
      <c r="O262" s="7">
        <f t="shared" si="5"/>
        <v>3</v>
      </c>
    </row>
    <row r="263" spans="2:15" x14ac:dyDescent="0.25">
      <c r="B263" s="3">
        <v>20</v>
      </c>
      <c r="C263" s="3" t="s">
        <v>42</v>
      </c>
      <c r="D263" s="3" t="s">
        <v>43</v>
      </c>
      <c r="E263" s="3" t="s">
        <v>26</v>
      </c>
      <c r="F263" s="3">
        <v>2301</v>
      </c>
      <c r="G263" s="3">
        <v>2</v>
      </c>
      <c r="H263" s="3">
        <v>0.57499999999999996</v>
      </c>
      <c r="I263" s="6">
        <v>0.57148159886268945</v>
      </c>
      <c r="J263" s="6">
        <v>0.5892806999702348</v>
      </c>
      <c r="K263" s="11">
        <v>0.60051252394038646</v>
      </c>
      <c r="L263" s="7">
        <v>86</v>
      </c>
      <c r="M263" s="7">
        <v>66</v>
      </c>
      <c r="N263" s="7">
        <v>62</v>
      </c>
      <c r="O263" s="7">
        <f t="shared" si="5"/>
        <v>-24</v>
      </c>
    </row>
    <row r="264" spans="2:15" x14ac:dyDescent="0.25">
      <c r="B264" s="3">
        <v>335</v>
      </c>
      <c r="C264" s="3" t="s">
        <v>675</v>
      </c>
      <c r="D264" s="3" t="s">
        <v>676</v>
      </c>
      <c r="E264" s="3" t="s">
        <v>707</v>
      </c>
      <c r="F264" s="3">
        <v>13127</v>
      </c>
      <c r="G264" s="3">
        <v>13</v>
      </c>
      <c r="H264" s="3">
        <v>0.58799999999999997</v>
      </c>
      <c r="I264" s="6">
        <v>0.57539126908386096</v>
      </c>
      <c r="J264" s="6">
        <v>0.54867722706053279</v>
      </c>
      <c r="K264" s="11">
        <v>0.5881025974792663</v>
      </c>
      <c r="L264" s="7">
        <v>85</v>
      </c>
      <c r="M264" s="7">
        <v>112</v>
      </c>
      <c r="N264" s="7">
        <v>75</v>
      </c>
      <c r="O264" s="7">
        <f t="shared" si="5"/>
        <v>-10</v>
      </c>
    </row>
    <row r="265" spans="2:15" x14ac:dyDescent="0.25">
      <c r="B265" s="3">
        <v>72</v>
      </c>
      <c r="C265" s="3" t="s">
        <v>148</v>
      </c>
      <c r="D265" s="3" t="s">
        <v>149</v>
      </c>
      <c r="E265" s="3" t="s">
        <v>95</v>
      </c>
      <c r="F265" s="3">
        <v>5107</v>
      </c>
      <c r="G265" s="3">
        <v>5</v>
      </c>
      <c r="H265" s="3">
        <v>0.53500000000000003</v>
      </c>
      <c r="I265" s="6">
        <v>0.57557326863139679</v>
      </c>
      <c r="J265" s="6">
        <v>0.57883980693631143</v>
      </c>
      <c r="K265" s="11">
        <v>0.57740643832646743</v>
      </c>
      <c r="L265" s="7">
        <v>84</v>
      </c>
      <c r="M265" s="7">
        <v>84</v>
      </c>
      <c r="N265" s="7">
        <v>89</v>
      </c>
      <c r="O265" s="7">
        <f t="shared" si="5"/>
        <v>5</v>
      </c>
    </row>
    <row r="266" spans="2:15" x14ac:dyDescent="0.25">
      <c r="B266" s="3">
        <v>333</v>
      </c>
      <c r="C266" s="3" t="s">
        <v>671</v>
      </c>
      <c r="D266" s="3" t="s">
        <v>672</v>
      </c>
      <c r="E266" s="3" t="s">
        <v>707</v>
      </c>
      <c r="F266" s="3">
        <v>13125</v>
      </c>
      <c r="G266" s="3">
        <v>13</v>
      </c>
      <c r="H266" s="3">
        <v>0.54200000000000004</v>
      </c>
      <c r="I266" s="6">
        <v>0.57578707372954552</v>
      </c>
      <c r="J266" s="6">
        <v>0.53823633402660942</v>
      </c>
      <c r="K266" s="11">
        <v>0.58643800157146198</v>
      </c>
      <c r="L266" s="7">
        <v>83</v>
      </c>
      <c r="M266" s="7">
        <v>123</v>
      </c>
      <c r="N266" s="7">
        <v>78</v>
      </c>
      <c r="O266" s="7">
        <f t="shared" si="5"/>
        <v>-5</v>
      </c>
    </row>
    <row r="267" spans="2:15" x14ac:dyDescent="0.25">
      <c r="B267" s="3">
        <v>261</v>
      </c>
      <c r="C267" s="3" t="s">
        <v>530</v>
      </c>
      <c r="D267" s="3" t="s">
        <v>531</v>
      </c>
      <c r="E267" s="3" t="s">
        <v>482</v>
      </c>
      <c r="F267" s="3">
        <v>10101</v>
      </c>
      <c r="G267" s="3">
        <v>10</v>
      </c>
      <c r="H267" s="3">
        <v>0.59399999999999997</v>
      </c>
      <c r="I267" s="6">
        <v>0.57722284543484681</v>
      </c>
      <c r="J267" s="6">
        <v>0.60320189068213259</v>
      </c>
      <c r="K267" s="11">
        <v>0.5871903080285259</v>
      </c>
      <c r="L267" s="7">
        <v>82</v>
      </c>
      <c r="M267" s="7">
        <v>58</v>
      </c>
      <c r="N267" s="7">
        <v>76</v>
      </c>
      <c r="O267" s="7">
        <f t="shared" si="5"/>
        <v>-6</v>
      </c>
    </row>
    <row r="268" spans="2:15" x14ac:dyDescent="0.25">
      <c r="B268" s="3">
        <v>327</v>
      </c>
      <c r="C268" s="3" t="s">
        <v>659</v>
      </c>
      <c r="D268" s="3" t="s">
        <v>660</v>
      </c>
      <c r="E268" s="3" t="s">
        <v>707</v>
      </c>
      <c r="F268" s="3">
        <v>13605</v>
      </c>
      <c r="G268" s="3">
        <v>13</v>
      </c>
      <c r="H268" s="3">
        <v>0.58299999999999996</v>
      </c>
      <c r="I268" s="6">
        <v>0.57752998649144527</v>
      </c>
      <c r="J268" s="6">
        <v>0.57883980693631143</v>
      </c>
      <c r="K268" s="11">
        <v>0.58958669437724098</v>
      </c>
      <c r="L268" s="7">
        <v>81</v>
      </c>
      <c r="M268" s="7">
        <v>82</v>
      </c>
      <c r="N268" s="7">
        <v>72</v>
      </c>
      <c r="O268" s="7">
        <f t="shared" si="5"/>
        <v>-9</v>
      </c>
    </row>
    <row r="269" spans="2:15" x14ac:dyDescent="0.25">
      <c r="B269" s="3">
        <v>303</v>
      </c>
      <c r="C269" s="3" t="s">
        <v>611</v>
      </c>
      <c r="D269" s="3" t="s">
        <v>612</v>
      </c>
      <c r="E269" s="3" t="s">
        <v>707</v>
      </c>
      <c r="F269" s="3">
        <v>13105</v>
      </c>
      <c r="G269" s="3">
        <v>13</v>
      </c>
      <c r="H269" s="3">
        <v>0.56000000000000005</v>
      </c>
      <c r="I269" s="6">
        <v>0.57822887624035246</v>
      </c>
      <c r="J269" s="6">
        <v>0.58232010461428585</v>
      </c>
      <c r="K269" s="11">
        <v>0.58915546074444991</v>
      </c>
      <c r="L269" s="7">
        <v>80</v>
      </c>
      <c r="M269" s="7">
        <v>75</v>
      </c>
      <c r="N269" s="7">
        <v>73</v>
      </c>
      <c r="O269" s="7">
        <f t="shared" si="5"/>
        <v>-7</v>
      </c>
    </row>
    <row r="270" spans="2:15" x14ac:dyDescent="0.25">
      <c r="B270" s="3">
        <v>318</v>
      </c>
      <c r="C270" s="3" t="s">
        <v>641</v>
      </c>
      <c r="D270" s="3" t="s">
        <v>642</v>
      </c>
      <c r="E270" s="3" t="s">
        <v>707</v>
      </c>
      <c r="F270" s="3">
        <v>13117</v>
      </c>
      <c r="G270" s="3">
        <v>13</v>
      </c>
      <c r="H270" s="3">
        <v>0.48399999999999999</v>
      </c>
      <c r="I270" s="6">
        <v>0.57826530485146421</v>
      </c>
      <c r="J270" s="6">
        <v>0.57187921158036248</v>
      </c>
      <c r="K270" s="11">
        <v>0.58432377818768955</v>
      </c>
      <c r="L270" s="7">
        <v>79</v>
      </c>
      <c r="M270" s="7">
        <v>95</v>
      </c>
      <c r="N270" s="7">
        <v>82</v>
      </c>
      <c r="O270" s="7">
        <f t="shared" si="5"/>
        <v>3</v>
      </c>
    </row>
    <row r="271" spans="2:15" x14ac:dyDescent="0.25">
      <c r="B271" s="3">
        <v>326</v>
      </c>
      <c r="C271" s="3" t="s">
        <v>657</v>
      </c>
      <c r="D271" s="3" t="s">
        <v>658</v>
      </c>
      <c r="E271" s="3" t="s">
        <v>707</v>
      </c>
      <c r="F271" s="3">
        <v>13121</v>
      </c>
      <c r="G271" s="3">
        <v>13</v>
      </c>
      <c r="H271" s="3">
        <v>0.60799999999999998</v>
      </c>
      <c r="I271" s="6">
        <v>0.5785671834151348</v>
      </c>
      <c r="J271" s="6">
        <v>0.57883980693631143</v>
      </c>
      <c r="K271" s="11">
        <v>0.58570460847680117</v>
      </c>
      <c r="L271" s="7">
        <v>78</v>
      </c>
      <c r="M271" s="7">
        <v>81</v>
      </c>
      <c r="N271" s="7">
        <v>80</v>
      </c>
      <c r="O271" s="7">
        <f t="shared" si="5"/>
        <v>2</v>
      </c>
    </row>
    <row r="272" spans="2:15" x14ac:dyDescent="0.25">
      <c r="B272" s="3">
        <v>60</v>
      </c>
      <c r="C272" s="3" t="s">
        <v>124</v>
      </c>
      <c r="D272" s="3" t="s">
        <v>125</v>
      </c>
      <c r="E272" s="3" t="s">
        <v>95</v>
      </c>
      <c r="F272" s="3">
        <v>5802</v>
      </c>
      <c r="G272" s="3">
        <v>5</v>
      </c>
      <c r="H272" s="3">
        <v>0.51300000000000001</v>
      </c>
      <c r="I272" s="6">
        <v>0.57859419922360622</v>
      </c>
      <c r="J272" s="6">
        <v>0.62756397442795375</v>
      </c>
      <c r="K272" s="11">
        <v>0.58553262663342853</v>
      </c>
      <c r="L272" s="7">
        <v>77</v>
      </c>
      <c r="M272" s="7">
        <v>38</v>
      </c>
      <c r="N272" s="7">
        <v>81</v>
      </c>
      <c r="O272" s="7">
        <f t="shared" si="5"/>
        <v>4</v>
      </c>
    </row>
    <row r="273" spans="2:15" x14ac:dyDescent="0.25">
      <c r="B273" s="3">
        <v>74</v>
      </c>
      <c r="C273" s="3" t="s">
        <v>152</v>
      </c>
      <c r="D273" s="3" t="s">
        <v>153</v>
      </c>
      <c r="E273" s="3" t="s">
        <v>95</v>
      </c>
      <c r="F273" s="3">
        <v>5601</v>
      </c>
      <c r="G273" s="3">
        <v>5</v>
      </c>
      <c r="H273" s="3">
        <v>0.498</v>
      </c>
      <c r="I273" s="6">
        <v>0.5790110740148029</v>
      </c>
      <c r="J273" s="6">
        <v>0.59740139455217522</v>
      </c>
      <c r="K273" s="11">
        <v>0.58378898764046505</v>
      </c>
      <c r="L273" s="7">
        <v>76</v>
      </c>
      <c r="M273" s="7">
        <v>61</v>
      </c>
      <c r="N273" s="7">
        <v>83</v>
      </c>
      <c r="O273" s="7">
        <f t="shared" si="5"/>
        <v>7</v>
      </c>
    </row>
    <row r="274" spans="2:15" x14ac:dyDescent="0.25">
      <c r="B274" s="3">
        <v>278</v>
      </c>
      <c r="C274" s="3" t="s">
        <v>564</v>
      </c>
      <c r="D274" s="3" t="s">
        <v>565</v>
      </c>
      <c r="E274" s="3" t="s">
        <v>705</v>
      </c>
      <c r="F274" s="3">
        <v>11101</v>
      </c>
      <c r="G274" s="3">
        <v>11</v>
      </c>
      <c r="H274" s="3">
        <v>0.53100000000000003</v>
      </c>
      <c r="I274" s="6">
        <v>0.58151123545508776</v>
      </c>
      <c r="J274" s="6">
        <v>0.58696050151825174</v>
      </c>
      <c r="K274" s="11">
        <v>0.58694454869906254</v>
      </c>
      <c r="L274" s="7">
        <v>75</v>
      </c>
      <c r="M274" s="7">
        <v>71</v>
      </c>
      <c r="N274" s="7">
        <v>77</v>
      </c>
      <c r="O274" s="7">
        <f t="shared" si="5"/>
        <v>2</v>
      </c>
    </row>
    <row r="275" spans="2:15" x14ac:dyDescent="0.25">
      <c r="B275" s="3">
        <v>316</v>
      </c>
      <c r="C275" s="3" t="s">
        <v>637</v>
      </c>
      <c r="D275" s="3" t="s">
        <v>638</v>
      </c>
      <c r="E275" s="3" t="s">
        <v>707</v>
      </c>
      <c r="F275" s="3">
        <v>13115</v>
      </c>
      <c r="G275" s="3">
        <v>13</v>
      </c>
      <c r="H275" s="3">
        <v>0.59</v>
      </c>
      <c r="I275" s="6">
        <v>0.58298777258336365</v>
      </c>
      <c r="J275" s="6">
        <v>0.57303931080635395</v>
      </c>
      <c r="K275" s="11">
        <v>0.59164979195987888</v>
      </c>
      <c r="L275" s="7">
        <v>74</v>
      </c>
      <c r="M275" s="7">
        <v>91</v>
      </c>
      <c r="N275" s="7">
        <v>71</v>
      </c>
      <c r="O275" s="7">
        <f t="shared" si="5"/>
        <v>-3</v>
      </c>
    </row>
    <row r="276" spans="2:15" x14ac:dyDescent="0.25">
      <c r="B276" s="3">
        <v>89</v>
      </c>
      <c r="C276" s="3" t="s">
        <v>182</v>
      </c>
      <c r="D276" s="3" t="s">
        <v>183</v>
      </c>
      <c r="E276" s="3" t="s">
        <v>704</v>
      </c>
      <c r="F276" s="3">
        <v>6106</v>
      </c>
      <c r="G276" s="3">
        <v>6</v>
      </c>
      <c r="H276" s="3">
        <v>0.41599999999999998</v>
      </c>
      <c r="I276" s="6">
        <v>0.58393426457689601</v>
      </c>
      <c r="J276" s="6">
        <v>0.59276099764820922</v>
      </c>
      <c r="K276" s="11">
        <v>0.5882925023429888</v>
      </c>
      <c r="L276" s="7">
        <v>73</v>
      </c>
      <c r="M276" s="7">
        <v>63</v>
      </c>
      <c r="N276" s="7">
        <v>74</v>
      </c>
      <c r="O276" s="7">
        <f t="shared" si="5"/>
        <v>1</v>
      </c>
    </row>
    <row r="277" spans="2:15" x14ac:dyDescent="0.25">
      <c r="B277" s="3">
        <v>276</v>
      </c>
      <c r="C277" s="3" t="s">
        <v>560</v>
      </c>
      <c r="D277" s="3" t="s">
        <v>561</v>
      </c>
      <c r="E277" s="3" t="s">
        <v>705</v>
      </c>
      <c r="F277" s="3">
        <v>11202</v>
      </c>
      <c r="G277" s="3">
        <v>11</v>
      </c>
      <c r="H277" s="3">
        <v>0.497</v>
      </c>
      <c r="I277" s="6">
        <v>0.58547829360823656</v>
      </c>
      <c r="J277" s="6">
        <v>0.58348020384027732</v>
      </c>
      <c r="K277" s="11">
        <v>0.60045543450958672</v>
      </c>
      <c r="L277" s="7">
        <v>72</v>
      </c>
      <c r="M277" s="7">
        <v>74</v>
      </c>
      <c r="N277" s="7">
        <v>63</v>
      </c>
      <c r="O277" s="7">
        <f t="shared" si="5"/>
        <v>-9</v>
      </c>
    </row>
    <row r="278" spans="2:15" x14ac:dyDescent="0.25">
      <c r="B278" s="3">
        <v>301</v>
      </c>
      <c r="C278" s="3" t="s">
        <v>607</v>
      </c>
      <c r="D278" s="3" t="s">
        <v>608</v>
      </c>
      <c r="E278" s="3" t="s">
        <v>707</v>
      </c>
      <c r="F278" s="3">
        <v>13104</v>
      </c>
      <c r="G278" s="3">
        <v>13</v>
      </c>
      <c r="H278" s="3">
        <v>0.51</v>
      </c>
      <c r="I278" s="6">
        <v>0.58592090810495168</v>
      </c>
      <c r="J278" s="6">
        <v>0.58232010461428585</v>
      </c>
      <c r="K278" s="11">
        <v>0.59711483453204184</v>
      </c>
      <c r="L278" s="7">
        <v>71</v>
      </c>
      <c r="M278" s="7">
        <v>76</v>
      </c>
      <c r="N278" s="7">
        <v>67</v>
      </c>
      <c r="O278" s="7">
        <f t="shared" si="5"/>
        <v>-4</v>
      </c>
    </row>
    <row r="279" spans="2:15" x14ac:dyDescent="0.25">
      <c r="B279" s="3">
        <v>281</v>
      </c>
      <c r="C279" s="3" t="s">
        <v>171</v>
      </c>
      <c r="D279" s="3" t="s">
        <v>570</v>
      </c>
      <c r="E279" s="3" t="s">
        <v>705</v>
      </c>
      <c r="F279" s="3">
        <v>11302</v>
      </c>
      <c r="G279" s="3">
        <v>11</v>
      </c>
      <c r="H279" s="3"/>
      <c r="I279" s="6">
        <v>0.58695410692145378</v>
      </c>
      <c r="J279" s="6">
        <v>0.54867722706053279</v>
      </c>
      <c r="K279" s="11">
        <v>0.54327773348223818</v>
      </c>
      <c r="L279" s="7">
        <v>70</v>
      </c>
      <c r="M279" s="7">
        <v>111</v>
      </c>
      <c r="N279" s="7">
        <v>115</v>
      </c>
      <c r="O279" s="7">
        <f t="shared" si="5"/>
        <v>45</v>
      </c>
    </row>
    <row r="280" spans="2:15" x14ac:dyDescent="0.25">
      <c r="B280" s="3">
        <v>24</v>
      </c>
      <c r="C280" s="3" t="s">
        <v>51</v>
      </c>
      <c r="D280" s="3" t="s">
        <v>52</v>
      </c>
      <c r="E280" s="3" t="s">
        <v>46</v>
      </c>
      <c r="F280" s="3">
        <v>3101</v>
      </c>
      <c r="G280" s="3">
        <v>3</v>
      </c>
      <c r="H280" s="3">
        <v>0.54200000000000004</v>
      </c>
      <c r="I280" s="6">
        <v>0.5875212666286016</v>
      </c>
      <c r="J280" s="6">
        <v>0.60436198990812406</v>
      </c>
      <c r="K280" s="11">
        <v>0.59712693837526265</v>
      </c>
      <c r="L280" s="7">
        <v>69</v>
      </c>
      <c r="M280" s="7">
        <v>55</v>
      </c>
      <c r="N280" s="7">
        <v>66</v>
      </c>
      <c r="O280" s="7">
        <f t="shared" si="5"/>
        <v>-3</v>
      </c>
    </row>
    <row r="281" spans="2:15" x14ac:dyDescent="0.25">
      <c r="B281" s="3">
        <v>176</v>
      </c>
      <c r="C281" s="3" t="s">
        <v>358</v>
      </c>
      <c r="D281" s="3" t="s">
        <v>359</v>
      </c>
      <c r="E281" s="3" t="s">
        <v>341</v>
      </c>
      <c r="F281" s="3">
        <v>8205</v>
      </c>
      <c r="G281" s="3">
        <v>8</v>
      </c>
      <c r="H281" s="3">
        <v>0.55100000000000005</v>
      </c>
      <c r="I281" s="6">
        <v>0.58816038841806006</v>
      </c>
      <c r="J281" s="6">
        <v>0.58812060074424333</v>
      </c>
      <c r="K281" s="11">
        <v>0.59295495714905233</v>
      </c>
      <c r="L281" s="7">
        <v>68</v>
      </c>
      <c r="M281" s="7">
        <v>68</v>
      </c>
      <c r="N281" s="7">
        <v>69</v>
      </c>
      <c r="O281" s="7">
        <f t="shared" si="5"/>
        <v>1</v>
      </c>
    </row>
    <row r="282" spans="2:15" x14ac:dyDescent="0.25">
      <c r="B282" s="3">
        <v>306</v>
      </c>
      <c r="C282" s="3" t="s">
        <v>617</v>
      </c>
      <c r="D282" s="3" t="s">
        <v>618</v>
      </c>
      <c r="E282" s="3" t="s">
        <v>707</v>
      </c>
      <c r="F282" s="3">
        <v>13107</v>
      </c>
      <c r="G282" s="3">
        <v>13</v>
      </c>
      <c r="H282" s="3">
        <v>0.57099999999999995</v>
      </c>
      <c r="I282" s="6">
        <v>0.5901873693679589</v>
      </c>
      <c r="J282" s="6">
        <v>0.57419941003234543</v>
      </c>
      <c r="K282" s="11">
        <v>0.59223319800967644</v>
      </c>
      <c r="L282" s="7">
        <v>67</v>
      </c>
      <c r="M282" s="7">
        <v>88</v>
      </c>
      <c r="N282" s="7">
        <v>70</v>
      </c>
      <c r="O282" s="7">
        <f t="shared" si="5"/>
        <v>3</v>
      </c>
    </row>
    <row r="283" spans="2:15" x14ac:dyDescent="0.25">
      <c r="B283" s="3">
        <v>338</v>
      </c>
      <c r="C283" s="3" t="s">
        <v>681</v>
      </c>
      <c r="D283" s="3" t="s">
        <v>682</v>
      </c>
      <c r="E283" s="3" t="s">
        <v>707</v>
      </c>
      <c r="F283" s="3">
        <v>13129</v>
      </c>
      <c r="G283" s="3">
        <v>13</v>
      </c>
      <c r="H283" s="3">
        <v>0.55600000000000005</v>
      </c>
      <c r="I283" s="6">
        <v>0.59111650666914239</v>
      </c>
      <c r="J283" s="6">
        <v>0.59740139455217522</v>
      </c>
      <c r="K283" s="11">
        <v>0.60093759714592632</v>
      </c>
      <c r="L283" s="7">
        <v>66</v>
      </c>
      <c r="M283" s="7">
        <v>60</v>
      </c>
      <c r="N283" s="7">
        <v>61</v>
      </c>
      <c r="O283" s="7">
        <f t="shared" si="5"/>
        <v>-5</v>
      </c>
    </row>
    <row r="284" spans="2:15" x14ac:dyDescent="0.25">
      <c r="B284" s="3">
        <v>47</v>
      </c>
      <c r="C284" s="3" t="s">
        <v>98</v>
      </c>
      <c r="D284" s="3" t="s">
        <v>99</v>
      </c>
      <c r="E284" s="3" t="s">
        <v>95</v>
      </c>
      <c r="F284" s="3">
        <v>5502</v>
      </c>
      <c r="G284" s="3">
        <v>5</v>
      </c>
      <c r="H284" s="3">
        <v>0.56200000000000006</v>
      </c>
      <c r="I284" s="6">
        <v>0.59190484564216861</v>
      </c>
      <c r="J284" s="6">
        <v>0.60552208913411554</v>
      </c>
      <c r="K284" s="11">
        <v>0.60410112319871234</v>
      </c>
      <c r="L284" s="7">
        <v>65</v>
      </c>
      <c r="M284" s="7">
        <v>54</v>
      </c>
      <c r="N284" s="7">
        <v>58</v>
      </c>
      <c r="O284" s="7">
        <f t="shared" si="5"/>
        <v>-7</v>
      </c>
    </row>
    <row r="285" spans="2:15" x14ac:dyDescent="0.25">
      <c r="B285" s="3">
        <v>263</v>
      </c>
      <c r="C285" s="3" t="s">
        <v>534</v>
      </c>
      <c r="D285" s="3" t="s">
        <v>535</v>
      </c>
      <c r="E285" s="3" t="s">
        <v>482</v>
      </c>
      <c r="F285" s="3">
        <v>10109</v>
      </c>
      <c r="G285" s="3">
        <v>10</v>
      </c>
      <c r="H285" s="3">
        <v>0.58299999999999996</v>
      </c>
      <c r="I285" s="6">
        <v>0.59241881655542961</v>
      </c>
      <c r="J285" s="6">
        <v>0.63104427210592828</v>
      </c>
      <c r="K285" s="11">
        <v>0.59993761533873891</v>
      </c>
      <c r="L285" s="7">
        <v>64</v>
      </c>
      <c r="M285" s="7">
        <v>35</v>
      </c>
      <c r="N285" s="7">
        <v>65</v>
      </c>
      <c r="O285" s="7">
        <f t="shared" si="5"/>
        <v>1</v>
      </c>
    </row>
    <row r="286" spans="2:15" x14ac:dyDescent="0.25">
      <c r="B286" s="3">
        <v>332</v>
      </c>
      <c r="C286" s="3" t="s">
        <v>669</v>
      </c>
      <c r="D286" s="3" t="s">
        <v>670</v>
      </c>
      <c r="E286" s="3" t="s">
        <v>707</v>
      </c>
      <c r="F286" s="3">
        <v>13201</v>
      </c>
      <c r="G286" s="3">
        <v>13</v>
      </c>
      <c r="H286" s="3">
        <v>0.57499999999999996</v>
      </c>
      <c r="I286" s="6">
        <v>0.59315013056388388</v>
      </c>
      <c r="J286" s="6">
        <v>0.5846403030662688</v>
      </c>
      <c r="K286" s="11">
        <v>0.6075319174037509</v>
      </c>
      <c r="L286" s="7">
        <v>63</v>
      </c>
      <c r="M286" s="7">
        <v>73</v>
      </c>
      <c r="N286" s="7">
        <v>55</v>
      </c>
      <c r="O286" s="7">
        <f t="shared" si="5"/>
        <v>-8</v>
      </c>
    </row>
    <row r="287" spans="2:15" x14ac:dyDescent="0.25">
      <c r="B287" s="3">
        <v>331</v>
      </c>
      <c r="C287" s="3" t="s">
        <v>667</v>
      </c>
      <c r="D287" s="3" t="s">
        <v>668</v>
      </c>
      <c r="E287" s="3" t="s">
        <v>707</v>
      </c>
      <c r="F287" s="3">
        <v>13124</v>
      </c>
      <c r="G287" s="3">
        <v>13</v>
      </c>
      <c r="H287" s="3">
        <v>0.54900000000000004</v>
      </c>
      <c r="I287" s="6">
        <v>0.5938181838879838</v>
      </c>
      <c r="J287" s="6">
        <v>0.58812060074424333</v>
      </c>
      <c r="K287" s="11">
        <v>0.60494429862066945</v>
      </c>
      <c r="L287" s="7">
        <v>62</v>
      </c>
      <c r="M287" s="7">
        <v>67</v>
      </c>
      <c r="N287" s="7">
        <v>57</v>
      </c>
      <c r="O287" s="7">
        <f t="shared" si="5"/>
        <v>-5</v>
      </c>
    </row>
    <row r="288" spans="2:15" x14ac:dyDescent="0.25">
      <c r="B288" s="3">
        <v>106</v>
      </c>
      <c r="C288" s="3" t="s">
        <v>216</v>
      </c>
      <c r="D288" s="3" t="s">
        <v>217</v>
      </c>
      <c r="E288" s="3" t="s">
        <v>704</v>
      </c>
      <c r="F288" s="3">
        <v>6201</v>
      </c>
      <c r="G288" s="3">
        <v>6</v>
      </c>
      <c r="H288" s="3">
        <v>0.56899999999999995</v>
      </c>
      <c r="I288" s="6">
        <v>0.59385752561713834</v>
      </c>
      <c r="J288" s="6">
        <v>0.62176347829799639</v>
      </c>
      <c r="K288" s="11">
        <v>0.58630514283564839</v>
      </c>
      <c r="L288" s="7">
        <v>61</v>
      </c>
      <c r="M288" s="7">
        <v>44</v>
      </c>
      <c r="N288" s="7">
        <v>79</v>
      </c>
      <c r="O288" s="7">
        <f t="shared" si="5"/>
        <v>18</v>
      </c>
    </row>
    <row r="289" spans="2:15" x14ac:dyDescent="0.25">
      <c r="B289" s="3">
        <v>324</v>
      </c>
      <c r="C289" s="3" t="s">
        <v>653</v>
      </c>
      <c r="D289" s="3" t="s">
        <v>654</v>
      </c>
      <c r="E289" s="3" t="s">
        <v>707</v>
      </c>
      <c r="F289" s="3">
        <v>13604</v>
      </c>
      <c r="G289" s="3">
        <v>13</v>
      </c>
      <c r="H289" s="3">
        <v>0.56399999999999995</v>
      </c>
      <c r="I289" s="6">
        <v>0.5946674718824464</v>
      </c>
      <c r="J289" s="6">
        <v>0.62292357752398786</v>
      </c>
      <c r="K289" s="11">
        <v>0.60003127737696882</v>
      </c>
      <c r="L289" s="7">
        <v>60</v>
      </c>
      <c r="M289" s="7">
        <v>42</v>
      </c>
      <c r="N289" s="7">
        <v>64</v>
      </c>
      <c r="O289" s="7">
        <f t="shared" si="5"/>
        <v>4</v>
      </c>
    </row>
    <row r="290" spans="2:15" x14ac:dyDescent="0.25">
      <c r="B290" s="3">
        <v>287</v>
      </c>
      <c r="C290" s="3" t="s">
        <v>581</v>
      </c>
      <c r="D290" s="3" t="s">
        <v>582</v>
      </c>
      <c r="E290" s="3" t="s">
        <v>706</v>
      </c>
      <c r="F290" s="3">
        <v>12301</v>
      </c>
      <c r="G290" s="3">
        <v>12</v>
      </c>
      <c r="H290" s="3">
        <v>0.53800000000000003</v>
      </c>
      <c r="I290" s="6">
        <v>0.5948507309840082</v>
      </c>
      <c r="J290" s="6">
        <v>0.5846403030662688</v>
      </c>
      <c r="K290" s="11">
        <v>0.59464115623405667</v>
      </c>
      <c r="L290" s="7">
        <v>59</v>
      </c>
      <c r="M290" s="7">
        <v>72</v>
      </c>
      <c r="N290" s="7">
        <v>68</v>
      </c>
      <c r="O290" s="7">
        <f t="shared" si="5"/>
        <v>9</v>
      </c>
    </row>
    <row r="291" spans="2:15" x14ac:dyDescent="0.25">
      <c r="B291" s="3">
        <v>298</v>
      </c>
      <c r="C291" s="3" t="s">
        <v>601</v>
      </c>
      <c r="D291" s="3" t="s">
        <v>602</v>
      </c>
      <c r="E291" s="3" t="s">
        <v>707</v>
      </c>
      <c r="F291" s="3">
        <v>13102</v>
      </c>
      <c r="G291" s="3">
        <v>13</v>
      </c>
      <c r="H291" s="3">
        <v>0.53800000000000003</v>
      </c>
      <c r="I291" s="6">
        <v>0.59657454573130353</v>
      </c>
      <c r="J291" s="6">
        <v>0.6078422875860986</v>
      </c>
      <c r="K291" s="11">
        <v>0.60536622966942111</v>
      </c>
      <c r="L291" s="7">
        <v>58</v>
      </c>
      <c r="M291" s="7">
        <v>53</v>
      </c>
      <c r="N291" s="7">
        <v>56</v>
      </c>
      <c r="O291" s="7">
        <f t="shared" si="5"/>
        <v>-2</v>
      </c>
    </row>
    <row r="292" spans="2:15" x14ac:dyDescent="0.25">
      <c r="B292" s="3">
        <v>200</v>
      </c>
      <c r="C292" s="3" t="s">
        <v>406</v>
      </c>
      <c r="D292" s="3" t="s">
        <v>407</v>
      </c>
      <c r="E292" s="3" t="s">
        <v>408</v>
      </c>
      <c r="F292" s="3">
        <v>9201</v>
      </c>
      <c r="G292" s="3">
        <v>9</v>
      </c>
      <c r="H292" s="3">
        <v>0.58399999999999996</v>
      </c>
      <c r="I292" s="6">
        <v>0.59750779023844669</v>
      </c>
      <c r="J292" s="6">
        <v>0.60436198990812406</v>
      </c>
      <c r="K292" s="11">
        <v>0.60379877733399312</v>
      </c>
      <c r="L292" s="7">
        <v>57</v>
      </c>
      <c r="M292" s="7">
        <v>57</v>
      </c>
      <c r="N292" s="7">
        <v>60</v>
      </c>
      <c r="O292" s="7">
        <f t="shared" si="5"/>
        <v>3</v>
      </c>
    </row>
    <row r="293" spans="2:15" x14ac:dyDescent="0.25">
      <c r="B293" s="3">
        <v>9</v>
      </c>
      <c r="C293" s="3" t="s">
        <v>20</v>
      </c>
      <c r="D293" s="3" t="s">
        <v>21</v>
      </c>
      <c r="E293" s="3" t="s">
        <v>13</v>
      </c>
      <c r="F293" s="3">
        <v>1101</v>
      </c>
      <c r="G293" s="3">
        <v>1</v>
      </c>
      <c r="H293" s="3">
        <v>0.56299999999999994</v>
      </c>
      <c r="I293" s="6">
        <v>0.59861002323556978</v>
      </c>
      <c r="J293" s="6">
        <v>0.59160089842221775</v>
      </c>
      <c r="K293" s="11">
        <v>0.61242048291444529</v>
      </c>
      <c r="L293" s="7">
        <v>56</v>
      </c>
      <c r="M293" s="7">
        <v>64</v>
      </c>
      <c r="N293" s="7">
        <v>51</v>
      </c>
      <c r="O293" s="7">
        <f t="shared" si="5"/>
        <v>-5</v>
      </c>
    </row>
    <row r="294" spans="2:15" x14ac:dyDescent="0.25">
      <c r="B294" s="3">
        <v>334</v>
      </c>
      <c r="C294" s="3" t="s">
        <v>673</v>
      </c>
      <c r="D294" s="3" t="s">
        <v>674</v>
      </c>
      <c r="E294" s="3" t="s">
        <v>707</v>
      </c>
      <c r="F294" s="3">
        <v>13126</v>
      </c>
      <c r="G294" s="3">
        <v>13</v>
      </c>
      <c r="H294" s="3">
        <v>0.55800000000000005</v>
      </c>
      <c r="I294" s="6">
        <v>0.60238943026332137</v>
      </c>
      <c r="J294" s="6">
        <v>0.60900238681208996</v>
      </c>
      <c r="K294" s="11">
        <v>0.61472090476928609</v>
      </c>
      <c r="L294" s="7">
        <v>55</v>
      </c>
      <c r="M294" s="7">
        <v>52</v>
      </c>
      <c r="N294" s="7">
        <v>49</v>
      </c>
      <c r="O294" s="7">
        <f t="shared" si="5"/>
        <v>-6</v>
      </c>
    </row>
    <row r="295" spans="2:15" x14ac:dyDescent="0.25">
      <c r="B295" s="3">
        <v>70</v>
      </c>
      <c r="C295" s="3" t="s">
        <v>144</v>
      </c>
      <c r="D295" s="3" t="s">
        <v>145</v>
      </c>
      <c r="E295" s="3" t="s">
        <v>95</v>
      </c>
      <c r="F295" s="3">
        <v>5501</v>
      </c>
      <c r="G295" s="3">
        <v>5</v>
      </c>
      <c r="H295" s="3">
        <v>0.57099999999999995</v>
      </c>
      <c r="I295" s="6">
        <v>0.60389687002269454</v>
      </c>
      <c r="J295" s="6">
        <v>0.62060337907200491</v>
      </c>
      <c r="K295" s="11">
        <v>0.61146801704683706</v>
      </c>
      <c r="L295" s="7">
        <v>54</v>
      </c>
      <c r="M295" s="7">
        <v>45</v>
      </c>
      <c r="N295" s="7">
        <v>53</v>
      </c>
      <c r="O295" s="7">
        <f t="shared" si="5"/>
        <v>-1</v>
      </c>
    </row>
    <row r="296" spans="2:15" x14ac:dyDescent="0.25">
      <c r="B296" s="3">
        <v>259</v>
      </c>
      <c r="C296" s="3" t="s">
        <v>526</v>
      </c>
      <c r="D296" s="3" t="s">
        <v>527</v>
      </c>
      <c r="E296" s="3" t="s">
        <v>482</v>
      </c>
      <c r="F296" s="3">
        <v>10301</v>
      </c>
      <c r="G296" s="3">
        <v>10</v>
      </c>
      <c r="H296" s="3">
        <v>0.59899999999999998</v>
      </c>
      <c r="I296" s="6">
        <v>0.60413992472618516</v>
      </c>
      <c r="J296" s="6">
        <v>0.62176347829799639</v>
      </c>
      <c r="K296" s="11">
        <v>0.61765529719278922</v>
      </c>
      <c r="L296" s="7">
        <v>53</v>
      </c>
      <c r="M296" s="7">
        <v>43</v>
      </c>
      <c r="N296" s="7">
        <v>48</v>
      </c>
      <c r="O296" s="7">
        <f t="shared" si="5"/>
        <v>-5</v>
      </c>
    </row>
    <row r="297" spans="2:15" x14ac:dyDescent="0.25">
      <c r="B297" s="3">
        <v>33</v>
      </c>
      <c r="C297" s="3" t="s">
        <v>65</v>
      </c>
      <c r="D297" s="3" t="s">
        <v>70</v>
      </c>
      <c r="E297" s="3" t="s">
        <v>65</v>
      </c>
      <c r="F297" s="3">
        <v>4102</v>
      </c>
      <c r="G297" s="3">
        <v>4</v>
      </c>
      <c r="H297" s="3">
        <v>0.57099999999999995</v>
      </c>
      <c r="I297" s="6">
        <v>0.6057552094432952</v>
      </c>
      <c r="J297" s="6">
        <v>0.62524377597597081</v>
      </c>
      <c r="K297" s="11">
        <v>0.61348082589780994</v>
      </c>
      <c r="L297" s="7">
        <v>52</v>
      </c>
      <c r="M297" s="7">
        <v>41</v>
      </c>
      <c r="N297" s="7">
        <v>50</v>
      </c>
      <c r="O297" s="7">
        <f t="shared" si="5"/>
        <v>-2</v>
      </c>
    </row>
    <row r="298" spans="2:15" x14ac:dyDescent="0.25">
      <c r="B298" s="3">
        <v>13</v>
      </c>
      <c r="C298" s="3" t="s">
        <v>28</v>
      </c>
      <c r="D298" s="3" t="s">
        <v>29</v>
      </c>
      <c r="E298" s="3" t="s">
        <v>26</v>
      </c>
      <c r="F298" s="3">
        <v>2201</v>
      </c>
      <c r="G298" s="3">
        <v>2</v>
      </c>
      <c r="H298" s="3">
        <v>0.53700000000000003</v>
      </c>
      <c r="I298" s="6">
        <v>0.60645086022646222</v>
      </c>
      <c r="J298" s="6">
        <v>0.59624129532618364</v>
      </c>
      <c r="K298" s="11">
        <v>0.62235311109479641</v>
      </c>
      <c r="L298" s="7">
        <v>51</v>
      </c>
      <c r="M298" s="7">
        <v>62</v>
      </c>
      <c r="N298" s="7">
        <v>42</v>
      </c>
      <c r="O298" s="7">
        <f t="shared" si="5"/>
        <v>-9</v>
      </c>
    </row>
    <row r="299" spans="2:15" x14ac:dyDescent="0.25">
      <c r="B299" s="3">
        <v>49</v>
      </c>
      <c r="C299" s="3" t="s">
        <v>102</v>
      </c>
      <c r="D299" s="3" t="s">
        <v>103</v>
      </c>
      <c r="E299" s="3" t="s">
        <v>95</v>
      </c>
      <c r="F299" s="3">
        <v>5603</v>
      </c>
      <c r="G299" s="3">
        <v>5</v>
      </c>
      <c r="H299" s="3">
        <v>0.57199999999999995</v>
      </c>
      <c r="I299" s="6">
        <v>0.60818831182949373</v>
      </c>
      <c r="J299" s="6">
        <v>0.60088169223014964</v>
      </c>
      <c r="K299" s="11">
        <v>0.60400414652722345</v>
      </c>
      <c r="L299" s="7">
        <v>50</v>
      </c>
      <c r="M299" s="7">
        <v>59</v>
      </c>
      <c r="N299" s="7">
        <v>59</v>
      </c>
      <c r="O299" s="7">
        <f t="shared" si="5"/>
        <v>9</v>
      </c>
    </row>
    <row r="300" spans="2:15" x14ac:dyDescent="0.25">
      <c r="B300" s="3">
        <v>121</v>
      </c>
      <c r="C300" s="3" t="s">
        <v>247</v>
      </c>
      <c r="D300" s="3" t="s">
        <v>248</v>
      </c>
      <c r="E300" s="3" t="s">
        <v>238</v>
      </c>
      <c r="F300" s="3">
        <v>7301</v>
      </c>
      <c r="G300" s="3">
        <v>7</v>
      </c>
      <c r="H300" s="3">
        <v>0.60199999999999998</v>
      </c>
      <c r="I300" s="6">
        <v>0.6086524851899322</v>
      </c>
      <c r="J300" s="6">
        <v>0.61480288294204744</v>
      </c>
      <c r="K300" s="11">
        <v>0.61226512527342047</v>
      </c>
      <c r="L300" s="7">
        <v>49</v>
      </c>
      <c r="M300" s="7">
        <v>49</v>
      </c>
      <c r="N300" s="7">
        <v>52</v>
      </c>
      <c r="O300" s="7">
        <f t="shared" si="5"/>
        <v>3</v>
      </c>
    </row>
    <row r="301" spans="2:15" x14ac:dyDescent="0.25">
      <c r="B301" s="3">
        <v>58</v>
      </c>
      <c r="C301" s="3" t="s">
        <v>120</v>
      </c>
      <c r="D301" s="3" t="s">
        <v>121</v>
      </c>
      <c r="E301" s="3" t="s">
        <v>95</v>
      </c>
      <c r="F301" s="3">
        <v>5504</v>
      </c>
      <c r="G301" s="3">
        <v>5</v>
      </c>
      <c r="H301" s="3"/>
      <c r="I301" s="6">
        <v>0.60901137044539122</v>
      </c>
      <c r="J301" s="6">
        <v>0.61248268449006449</v>
      </c>
      <c r="K301" s="11">
        <v>0.61857005182093983</v>
      </c>
      <c r="L301" s="7">
        <v>48</v>
      </c>
      <c r="M301" s="7">
        <v>51</v>
      </c>
      <c r="N301" s="7">
        <v>47</v>
      </c>
      <c r="O301" s="7">
        <f t="shared" si="5"/>
        <v>-1</v>
      </c>
    </row>
    <row r="302" spans="2:15" x14ac:dyDescent="0.25">
      <c r="B302" s="3">
        <v>12</v>
      </c>
      <c r="C302" s="3" t="s">
        <v>26</v>
      </c>
      <c r="D302" s="3" t="s">
        <v>27</v>
      </c>
      <c r="E302" s="3" t="s">
        <v>26</v>
      </c>
      <c r="F302" s="3">
        <v>2101</v>
      </c>
      <c r="G302" s="3">
        <v>2</v>
      </c>
      <c r="H302" s="3">
        <v>0.56100000000000005</v>
      </c>
      <c r="I302" s="6">
        <v>0.61000908632260076</v>
      </c>
      <c r="J302" s="6">
        <v>0.61596298216803891</v>
      </c>
      <c r="K302" s="11">
        <v>0.62405229640470405</v>
      </c>
      <c r="L302" s="7">
        <v>47</v>
      </c>
      <c r="M302" s="7">
        <v>48</v>
      </c>
      <c r="N302" s="7">
        <v>41</v>
      </c>
      <c r="O302" s="7">
        <f t="shared" si="5"/>
        <v>-6</v>
      </c>
    </row>
    <row r="303" spans="2:15" x14ac:dyDescent="0.25">
      <c r="B303" s="3">
        <v>197</v>
      </c>
      <c r="C303" s="3" t="s">
        <v>400</v>
      </c>
      <c r="D303" s="3" t="s">
        <v>401</v>
      </c>
      <c r="E303" s="3" t="s">
        <v>341</v>
      </c>
      <c r="F303" s="3">
        <v>8111</v>
      </c>
      <c r="G303" s="3">
        <v>8</v>
      </c>
      <c r="H303" s="3">
        <v>0.57199999999999995</v>
      </c>
      <c r="I303" s="6">
        <v>0.61043022918196388</v>
      </c>
      <c r="J303" s="6">
        <v>0.62756397442795375</v>
      </c>
      <c r="K303" s="11">
        <v>0.61894930930726433</v>
      </c>
      <c r="L303" s="7">
        <v>46</v>
      </c>
      <c r="M303" s="7">
        <v>39</v>
      </c>
      <c r="N303" s="7">
        <v>46</v>
      </c>
      <c r="O303" s="7">
        <f t="shared" si="5"/>
        <v>0</v>
      </c>
    </row>
    <row r="304" spans="2:15" x14ac:dyDescent="0.25">
      <c r="B304" s="3">
        <v>188</v>
      </c>
      <c r="C304" s="3" t="s">
        <v>382</v>
      </c>
      <c r="D304" s="3" t="s">
        <v>383</v>
      </c>
      <c r="E304" s="3" t="s">
        <v>341</v>
      </c>
      <c r="F304" s="3">
        <v>8107</v>
      </c>
      <c r="G304" s="3">
        <v>8</v>
      </c>
      <c r="H304" s="3">
        <v>0.56499999999999995</v>
      </c>
      <c r="I304" s="6">
        <v>0.61201492580331085</v>
      </c>
      <c r="J304" s="6">
        <v>0.63220437133191976</v>
      </c>
      <c r="K304" s="11">
        <v>0.61903065645784983</v>
      </c>
      <c r="L304" s="7">
        <v>45</v>
      </c>
      <c r="M304" s="7">
        <v>34</v>
      </c>
      <c r="N304" s="7">
        <v>45</v>
      </c>
      <c r="O304" s="7">
        <f t="shared" si="5"/>
        <v>0</v>
      </c>
    </row>
    <row r="305" spans="2:15" x14ac:dyDescent="0.25">
      <c r="B305" s="3">
        <v>94</v>
      </c>
      <c r="C305" s="3" t="s">
        <v>192</v>
      </c>
      <c r="D305" s="3" t="s">
        <v>193</v>
      </c>
      <c r="E305" s="3" t="s">
        <v>704</v>
      </c>
      <c r="F305" s="3">
        <v>6108</v>
      </c>
      <c r="G305" s="3">
        <v>6</v>
      </c>
      <c r="H305" s="3">
        <v>0.55800000000000005</v>
      </c>
      <c r="I305" s="6">
        <v>0.61427962065772657</v>
      </c>
      <c r="J305" s="6">
        <v>0.62756397442795375</v>
      </c>
      <c r="K305" s="11">
        <v>0.62043424989288487</v>
      </c>
      <c r="L305" s="7">
        <v>44</v>
      </c>
      <c r="M305" s="7">
        <v>40</v>
      </c>
      <c r="N305" s="7">
        <v>44</v>
      </c>
      <c r="O305" s="7">
        <f t="shared" si="5"/>
        <v>0</v>
      </c>
    </row>
    <row r="306" spans="2:15" x14ac:dyDescent="0.25">
      <c r="B306" s="3">
        <v>307</v>
      </c>
      <c r="C306" s="3" t="s">
        <v>619</v>
      </c>
      <c r="D306" s="3" t="s">
        <v>620</v>
      </c>
      <c r="E306" s="3" t="s">
        <v>707</v>
      </c>
      <c r="F306" s="3">
        <v>13108</v>
      </c>
      <c r="G306" s="3">
        <v>13</v>
      </c>
      <c r="H306" s="3">
        <v>0.55800000000000005</v>
      </c>
      <c r="I306" s="6">
        <v>0.61928744449340278</v>
      </c>
      <c r="J306" s="6">
        <v>0.5799999061623029</v>
      </c>
      <c r="K306" s="11">
        <v>0.63272643178451871</v>
      </c>
      <c r="L306" s="7">
        <v>43</v>
      </c>
      <c r="M306" s="7">
        <v>77</v>
      </c>
      <c r="N306" s="7">
        <v>40</v>
      </c>
      <c r="O306" s="7">
        <f t="shared" si="5"/>
        <v>-3</v>
      </c>
    </row>
    <row r="307" spans="2:15" x14ac:dyDescent="0.25">
      <c r="B307" s="3">
        <v>56</v>
      </c>
      <c r="C307" s="3" t="s">
        <v>116</v>
      </c>
      <c r="D307" s="3" t="s">
        <v>117</v>
      </c>
      <c r="E307" s="3" t="s">
        <v>95</v>
      </c>
      <c r="F307" s="3">
        <v>5201</v>
      </c>
      <c r="G307" s="3">
        <v>5</v>
      </c>
      <c r="H307" s="3">
        <v>0.39800000000000002</v>
      </c>
      <c r="I307" s="6">
        <v>0.62130690844407532</v>
      </c>
      <c r="J307" s="6">
        <v>0.46282988433716288</v>
      </c>
      <c r="K307" s="11">
        <v>0.55144236983516104</v>
      </c>
      <c r="L307" s="7">
        <v>42</v>
      </c>
      <c r="M307" s="7">
        <v>202</v>
      </c>
      <c r="N307" s="7">
        <v>112</v>
      </c>
      <c r="O307" s="7">
        <f t="shared" si="5"/>
        <v>70</v>
      </c>
    </row>
    <row r="308" spans="2:15" x14ac:dyDescent="0.25">
      <c r="B308" s="3">
        <v>320</v>
      </c>
      <c r="C308" s="3" t="s">
        <v>645</v>
      </c>
      <c r="D308" s="3" t="s">
        <v>646</v>
      </c>
      <c r="E308" s="3" t="s">
        <v>707</v>
      </c>
      <c r="F308" s="3">
        <v>13119</v>
      </c>
      <c r="G308" s="3">
        <v>13</v>
      </c>
      <c r="H308" s="3">
        <v>0.54800000000000004</v>
      </c>
      <c r="I308" s="6">
        <v>0.62386182785412991</v>
      </c>
      <c r="J308" s="6">
        <v>0.61712308139403038</v>
      </c>
      <c r="K308" s="11">
        <v>0.64161490450820857</v>
      </c>
      <c r="L308" s="7">
        <v>41</v>
      </c>
      <c r="M308" s="7">
        <v>46</v>
      </c>
      <c r="N308" s="7">
        <v>33</v>
      </c>
      <c r="O308" s="7">
        <f t="shared" si="5"/>
        <v>-8</v>
      </c>
    </row>
    <row r="309" spans="2:15" x14ac:dyDescent="0.25">
      <c r="B309" s="3">
        <v>110</v>
      </c>
      <c r="C309" s="3" t="s">
        <v>224</v>
      </c>
      <c r="D309" s="3" t="s">
        <v>225</v>
      </c>
      <c r="E309" s="3" t="s">
        <v>704</v>
      </c>
      <c r="F309" s="3">
        <v>6101</v>
      </c>
      <c r="G309" s="3">
        <v>6</v>
      </c>
      <c r="H309" s="3">
        <v>0.59199999999999997</v>
      </c>
      <c r="I309" s="6">
        <v>0.62498825967120331</v>
      </c>
      <c r="J309" s="6">
        <v>0.64148516513985165</v>
      </c>
      <c r="K309" s="11">
        <v>0.63794424983256248</v>
      </c>
      <c r="L309" s="7">
        <v>40</v>
      </c>
      <c r="M309" s="7">
        <v>30</v>
      </c>
      <c r="N309" s="7">
        <v>36</v>
      </c>
      <c r="O309" s="7">
        <f t="shared" si="5"/>
        <v>-4</v>
      </c>
    </row>
    <row r="310" spans="2:15" x14ac:dyDescent="0.25">
      <c r="B310" s="3">
        <v>243</v>
      </c>
      <c r="C310" s="3" t="s">
        <v>494</v>
      </c>
      <c r="D310" s="3" t="s">
        <v>495</v>
      </c>
      <c r="E310" s="3" t="s">
        <v>473</v>
      </c>
      <c r="F310" s="3">
        <v>14101</v>
      </c>
      <c r="G310" s="3">
        <v>14</v>
      </c>
      <c r="H310" s="3">
        <v>0.58799999999999997</v>
      </c>
      <c r="I310" s="6">
        <v>0.62556613097281866</v>
      </c>
      <c r="J310" s="6">
        <v>0.64032506591386018</v>
      </c>
      <c r="K310" s="11">
        <v>0.63848131896548388</v>
      </c>
      <c r="L310" s="7">
        <v>39</v>
      </c>
      <c r="M310" s="7">
        <v>31</v>
      </c>
      <c r="N310" s="7">
        <v>35</v>
      </c>
      <c r="O310" s="7">
        <f t="shared" si="5"/>
        <v>-4</v>
      </c>
    </row>
    <row r="311" spans="2:15" x14ac:dyDescent="0.25">
      <c r="B311" s="3">
        <v>184</v>
      </c>
      <c r="C311" s="3" t="s">
        <v>374</v>
      </c>
      <c r="D311" s="3" t="s">
        <v>375</v>
      </c>
      <c r="E311" s="3" t="s">
        <v>341</v>
      </c>
      <c r="F311" s="3">
        <v>8106</v>
      </c>
      <c r="G311" s="3">
        <v>8</v>
      </c>
      <c r="H311" s="3">
        <v>0.495</v>
      </c>
      <c r="I311" s="6">
        <v>0.62730371202870383</v>
      </c>
      <c r="J311" s="6">
        <v>0.61712308139403038</v>
      </c>
      <c r="K311" s="11">
        <v>0.63448825069711112</v>
      </c>
      <c r="L311" s="7">
        <v>38</v>
      </c>
      <c r="M311" s="7">
        <v>47</v>
      </c>
      <c r="N311" s="7">
        <v>39</v>
      </c>
      <c r="O311" s="7">
        <f t="shared" si="5"/>
        <v>1</v>
      </c>
    </row>
    <row r="312" spans="2:15" x14ac:dyDescent="0.25">
      <c r="B312" s="3">
        <v>36</v>
      </c>
      <c r="C312" s="3" t="s">
        <v>75</v>
      </c>
      <c r="D312" s="3" t="s">
        <v>76</v>
      </c>
      <c r="E312" s="3" t="s">
        <v>65</v>
      </c>
      <c r="F312" s="3">
        <v>4101</v>
      </c>
      <c r="G312" s="3">
        <v>4</v>
      </c>
      <c r="H312" s="3">
        <v>0.61499999999999999</v>
      </c>
      <c r="I312" s="6">
        <v>0.6279786669406221</v>
      </c>
      <c r="J312" s="6">
        <v>0.64032506591386018</v>
      </c>
      <c r="K312" s="11">
        <v>0.63460462209521173</v>
      </c>
      <c r="L312" s="7">
        <v>37</v>
      </c>
      <c r="M312" s="7">
        <v>32</v>
      </c>
      <c r="N312" s="7">
        <v>38</v>
      </c>
      <c r="O312" s="7">
        <f t="shared" si="5"/>
        <v>1</v>
      </c>
    </row>
    <row r="313" spans="2:15" x14ac:dyDescent="0.25">
      <c r="B313" s="3">
        <v>79</v>
      </c>
      <c r="C313" s="3" t="s">
        <v>95</v>
      </c>
      <c r="D313" s="3" t="s">
        <v>162</v>
      </c>
      <c r="E313" s="3" t="s">
        <v>95</v>
      </c>
      <c r="F313" s="3">
        <v>5101</v>
      </c>
      <c r="G313" s="3">
        <v>5</v>
      </c>
      <c r="H313" s="3">
        <v>0.61599999999999999</v>
      </c>
      <c r="I313" s="6">
        <v>0.62931650249372106</v>
      </c>
      <c r="J313" s="6">
        <v>0.62756397442795375</v>
      </c>
      <c r="K313" s="11">
        <v>0.64179296895595395</v>
      </c>
      <c r="L313" s="7">
        <v>36</v>
      </c>
      <c r="M313" s="7">
        <v>37</v>
      </c>
      <c r="N313" s="7">
        <v>32</v>
      </c>
      <c r="O313" s="7">
        <f t="shared" si="5"/>
        <v>-4</v>
      </c>
    </row>
    <row r="314" spans="2:15" x14ac:dyDescent="0.25">
      <c r="B314" s="3">
        <v>305</v>
      </c>
      <c r="C314" s="3" t="s">
        <v>615</v>
      </c>
      <c r="D314" s="3" t="s">
        <v>616</v>
      </c>
      <c r="E314" s="3" t="s">
        <v>707</v>
      </c>
      <c r="F314" s="3">
        <v>13106</v>
      </c>
      <c r="G314" s="3">
        <v>13</v>
      </c>
      <c r="H314" s="3">
        <v>0.54400000000000004</v>
      </c>
      <c r="I314" s="6">
        <v>0.62974449196317439</v>
      </c>
      <c r="J314" s="6">
        <v>0.60436198990812406</v>
      </c>
      <c r="K314" s="11">
        <v>0.64052427970026482</v>
      </c>
      <c r="L314" s="7">
        <v>35</v>
      </c>
      <c r="M314" s="7">
        <v>56</v>
      </c>
      <c r="N314" s="7">
        <v>34</v>
      </c>
      <c r="O314" s="7">
        <f t="shared" si="5"/>
        <v>-1</v>
      </c>
    </row>
    <row r="315" spans="2:15" x14ac:dyDescent="0.25">
      <c r="B315" s="3">
        <v>141</v>
      </c>
      <c r="C315" s="3" t="s">
        <v>286</v>
      </c>
      <c r="D315" s="3" t="s">
        <v>287</v>
      </c>
      <c r="E315" s="3" t="s">
        <v>238</v>
      </c>
      <c r="F315" s="3">
        <v>7101</v>
      </c>
      <c r="G315" s="3">
        <v>7</v>
      </c>
      <c r="H315" s="3">
        <v>0.56999999999999995</v>
      </c>
      <c r="I315" s="6">
        <v>0.63538320174719243</v>
      </c>
      <c r="J315" s="6">
        <v>0.65424625662575797</v>
      </c>
      <c r="K315" s="11">
        <v>0.64523451903192963</v>
      </c>
      <c r="L315" s="7">
        <v>34</v>
      </c>
      <c r="M315" s="7">
        <v>26</v>
      </c>
      <c r="N315" s="7">
        <v>31</v>
      </c>
      <c r="O315" s="7">
        <f t="shared" si="5"/>
        <v>-3</v>
      </c>
    </row>
    <row r="316" spans="2:15" x14ac:dyDescent="0.25">
      <c r="B316" s="3">
        <v>80</v>
      </c>
      <c r="C316" s="3" t="s">
        <v>163</v>
      </c>
      <c r="D316" s="3" t="s">
        <v>164</v>
      </c>
      <c r="E316" s="3" t="s">
        <v>95</v>
      </c>
      <c r="F316" s="3">
        <v>5804</v>
      </c>
      <c r="G316" s="3">
        <v>5</v>
      </c>
      <c r="H316" s="3">
        <v>0.54500000000000004</v>
      </c>
      <c r="I316" s="6">
        <v>0.6354552169408042</v>
      </c>
      <c r="J316" s="6">
        <v>0.65540635585174944</v>
      </c>
      <c r="K316" s="11">
        <v>0.64755947736997865</v>
      </c>
      <c r="L316" s="7">
        <v>33</v>
      </c>
      <c r="M316" s="7">
        <v>24</v>
      </c>
      <c r="N316" s="7">
        <v>29</v>
      </c>
      <c r="O316" s="7">
        <f t="shared" si="5"/>
        <v>-4</v>
      </c>
    </row>
    <row r="317" spans="2:15" x14ac:dyDescent="0.25">
      <c r="B317" s="3">
        <v>175</v>
      </c>
      <c r="C317" s="3" t="s">
        <v>356</v>
      </c>
      <c r="D317" s="3" t="s">
        <v>357</v>
      </c>
      <c r="E317" s="3" t="s">
        <v>341</v>
      </c>
      <c r="F317" s="3">
        <v>8102</v>
      </c>
      <c r="G317" s="3">
        <v>8</v>
      </c>
      <c r="H317" s="3">
        <v>0.55900000000000005</v>
      </c>
      <c r="I317" s="6">
        <v>0.63643855164080287</v>
      </c>
      <c r="J317" s="6">
        <v>0.65888665352972398</v>
      </c>
      <c r="K317" s="11">
        <v>0.64828726032490236</v>
      </c>
      <c r="L317" s="7">
        <v>32</v>
      </c>
      <c r="M317" s="7">
        <v>21</v>
      </c>
      <c r="N317" s="7">
        <v>28</v>
      </c>
      <c r="O317" s="7">
        <f t="shared" si="5"/>
        <v>-4</v>
      </c>
    </row>
    <row r="318" spans="2:15" x14ac:dyDescent="0.25">
      <c r="B318" s="3">
        <v>147</v>
      </c>
      <c r="C318" s="3" t="s">
        <v>299</v>
      </c>
      <c r="D318" s="3" t="s">
        <v>300</v>
      </c>
      <c r="E318" s="3" t="s">
        <v>298</v>
      </c>
      <c r="F318" s="3">
        <v>16101</v>
      </c>
      <c r="G318" s="3">
        <v>16</v>
      </c>
      <c r="H318" s="3">
        <v>0.55400000000000005</v>
      </c>
      <c r="I318" s="6">
        <v>0.64072113853770518</v>
      </c>
      <c r="J318" s="6">
        <v>0.63800486746187712</v>
      </c>
      <c r="K318" s="11">
        <v>0.63649463076913748</v>
      </c>
      <c r="L318" s="7">
        <v>31</v>
      </c>
      <c r="M318" s="7">
        <v>33</v>
      </c>
      <c r="N318" s="7">
        <v>37</v>
      </c>
      <c r="O318" s="7">
        <f t="shared" si="5"/>
        <v>6</v>
      </c>
    </row>
    <row r="319" spans="2:15" x14ac:dyDescent="0.25">
      <c r="B319" s="3">
        <v>313</v>
      </c>
      <c r="C319" s="3" t="s">
        <v>631</v>
      </c>
      <c r="D319" s="3" t="s">
        <v>632</v>
      </c>
      <c r="E319" s="3" t="s">
        <v>707</v>
      </c>
      <c r="F319" s="3">
        <v>13113</v>
      </c>
      <c r="G319" s="3">
        <v>13</v>
      </c>
      <c r="H319" s="3">
        <v>0.61399999999999999</v>
      </c>
      <c r="I319" s="6">
        <v>0.6437194329513245</v>
      </c>
      <c r="J319" s="6">
        <v>0.64844576049580049</v>
      </c>
      <c r="K319" s="11">
        <v>0.65937127324772626</v>
      </c>
      <c r="L319" s="7">
        <v>30</v>
      </c>
      <c r="M319" s="7">
        <v>27</v>
      </c>
      <c r="N319" s="7">
        <v>22</v>
      </c>
      <c r="O319" s="7">
        <f t="shared" si="5"/>
        <v>-8</v>
      </c>
    </row>
    <row r="320" spans="2:15" x14ac:dyDescent="0.25">
      <c r="B320" s="3">
        <v>225</v>
      </c>
      <c r="C320" s="3" t="s">
        <v>457</v>
      </c>
      <c r="D320" s="3" t="s">
        <v>458</v>
      </c>
      <c r="E320" s="3" t="s">
        <v>408</v>
      </c>
      <c r="F320" s="3">
        <v>9101</v>
      </c>
      <c r="G320" s="3">
        <v>9</v>
      </c>
      <c r="H320" s="3">
        <v>0.63700000000000001</v>
      </c>
      <c r="I320" s="6">
        <v>0.64431950977781516</v>
      </c>
      <c r="J320" s="6">
        <v>0.65772655430373239</v>
      </c>
      <c r="K320" s="11">
        <v>0.6527952974075959</v>
      </c>
      <c r="L320" s="7">
        <v>29</v>
      </c>
      <c r="M320" s="7">
        <v>20</v>
      </c>
      <c r="N320" s="7">
        <v>26</v>
      </c>
      <c r="O320" s="7">
        <f t="shared" si="5"/>
        <v>-3</v>
      </c>
    </row>
    <row r="321" spans="2:15" x14ac:dyDescent="0.25">
      <c r="B321" s="3">
        <v>286</v>
      </c>
      <c r="C321" s="3" t="s">
        <v>579</v>
      </c>
      <c r="D321" s="3" t="s">
        <v>580</v>
      </c>
      <c r="E321" s="3" t="s">
        <v>706</v>
      </c>
      <c r="F321" s="3">
        <v>12401</v>
      </c>
      <c r="G321" s="3">
        <v>12</v>
      </c>
      <c r="H321" s="3">
        <v>0.52700000000000002</v>
      </c>
      <c r="I321" s="6">
        <v>0.64449431305103921</v>
      </c>
      <c r="J321" s="6">
        <v>0.67164774501563018</v>
      </c>
      <c r="K321" s="11">
        <v>0.65365447140222743</v>
      </c>
      <c r="L321" s="7">
        <v>28</v>
      </c>
      <c r="M321" s="7">
        <v>18</v>
      </c>
      <c r="N321" s="7">
        <v>25</v>
      </c>
      <c r="O321" s="7">
        <f t="shared" si="5"/>
        <v>-3</v>
      </c>
    </row>
    <row r="322" spans="2:15" x14ac:dyDescent="0.25">
      <c r="B322" s="3">
        <v>172</v>
      </c>
      <c r="C322" s="3" t="s">
        <v>350</v>
      </c>
      <c r="D322" s="3" t="s">
        <v>351</v>
      </c>
      <c r="E322" s="3" t="s">
        <v>341</v>
      </c>
      <c r="F322" s="3">
        <v>8103</v>
      </c>
      <c r="G322" s="3">
        <v>8</v>
      </c>
      <c r="H322" s="3">
        <v>0.60699999999999998</v>
      </c>
      <c r="I322" s="6">
        <v>0.64474018401396416</v>
      </c>
      <c r="J322" s="6">
        <v>0.65656645507774092</v>
      </c>
      <c r="K322" s="11">
        <v>0.65655500511293385</v>
      </c>
      <c r="L322" s="7">
        <v>27</v>
      </c>
      <c r="M322" s="7">
        <v>22</v>
      </c>
      <c r="N322" s="7">
        <v>23</v>
      </c>
      <c r="O322" s="7">
        <f t="shared" si="5"/>
        <v>-4</v>
      </c>
    </row>
    <row r="323" spans="2:15" x14ac:dyDescent="0.25">
      <c r="B323" s="3">
        <v>310</v>
      </c>
      <c r="C323" s="3" t="s">
        <v>625</v>
      </c>
      <c r="D323" s="3" t="s">
        <v>626</v>
      </c>
      <c r="E323" s="3" t="s">
        <v>707</v>
      </c>
      <c r="F323" s="3">
        <v>13110</v>
      </c>
      <c r="G323" s="3">
        <v>13</v>
      </c>
      <c r="H323" s="3">
        <v>0.56000000000000005</v>
      </c>
      <c r="I323" s="6">
        <v>0.64491777383282556</v>
      </c>
      <c r="J323" s="6">
        <v>0.64844576049580049</v>
      </c>
      <c r="K323" s="11">
        <v>0.65260818716616631</v>
      </c>
      <c r="L323" s="7">
        <v>26</v>
      </c>
      <c r="M323" s="7">
        <v>28</v>
      </c>
      <c r="N323" s="7">
        <v>27</v>
      </c>
      <c r="O323" s="7">
        <f t="shared" si="5"/>
        <v>1</v>
      </c>
    </row>
    <row r="324" spans="2:15" x14ac:dyDescent="0.25">
      <c r="B324" s="3">
        <v>289</v>
      </c>
      <c r="C324" s="3" t="s">
        <v>585</v>
      </c>
      <c r="D324" s="3" t="s">
        <v>586</v>
      </c>
      <c r="E324" s="3" t="s">
        <v>706</v>
      </c>
      <c r="F324" s="3">
        <v>12101</v>
      </c>
      <c r="G324" s="3">
        <v>12</v>
      </c>
      <c r="H324" s="3">
        <v>0.61899999999999999</v>
      </c>
      <c r="I324" s="6">
        <v>0.64662695516119206</v>
      </c>
      <c r="J324" s="6">
        <v>0.64844576049580049</v>
      </c>
      <c r="K324" s="11">
        <v>0.65549699134438577</v>
      </c>
      <c r="L324" s="7">
        <v>25</v>
      </c>
      <c r="M324" s="7">
        <v>29</v>
      </c>
      <c r="N324" s="7">
        <v>24</v>
      </c>
      <c r="O324" s="7">
        <f t="shared" ref="O324:O348" si="6">N324-L324</f>
        <v>-1</v>
      </c>
    </row>
    <row r="325" spans="2:15" x14ac:dyDescent="0.25">
      <c r="B325" s="3">
        <v>191</v>
      </c>
      <c r="C325" s="3" t="s">
        <v>388</v>
      </c>
      <c r="D325" s="3" t="s">
        <v>389</v>
      </c>
      <c r="E325" s="3" t="s">
        <v>341</v>
      </c>
      <c r="F325" s="3">
        <v>8108</v>
      </c>
      <c r="G325" s="3">
        <v>8</v>
      </c>
      <c r="H325" s="3">
        <v>0.60099999999999998</v>
      </c>
      <c r="I325" s="6">
        <v>0.65037858052571373</v>
      </c>
      <c r="J325" s="6">
        <v>0.68324873727554503</v>
      </c>
      <c r="K325" s="11">
        <v>0.66176140376841808</v>
      </c>
      <c r="L325" s="7">
        <v>24</v>
      </c>
      <c r="M325" s="7">
        <v>17</v>
      </c>
      <c r="N325" s="7">
        <v>20</v>
      </c>
      <c r="O325" s="7">
        <f t="shared" si="6"/>
        <v>-4</v>
      </c>
    </row>
    <row r="326" spans="2:15" x14ac:dyDescent="0.25">
      <c r="B326" s="3">
        <v>62</v>
      </c>
      <c r="C326" s="3" t="s">
        <v>128</v>
      </c>
      <c r="D326" s="3" t="s">
        <v>129</v>
      </c>
      <c r="E326" s="3" t="s">
        <v>95</v>
      </c>
      <c r="F326" s="3">
        <v>5301</v>
      </c>
      <c r="G326" s="3">
        <v>5</v>
      </c>
      <c r="H326" s="3">
        <v>0.59399999999999997</v>
      </c>
      <c r="I326" s="6">
        <v>0.65286052620593316</v>
      </c>
      <c r="J326" s="6">
        <v>0.65656645507774092</v>
      </c>
      <c r="K326" s="11">
        <v>0.66001084233734442</v>
      </c>
      <c r="L326" s="7">
        <v>23</v>
      </c>
      <c r="M326" s="7">
        <v>25</v>
      </c>
      <c r="N326" s="7">
        <v>21</v>
      </c>
      <c r="O326" s="7">
        <f t="shared" si="6"/>
        <v>-2</v>
      </c>
    </row>
    <row r="327" spans="2:15" x14ac:dyDescent="0.25">
      <c r="B327" s="3">
        <v>82</v>
      </c>
      <c r="C327" s="3" t="s">
        <v>167</v>
      </c>
      <c r="D327" s="3" t="s">
        <v>168</v>
      </c>
      <c r="E327" s="3" t="s">
        <v>95</v>
      </c>
      <c r="F327" s="3">
        <v>5405</v>
      </c>
      <c r="G327" s="3">
        <v>5</v>
      </c>
      <c r="H327" s="3">
        <v>0.60699999999999998</v>
      </c>
      <c r="I327" s="6">
        <v>0.66620439810554244</v>
      </c>
      <c r="J327" s="6">
        <v>0.6298841728799367</v>
      </c>
      <c r="K327" s="11">
        <v>0.62094542204983272</v>
      </c>
      <c r="L327" s="7">
        <v>22</v>
      </c>
      <c r="M327" s="7">
        <v>36</v>
      </c>
      <c r="N327" s="7">
        <v>43</v>
      </c>
      <c r="O327" s="7">
        <f t="shared" si="6"/>
        <v>21</v>
      </c>
    </row>
    <row r="328" spans="2:15" x14ac:dyDescent="0.25">
      <c r="B328" s="3">
        <v>71</v>
      </c>
      <c r="C328" s="3" t="s">
        <v>146</v>
      </c>
      <c r="D328" s="3" t="s">
        <v>147</v>
      </c>
      <c r="E328" s="3" t="s">
        <v>95</v>
      </c>
      <c r="F328" s="3">
        <v>5801</v>
      </c>
      <c r="G328" s="3">
        <v>5</v>
      </c>
      <c r="H328" s="3">
        <v>0.60299999999999998</v>
      </c>
      <c r="I328" s="6">
        <v>0.66712842166949626</v>
      </c>
      <c r="J328" s="6">
        <v>0.6844088365015365</v>
      </c>
      <c r="K328" s="11">
        <v>0.68012828172878004</v>
      </c>
      <c r="L328" s="7">
        <v>21</v>
      </c>
      <c r="M328" s="7">
        <v>16</v>
      </c>
      <c r="N328" s="7">
        <v>17</v>
      </c>
      <c r="O328" s="7">
        <f t="shared" si="6"/>
        <v>-4</v>
      </c>
    </row>
    <row r="329" spans="2:15" x14ac:dyDescent="0.25">
      <c r="B329" s="3">
        <v>309</v>
      </c>
      <c r="C329" s="3" t="s">
        <v>623</v>
      </c>
      <c r="D329" s="3" t="s">
        <v>624</v>
      </c>
      <c r="E329" s="3" t="s">
        <v>707</v>
      </c>
      <c r="F329" s="3">
        <v>13109</v>
      </c>
      <c r="G329" s="3">
        <v>13</v>
      </c>
      <c r="H329" s="3">
        <v>0.55500000000000005</v>
      </c>
      <c r="I329" s="6">
        <v>0.66799287855400014</v>
      </c>
      <c r="J329" s="6">
        <v>0.6983300272134344</v>
      </c>
      <c r="K329" s="11">
        <v>0.66820385220387923</v>
      </c>
      <c r="L329" s="7">
        <v>20</v>
      </c>
      <c r="M329" s="7">
        <v>13</v>
      </c>
      <c r="N329" s="7">
        <v>19</v>
      </c>
      <c r="O329" s="7">
        <f t="shared" si="6"/>
        <v>-1</v>
      </c>
    </row>
    <row r="330" spans="2:15" x14ac:dyDescent="0.25">
      <c r="B330" s="3">
        <v>319</v>
      </c>
      <c r="C330" s="3" t="s">
        <v>643</v>
      </c>
      <c r="D330" s="3" t="s">
        <v>644</v>
      </c>
      <c r="E330" s="3" t="s">
        <v>707</v>
      </c>
      <c r="F330" s="3">
        <v>13118</v>
      </c>
      <c r="G330" s="3">
        <v>13</v>
      </c>
      <c r="H330" s="3">
        <v>0.55900000000000005</v>
      </c>
      <c r="I330" s="6">
        <v>0.67163127113696031</v>
      </c>
      <c r="J330" s="6">
        <v>0.67048764578963871</v>
      </c>
      <c r="K330" s="11">
        <v>0.68286054340401137</v>
      </c>
      <c r="L330" s="7">
        <v>19</v>
      </c>
      <c r="M330" s="7">
        <v>19</v>
      </c>
      <c r="N330" s="7">
        <v>15</v>
      </c>
      <c r="O330" s="7">
        <f t="shared" si="6"/>
        <v>-4</v>
      </c>
    </row>
    <row r="331" spans="2:15" x14ac:dyDescent="0.25">
      <c r="B331" s="3">
        <v>78</v>
      </c>
      <c r="C331" s="3" t="s">
        <v>160</v>
      </c>
      <c r="D331" s="3" t="s">
        <v>161</v>
      </c>
      <c r="E331" s="3" t="s">
        <v>95</v>
      </c>
      <c r="F331" s="3">
        <v>5606</v>
      </c>
      <c r="G331" s="3">
        <v>5</v>
      </c>
      <c r="H331" s="3">
        <v>0.67800000000000005</v>
      </c>
      <c r="I331" s="6">
        <v>0.67458965160451245</v>
      </c>
      <c r="J331" s="6">
        <v>0.71805171405528967</v>
      </c>
      <c r="K331" s="11">
        <v>0.67346017924651425</v>
      </c>
      <c r="L331" s="7">
        <v>18</v>
      </c>
      <c r="M331" s="7">
        <v>8</v>
      </c>
      <c r="N331" s="7">
        <v>18</v>
      </c>
      <c r="O331" s="7">
        <f t="shared" si="6"/>
        <v>0</v>
      </c>
    </row>
    <row r="332" spans="2:15" x14ac:dyDescent="0.25">
      <c r="B332" s="3">
        <v>68</v>
      </c>
      <c r="C332" s="3" t="s">
        <v>140</v>
      </c>
      <c r="D332" s="3" t="s">
        <v>141</v>
      </c>
      <c r="E332" s="3" t="s">
        <v>95</v>
      </c>
      <c r="F332" s="3">
        <v>5105</v>
      </c>
      <c r="G332" s="3">
        <v>5</v>
      </c>
      <c r="H332" s="3">
        <v>0.54400000000000004</v>
      </c>
      <c r="I332" s="6">
        <v>0.67599888323915613</v>
      </c>
      <c r="J332" s="6">
        <v>0.6936896303094684</v>
      </c>
      <c r="K332" s="11">
        <v>0.64695177267643444</v>
      </c>
      <c r="L332" s="7">
        <v>17</v>
      </c>
      <c r="M332" s="7">
        <v>14</v>
      </c>
      <c r="N332" s="7">
        <v>30</v>
      </c>
      <c r="O332" s="7">
        <f t="shared" si="6"/>
        <v>13</v>
      </c>
    </row>
    <row r="333" spans="2:15" x14ac:dyDescent="0.25">
      <c r="B333" s="3">
        <v>173</v>
      </c>
      <c r="C333" s="3" t="s">
        <v>352</v>
      </c>
      <c r="D333" s="3" t="s">
        <v>353</v>
      </c>
      <c r="E333" s="3" t="s">
        <v>341</v>
      </c>
      <c r="F333" s="3">
        <v>8101</v>
      </c>
      <c r="G333" s="3">
        <v>8</v>
      </c>
      <c r="H333" s="3">
        <v>0.627</v>
      </c>
      <c r="I333" s="6">
        <v>0.67789837466817304</v>
      </c>
      <c r="J333" s="6">
        <v>0.70065022566541735</v>
      </c>
      <c r="K333" s="11">
        <v>0.68933624598088994</v>
      </c>
      <c r="L333" s="7">
        <v>16</v>
      </c>
      <c r="M333" s="7">
        <v>11</v>
      </c>
      <c r="N333" s="7">
        <v>14</v>
      </c>
      <c r="O333" s="7">
        <f t="shared" si="6"/>
        <v>-2</v>
      </c>
    </row>
    <row r="334" spans="2:15" x14ac:dyDescent="0.25">
      <c r="B334" s="3">
        <v>295</v>
      </c>
      <c r="C334" s="3" t="s">
        <v>595</v>
      </c>
      <c r="D334" s="3" t="s">
        <v>596</v>
      </c>
      <c r="E334" s="3" t="s">
        <v>707</v>
      </c>
      <c r="F334" s="3">
        <v>13502</v>
      </c>
      <c r="G334" s="3">
        <v>13</v>
      </c>
      <c r="H334" s="3">
        <v>0.46400000000000002</v>
      </c>
      <c r="I334" s="6">
        <v>0.68102888680356055</v>
      </c>
      <c r="J334" s="6">
        <v>0.54751712783454132</v>
      </c>
      <c r="K334" s="11">
        <v>0.533768521203008</v>
      </c>
      <c r="L334" s="7">
        <v>15</v>
      </c>
      <c r="M334" s="7">
        <v>115</v>
      </c>
      <c r="N334" s="7">
        <v>124</v>
      </c>
      <c r="O334" s="7">
        <f t="shared" si="6"/>
        <v>109</v>
      </c>
    </row>
    <row r="335" spans="2:15" x14ac:dyDescent="0.25">
      <c r="B335" s="3">
        <v>18</v>
      </c>
      <c r="C335" s="3" t="s">
        <v>38</v>
      </c>
      <c r="D335" s="3" t="s">
        <v>39</v>
      </c>
      <c r="E335" s="3" t="s">
        <v>26</v>
      </c>
      <c r="F335" s="3">
        <v>2103</v>
      </c>
      <c r="G335" s="3">
        <v>2</v>
      </c>
      <c r="H335" s="3"/>
      <c r="I335" s="6">
        <v>0.68356864211406188</v>
      </c>
      <c r="J335" s="6">
        <v>0.57651960848432837</v>
      </c>
      <c r="K335" s="11">
        <v>0.60980737738321666</v>
      </c>
      <c r="L335" s="7">
        <v>14</v>
      </c>
      <c r="M335" s="7">
        <v>85</v>
      </c>
      <c r="N335" s="7">
        <v>54</v>
      </c>
      <c r="O335" s="7">
        <f t="shared" si="6"/>
        <v>40</v>
      </c>
    </row>
    <row r="336" spans="2:15" x14ac:dyDescent="0.25">
      <c r="B336" s="3">
        <v>81</v>
      </c>
      <c r="C336" s="3" t="s">
        <v>165</v>
      </c>
      <c r="D336" s="3" t="s">
        <v>166</v>
      </c>
      <c r="E336" s="3" t="s">
        <v>95</v>
      </c>
      <c r="F336" s="3">
        <v>5109</v>
      </c>
      <c r="G336" s="3">
        <v>5</v>
      </c>
      <c r="H336" s="3">
        <v>0.64300000000000002</v>
      </c>
      <c r="I336" s="6">
        <v>0.6836950485708233</v>
      </c>
      <c r="J336" s="6">
        <v>0.68788913417951103</v>
      </c>
      <c r="K336" s="11">
        <v>0.69801446420881053</v>
      </c>
      <c r="L336" s="7">
        <v>13</v>
      </c>
      <c r="M336" s="7">
        <v>15</v>
      </c>
      <c r="N336" s="7">
        <v>12</v>
      </c>
      <c r="O336" s="7">
        <f t="shared" si="6"/>
        <v>-1</v>
      </c>
    </row>
    <row r="337" spans="2:18" x14ac:dyDescent="0.25">
      <c r="B337" s="3">
        <v>343</v>
      </c>
      <c r="C337" s="3" t="s">
        <v>691</v>
      </c>
      <c r="D337" s="3" t="s">
        <v>692</v>
      </c>
      <c r="E337" s="3" t="s">
        <v>707</v>
      </c>
      <c r="F337" s="3">
        <v>13101</v>
      </c>
      <c r="G337" s="3">
        <v>13</v>
      </c>
      <c r="H337" s="3">
        <v>0.56000000000000005</v>
      </c>
      <c r="I337" s="6">
        <v>0.68407310429810353</v>
      </c>
      <c r="J337" s="6">
        <v>0.65540635585174944</v>
      </c>
      <c r="K337" s="11">
        <v>0.70023413800124357</v>
      </c>
      <c r="L337" s="7">
        <v>12</v>
      </c>
      <c r="M337" s="7">
        <v>23</v>
      </c>
      <c r="N337" s="7">
        <v>11</v>
      </c>
      <c r="O337" s="7">
        <f t="shared" si="6"/>
        <v>-1</v>
      </c>
    </row>
    <row r="338" spans="2:18" x14ac:dyDescent="0.25">
      <c r="B338" s="3">
        <v>340</v>
      </c>
      <c r="C338" s="3" t="s">
        <v>685</v>
      </c>
      <c r="D338" s="3" t="s">
        <v>686</v>
      </c>
      <c r="E338" s="3" t="s">
        <v>707</v>
      </c>
      <c r="F338" s="3">
        <v>13130</v>
      </c>
      <c r="G338" s="3">
        <v>13</v>
      </c>
      <c r="H338" s="3">
        <v>0.59599999999999997</v>
      </c>
      <c r="I338" s="6">
        <v>0.70108564698082754</v>
      </c>
      <c r="J338" s="6">
        <v>0.77025617922490652</v>
      </c>
      <c r="K338" s="11">
        <v>0.71871238378155389</v>
      </c>
      <c r="L338" s="7">
        <v>11</v>
      </c>
      <c r="M338" s="7">
        <v>4</v>
      </c>
      <c r="N338" s="7">
        <v>8</v>
      </c>
      <c r="O338" s="7">
        <f t="shared" si="6"/>
        <v>-3</v>
      </c>
    </row>
    <row r="339" spans="2:18" x14ac:dyDescent="0.25">
      <c r="B339" s="3">
        <v>195</v>
      </c>
      <c r="C339" s="3" t="s">
        <v>396</v>
      </c>
      <c r="D339" s="3" t="s">
        <v>397</v>
      </c>
      <c r="E339" s="3" t="s">
        <v>341</v>
      </c>
      <c r="F339" s="3">
        <v>8110</v>
      </c>
      <c r="G339" s="3">
        <v>8</v>
      </c>
      <c r="H339" s="3">
        <v>0.59399999999999997</v>
      </c>
      <c r="I339" s="6">
        <v>0.70183846616380285</v>
      </c>
      <c r="J339" s="6">
        <v>0.70065022566541735</v>
      </c>
      <c r="K339" s="11">
        <v>0.70164484690233808</v>
      </c>
      <c r="L339" s="7">
        <v>10</v>
      </c>
      <c r="M339" s="7">
        <v>10</v>
      </c>
      <c r="N339" s="7">
        <v>10</v>
      </c>
      <c r="O339" s="7">
        <f t="shared" si="6"/>
        <v>0</v>
      </c>
    </row>
    <row r="340" spans="2:18" x14ac:dyDescent="0.25">
      <c r="B340" s="3">
        <v>346</v>
      </c>
      <c r="C340" s="3" t="s">
        <v>697</v>
      </c>
      <c r="D340" s="3" t="s">
        <v>698</v>
      </c>
      <c r="E340" s="3" t="s">
        <v>707</v>
      </c>
      <c r="F340" s="3">
        <v>13132</v>
      </c>
      <c r="G340" s="3">
        <v>13</v>
      </c>
      <c r="H340" s="3">
        <v>0.63700000000000001</v>
      </c>
      <c r="I340" s="6">
        <v>0.70304426562088351</v>
      </c>
      <c r="J340" s="6">
        <v>0.69949012643942587</v>
      </c>
      <c r="K340" s="11">
        <v>0.71787961708093251</v>
      </c>
      <c r="L340" s="7">
        <v>9</v>
      </c>
      <c r="M340" s="7">
        <v>12</v>
      </c>
      <c r="N340" s="7">
        <v>9</v>
      </c>
      <c r="O340" s="7">
        <f t="shared" si="6"/>
        <v>0</v>
      </c>
    </row>
    <row r="341" spans="2:18" x14ac:dyDescent="0.25">
      <c r="B341" s="3">
        <v>54</v>
      </c>
      <c r="C341" s="3" t="s">
        <v>112</v>
      </c>
      <c r="D341" s="3" t="s">
        <v>113</v>
      </c>
      <c r="E341" s="3" t="s">
        <v>95</v>
      </c>
      <c r="F341" s="3">
        <v>5605</v>
      </c>
      <c r="G341" s="3">
        <v>5</v>
      </c>
      <c r="H341" s="3">
        <v>0.60299999999999998</v>
      </c>
      <c r="I341" s="6">
        <v>0.70929222958577653</v>
      </c>
      <c r="J341" s="6">
        <v>0.73661330167115335</v>
      </c>
      <c r="K341" s="11">
        <v>0.68082188643428376</v>
      </c>
      <c r="L341" s="7">
        <v>8</v>
      </c>
      <c r="M341" s="7">
        <v>6</v>
      </c>
      <c r="N341" s="7">
        <v>16</v>
      </c>
      <c r="O341" s="7">
        <f t="shared" si="6"/>
        <v>8</v>
      </c>
    </row>
    <row r="342" spans="2:18" x14ac:dyDescent="0.25">
      <c r="B342" s="3">
        <v>53</v>
      </c>
      <c r="C342" s="3" t="s">
        <v>110</v>
      </c>
      <c r="D342" s="3" t="s">
        <v>111</v>
      </c>
      <c r="E342" s="3" t="s">
        <v>95</v>
      </c>
      <c r="F342" s="3">
        <v>5604</v>
      </c>
      <c r="G342" s="3">
        <v>5</v>
      </c>
      <c r="H342" s="3">
        <v>0.55600000000000005</v>
      </c>
      <c r="I342" s="6">
        <v>0.71324748702798546</v>
      </c>
      <c r="J342" s="6">
        <v>0.72733250786322157</v>
      </c>
      <c r="K342" s="11">
        <v>0.69415844750961964</v>
      </c>
      <c r="L342" s="7">
        <v>7</v>
      </c>
      <c r="M342" s="7">
        <v>7</v>
      </c>
      <c r="N342" s="7">
        <v>13</v>
      </c>
      <c r="O342" s="7">
        <f t="shared" si="6"/>
        <v>6</v>
      </c>
    </row>
    <row r="343" spans="2:18" x14ac:dyDescent="0.25">
      <c r="B343" s="3">
        <v>315</v>
      </c>
      <c r="C343" s="3" t="s">
        <v>635</v>
      </c>
      <c r="D343" s="3" t="s">
        <v>636</v>
      </c>
      <c r="E343" s="3" t="s">
        <v>707</v>
      </c>
      <c r="F343" s="3">
        <v>13114</v>
      </c>
      <c r="G343" s="3">
        <v>13</v>
      </c>
      <c r="H343" s="3">
        <v>0.69</v>
      </c>
      <c r="I343" s="6">
        <v>0.71938869954370976</v>
      </c>
      <c r="J343" s="6">
        <v>0.70877092024735777</v>
      </c>
      <c r="K343" s="11">
        <v>0.73613334816416742</v>
      </c>
      <c r="L343" s="7">
        <v>6</v>
      </c>
      <c r="M343" s="7">
        <v>9</v>
      </c>
      <c r="N343" s="7">
        <v>6</v>
      </c>
      <c r="O343" s="7">
        <f t="shared" si="6"/>
        <v>0</v>
      </c>
    </row>
    <row r="344" spans="2:18" x14ac:dyDescent="0.25">
      <c r="B344" s="3">
        <v>52</v>
      </c>
      <c r="C344" s="3" t="s">
        <v>108</v>
      </c>
      <c r="D344" s="3" t="s">
        <v>109</v>
      </c>
      <c r="E344" s="3" t="s">
        <v>95</v>
      </c>
      <c r="F344" s="3">
        <v>5103</v>
      </c>
      <c r="G344" s="3">
        <v>5</v>
      </c>
      <c r="H344" s="3">
        <v>0.622</v>
      </c>
      <c r="I344" s="6">
        <v>0.74055560268233867</v>
      </c>
      <c r="J344" s="6">
        <v>0.79113796529275326</v>
      </c>
      <c r="K344" s="11">
        <v>0.75495417887647431</v>
      </c>
      <c r="L344" s="7">
        <v>5</v>
      </c>
      <c r="M344" s="7">
        <v>2</v>
      </c>
      <c r="N344" s="7">
        <v>4</v>
      </c>
      <c r="O344" s="7">
        <f t="shared" si="6"/>
        <v>-1</v>
      </c>
    </row>
    <row r="345" spans="2:18" x14ac:dyDescent="0.25">
      <c r="B345" s="3">
        <v>323</v>
      </c>
      <c r="C345" s="3" t="s">
        <v>651</v>
      </c>
      <c r="D345" s="3" t="s">
        <v>652</v>
      </c>
      <c r="E345" s="3" t="s">
        <v>707</v>
      </c>
      <c r="F345" s="3">
        <v>13120</v>
      </c>
      <c r="G345" s="3">
        <v>13</v>
      </c>
      <c r="H345" s="3">
        <v>0.63100000000000001</v>
      </c>
      <c r="I345" s="6">
        <v>0.76160421282651725</v>
      </c>
      <c r="J345" s="6">
        <v>0.76097538541697451</v>
      </c>
      <c r="K345" s="11">
        <v>0.76795917341092412</v>
      </c>
      <c r="L345" s="7">
        <v>4</v>
      </c>
      <c r="M345" s="7">
        <v>5</v>
      </c>
      <c r="N345" s="7">
        <v>3</v>
      </c>
      <c r="O345" s="7">
        <f t="shared" si="6"/>
        <v>-1</v>
      </c>
    </row>
    <row r="346" spans="2:18" x14ac:dyDescent="0.25">
      <c r="B346" s="3">
        <v>330</v>
      </c>
      <c r="C346" s="3" t="s">
        <v>665</v>
      </c>
      <c r="D346" s="3" t="s">
        <v>666</v>
      </c>
      <c r="E346" s="3" t="s">
        <v>707</v>
      </c>
      <c r="F346" s="3">
        <v>13123</v>
      </c>
      <c r="G346" s="3">
        <v>13</v>
      </c>
      <c r="H346" s="3">
        <v>0.63</v>
      </c>
      <c r="I346" s="6">
        <v>0.77762332234261078</v>
      </c>
      <c r="J346" s="6">
        <v>0.77489657612887242</v>
      </c>
      <c r="K346" s="11">
        <v>0.79889195896415055</v>
      </c>
      <c r="L346" s="7">
        <v>3</v>
      </c>
      <c r="M346" s="7">
        <v>3</v>
      </c>
      <c r="N346" s="7">
        <v>1</v>
      </c>
      <c r="O346" s="7">
        <f t="shared" si="6"/>
        <v>-2</v>
      </c>
    </row>
    <row r="347" spans="2:18" x14ac:dyDescent="0.25">
      <c r="B347" s="3">
        <v>45</v>
      </c>
      <c r="C347" s="3" t="s">
        <v>93</v>
      </c>
      <c r="D347" s="3" t="s">
        <v>94</v>
      </c>
      <c r="E347" s="3" t="s">
        <v>95</v>
      </c>
      <c r="F347" s="3">
        <v>5602</v>
      </c>
      <c r="G347" s="3">
        <v>5</v>
      </c>
      <c r="H347" s="3">
        <v>0.59699999999999998</v>
      </c>
      <c r="I347" s="6">
        <v>0.80183039264664679</v>
      </c>
      <c r="J347" s="6">
        <v>0.81085965213460842</v>
      </c>
      <c r="K347" s="11">
        <v>0.77347691970911314</v>
      </c>
      <c r="L347" s="7">
        <v>2</v>
      </c>
      <c r="M347" s="7">
        <v>1</v>
      </c>
      <c r="N347" s="7">
        <v>2</v>
      </c>
      <c r="O347" s="7">
        <f t="shared" si="6"/>
        <v>0</v>
      </c>
    </row>
    <row r="348" spans="2:18" x14ac:dyDescent="0.25">
      <c r="B348" s="3">
        <v>294</v>
      </c>
      <c r="C348" s="3" t="s">
        <v>593</v>
      </c>
      <c r="D348" s="3" t="s">
        <v>594</v>
      </c>
      <c r="E348" s="3" t="s">
        <v>706</v>
      </c>
      <c r="F348" s="3">
        <v>12402</v>
      </c>
      <c r="G348" s="3">
        <v>12</v>
      </c>
      <c r="H348" s="3"/>
      <c r="I348" s="6">
        <v>0.9667320526244163</v>
      </c>
      <c r="J348" s="6">
        <v>0.4164259152975035</v>
      </c>
      <c r="K348" s="11">
        <v>0.73065675710633615</v>
      </c>
      <c r="L348" s="7">
        <v>1</v>
      </c>
      <c r="M348" s="7">
        <v>255</v>
      </c>
      <c r="N348" s="7">
        <v>7</v>
      </c>
      <c r="O348" s="7">
        <f t="shared" si="6"/>
        <v>6</v>
      </c>
    </row>
    <row r="350" spans="2:18" ht="67.5" x14ac:dyDescent="0.25">
      <c r="B350" s="8" t="s">
        <v>701</v>
      </c>
      <c r="C350" s="8" t="s">
        <v>0</v>
      </c>
      <c r="D350" s="8" t="s">
        <v>1</v>
      </c>
      <c r="E350" s="8" t="s">
        <v>2</v>
      </c>
      <c r="F350" s="8" t="s">
        <v>700</v>
      </c>
      <c r="G350" s="8" t="s">
        <v>699</v>
      </c>
      <c r="H350" s="8" t="s">
        <v>728</v>
      </c>
      <c r="I350" s="9" t="s">
        <v>709</v>
      </c>
      <c r="J350" s="9" t="s">
        <v>708</v>
      </c>
      <c r="K350" s="9" t="s">
        <v>725</v>
      </c>
      <c r="L350" s="9" t="s">
        <v>717</v>
      </c>
      <c r="M350" s="9" t="s">
        <v>716</v>
      </c>
      <c r="N350" s="9" t="s">
        <v>722</v>
      </c>
      <c r="O350" s="9"/>
    </row>
    <row r="351" spans="2:18" x14ac:dyDescent="0.25">
      <c r="B351" s="3">
        <v>1</v>
      </c>
      <c r="C351" s="3" t="s">
        <v>3</v>
      </c>
      <c r="D351" s="3" t="s">
        <v>4</v>
      </c>
      <c r="E351" s="3" t="s">
        <v>703</v>
      </c>
      <c r="F351" s="3">
        <v>15101</v>
      </c>
      <c r="G351" s="3">
        <v>15</v>
      </c>
      <c r="H351" s="3">
        <v>0.57199999999999995</v>
      </c>
      <c r="I351" s="6">
        <v>0.56983099095584289</v>
      </c>
      <c r="J351" s="6">
        <v>0.58696050151825174</v>
      </c>
      <c r="K351" s="11">
        <v>0.58371326543979274</v>
      </c>
      <c r="L351" s="7">
        <v>91</v>
      </c>
      <c r="M351" s="7">
        <v>70</v>
      </c>
      <c r="N351" s="7">
        <v>84</v>
      </c>
      <c r="O351" s="7"/>
      <c r="Q351" t="s">
        <v>733</v>
      </c>
      <c r="R351" s="12">
        <f>PEARSON(I351:I651,J351:J651)</f>
        <v>0.97397268824811978</v>
      </c>
    </row>
    <row r="352" spans="2:18" x14ac:dyDescent="0.25">
      <c r="B352" s="3">
        <v>5</v>
      </c>
      <c r="C352" s="3" t="s">
        <v>11</v>
      </c>
      <c r="D352" s="3" t="s">
        <v>12</v>
      </c>
      <c r="E352" s="3" t="s">
        <v>13</v>
      </c>
      <c r="F352" s="3">
        <v>1107</v>
      </c>
      <c r="G352" s="3">
        <v>1</v>
      </c>
      <c r="H352" s="3">
        <v>0.57599999999999996</v>
      </c>
      <c r="I352" s="6">
        <v>0.49743098666029273</v>
      </c>
      <c r="J352" s="6">
        <v>0.5115540518288052</v>
      </c>
      <c r="K352" s="11">
        <v>0.49887572539254421</v>
      </c>
      <c r="L352" s="7">
        <v>167</v>
      </c>
      <c r="M352" s="7">
        <v>149</v>
      </c>
      <c r="N352" s="7">
        <v>161</v>
      </c>
      <c r="O352" s="7"/>
      <c r="Q352" t="s">
        <v>734</v>
      </c>
      <c r="R352" s="12">
        <f>PEARSON(I351:I651,K351:K651)</f>
        <v>0.98174271060071794</v>
      </c>
    </row>
    <row r="353" spans="2:18" x14ac:dyDescent="0.25">
      <c r="B353" s="3">
        <v>9</v>
      </c>
      <c r="C353" s="3" t="s">
        <v>20</v>
      </c>
      <c r="D353" s="3" t="s">
        <v>21</v>
      </c>
      <c r="E353" s="3" t="s">
        <v>13</v>
      </c>
      <c r="F353" s="3">
        <v>1101</v>
      </c>
      <c r="G353" s="3">
        <v>1</v>
      </c>
      <c r="H353" s="3">
        <v>0.56299999999999994</v>
      </c>
      <c r="I353" s="6">
        <v>0.59861002323556978</v>
      </c>
      <c r="J353" s="6">
        <v>0.59160089842221775</v>
      </c>
      <c r="K353" s="11">
        <v>0.61242048291444529</v>
      </c>
      <c r="L353" s="7">
        <v>56</v>
      </c>
      <c r="M353" s="7">
        <v>64</v>
      </c>
      <c r="N353" s="7">
        <v>51</v>
      </c>
      <c r="O353" s="7"/>
      <c r="Q353" t="s">
        <v>735</v>
      </c>
      <c r="R353" s="12">
        <f>PEARSON(J351:J651,K351:K651)</f>
        <v>0.98891485570444959</v>
      </c>
    </row>
    <row r="354" spans="2:18" x14ac:dyDescent="0.25">
      <c r="B354" s="3">
        <v>10</v>
      </c>
      <c r="C354" s="3" t="s">
        <v>22</v>
      </c>
      <c r="D354" s="3" t="s">
        <v>23</v>
      </c>
      <c r="E354" s="3" t="s">
        <v>13</v>
      </c>
      <c r="F354" s="3">
        <v>1405</v>
      </c>
      <c r="G354" s="3">
        <v>1</v>
      </c>
      <c r="H354" s="3">
        <v>0.442</v>
      </c>
      <c r="I354" s="6">
        <v>0.36099104981227298</v>
      </c>
      <c r="J354" s="6">
        <v>0.36306135090189517</v>
      </c>
      <c r="K354" s="11">
        <v>0.36371386158972319</v>
      </c>
      <c r="L354" s="7">
        <v>330</v>
      </c>
      <c r="M354" s="7">
        <v>327</v>
      </c>
      <c r="N354" s="7">
        <v>328</v>
      </c>
      <c r="O354" s="7"/>
    </row>
    <row r="355" spans="2:18" x14ac:dyDescent="0.25">
      <c r="B355" s="3">
        <v>11</v>
      </c>
      <c r="C355" s="3" t="s">
        <v>24</v>
      </c>
      <c r="D355" s="3" t="s">
        <v>25</v>
      </c>
      <c r="E355" s="3" t="s">
        <v>13</v>
      </c>
      <c r="F355" s="3">
        <v>1401</v>
      </c>
      <c r="G355" s="3">
        <v>1</v>
      </c>
      <c r="H355" s="3">
        <v>0.48199999999999998</v>
      </c>
      <c r="I355" s="6">
        <v>0.44186749728987312</v>
      </c>
      <c r="J355" s="6">
        <v>0.44426829672129908</v>
      </c>
      <c r="K355" s="11">
        <v>0.44878093279468773</v>
      </c>
      <c r="L355" s="7">
        <v>230</v>
      </c>
      <c r="M355" s="7">
        <v>226</v>
      </c>
      <c r="N355" s="7">
        <v>222</v>
      </c>
      <c r="O355" s="7"/>
    </row>
    <row r="356" spans="2:18" x14ac:dyDescent="0.25">
      <c r="B356" s="3">
        <v>12</v>
      </c>
      <c r="C356" s="3" t="s">
        <v>26</v>
      </c>
      <c r="D356" s="3" t="s">
        <v>27</v>
      </c>
      <c r="E356" s="3" t="s">
        <v>26</v>
      </c>
      <c r="F356" s="3">
        <v>2101</v>
      </c>
      <c r="G356" s="3">
        <v>2</v>
      </c>
      <c r="H356" s="3">
        <v>0.56100000000000005</v>
      </c>
      <c r="I356" s="6">
        <v>0.61000908632260076</v>
      </c>
      <c r="J356" s="6">
        <v>0.61596298216803891</v>
      </c>
      <c r="K356" s="11">
        <v>0.62405229640470405</v>
      </c>
      <c r="L356" s="7">
        <v>47</v>
      </c>
      <c r="M356" s="7">
        <v>48</v>
      </c>
      <c r="N356" s="7">
        <v>41</v>
      </c>
      <c r="O356" s="7"/>
    </row>
    <row r="357" spans="2:18" x14ac:dyDescent="0.25">
      <c r="B357" s="3">
        <v>13</v>
      </c>
      <c r="C357" s="3" t="s">
        <v>28</v>
      </c>
      <c r="D357" s="3" t="s">
        <v>29</v>
      </c>
      <c r="E357" s="3" t="s">
        <v>26</v>
      </c>
      <c r="F357" s="3">
        <v>2201</v>
      </c>
      <c r="G357" s="3">
        <v>2</v>
      </c>
      <c r="H357" s="3">
        <v>0.53700000000000003</v>
      </c>
      <c r="I357" s="6">
        <v>0.60645086022646222</v>
      </c>
      <c r="J357" s="6">
        <v>0.59624129532618364</v>
      </c>
      <c r="K357" s="11">
        <v>0.62235311109479641</v>
      </c>
      <c r="L357" s="7">
        <v>51</v>
      </c>
      <c r="M357" s="7">
        <v>62</v>
      </c>
      <c r="N357" s="7">
        <v>42</v>
      </c>
      <c r="O357" s="7"/>
    </row>
    <row r="358" spans="2:18" x14ac:dyDescent="0.25">
      <c r="B358" s="3">
        <v>14</v>
      </c>
      <c r="C358" s="3" t="s">
        <v>30</v>
      </c>
      <c r="D358" s="3" t="s">
        <v>31</v>
      </c>
      <c r="E358" s="3" t="s">
        <v>26</v>
      </c>
      <c r="F358" s="3">
        <v>2302</v>
      </c>
      <c r="G358" s="3">
        <v>2</v>
      </c>
      <c r="H358" s="3">
        <v>0.39400000000000002</v>
      </c>
      <c r="I358" s="6">
        <v>0.38452003999753837</v>
      </c>
      <c r="J358" s="6">
        <v>0.37582244238780149</v>
      </c>
      <c r="K358" s="11">
        <v>0.38860735699019422</v>
      </c>
      <c r="L358" s="7">
        <v>304</v>
      </c>
      <c r="M358" s="7">
        <v>312</v>
      </c>
      <c r="N358" s="7">
        <v>299</v>
      </c>
      <c r="O358" s="7"/>
    </row>
    <row r="359" spans="2:18" x14ac:dyDescent="0.25">
      <c r="B359" s="3">
        <v>15</v>
      </c>
      <c r="C359" s="3" t="s">
        <v>32</v>
      </c>
      <c r="D359" s="3" t="s">
        <v>33</v>
      </c>
      <c r="E359" s="3" t="s">
        <v>26</v>
      </c>
      <c r="F359" s="3">
        <v>2102</v>
      </c>
      <c r="G359" s="3">
        <v>2</v>
      </c>
      <c r="H359" s="3">
        <v>0.51800000000000002</v>
      </c>
      <c r="I359" s="6">
        <v>0.51670640392330713</v>
      </c>
      <c r="J359" s="6">
        <v>0.51039395260281373</v>
      </c>
      <c r="K359" s="11">
        <v>0.51822223429693248</v>
      </c>
      <c r="L359" s="7">
        <v>136</v>
      </c>
      <c r="M359" s="7">
        <v>151</v>
      </c>
      <c r="N359" s="7">
        <v>136</v>
      </c>
      <c r="O359" s="7"/>
    </row>
    <row r="360" spans="2:18" x14ac:dyDescent="0.25">
      <c r="B360" s="3">
        <v>17</v>
      </c>
      <c r="C360" s="3" t="s">
        <v>36</v>
      </c>
      <c r="D360" s="3" t="s">
        <v>37</v>
      </c>
      <c r="E360" s="3" t="s">
        <v>26</v>
      </c>
      <c r="F360" s="3">
        <v>2203</v>
      </c>
      <c r="G360" s="3">
        <v>2</v>
      </c>
      <c r="H360" s="3">
        <v>0.47899999999999998</v>
      </c>
      <c r="I360" s="6">
        <v>0.40463488222317223</v>
      </c>
      <c r="J360" s="6">
        <v>0.37930274006577591</v>
      </c>
      <c r="K360" s="11">
        <v>0.38281491744453711</v>
      </c>
      <c r="L360" s="7">
        <v>277</v>
      </c>
      <c r="M360" s="7">
        <v>308</v>
      </c>
      <c r="N360" s="7">
        <v>308</v>
      </c>
      <c r="O360" s="7"/>
    </row>
    <row r="361" spans="2:18" x14ac:dyDescent="0.25">
      <c r="B361" s="3">
        <v>19</v>
      </c>
      <c r="C361" s="3" t="s">
        <v>40</v>
      </c>
      <c r="D361" s="3" t="s">
        <v>41</v>
      </c>
      <c r="E361" s="3" t="s">
        <v>26</v>
      </c>
      <c r="F361" s="3">
        <v>2104</v>
      </c>
      <c r="G361" s="3">
        <v>2</v>
      </c>
      <c r="H361" s="3">
        <v>0.45800000000000002</v>
      </c>
      <c r="I361" s="6">
        <v>0.51406087631880093</v>
      </c>
      <c r="J361" s="6">
        <v>0.50923385337682225</v>
      </c>
      <c r="K361" s="11">
        <v>0.52376382720312908</v>
      </c>
      <c r="L361" s="7">
        <v>139</v>
      </c>
      <c r="M361" s="7">
        <v>150</v>
      </c>
      <c r="N361" s="7">
        <v>134</v>
      </c>
      <c r="O361" s="7"/>
    </row>
    <row r="362" spans="2:18" x14ac:dyDescent="0.25">
      <c r="B362" s="3">
        <v>20</v>
      </c>
      <c r="C362" s="3" t="s">
        <v>42</v>
      </c>
      <c r="D362" s="3" t="s">
        <v>43</v>
      </c>
      <c r="E362" s="3" t="s">
        <v>26</v>
      </c>
      <c r="F362" s="3">
        <v>2301</v>
      </c>
      <c r="G362" s="3">
        <v>2</v>
      </c>
      <c r="H362" s="3">
        <v>0.57499999999999996</v>
      </c>
      <c r="I362" s="6">
        <v>0.57148159886268945</v>
      </c>
      <c r="J362" s="6">
        <v>0.5892806999702348</v>
      </c>
      <c r="K362" s="11">
        <v>0.60051252394038646</v>
      </c>
      <c r="L362" s="7">
        <v>86</v>
      </c>
      <c r="M362" s="7">
        <v>66</v>
      </c>
      <c r="N362" s="7">
        <v>62</v>
      </c>
      <c r="O362" s="7"/>
    </row>
    <row r="363" spans="2:18" x14ac:dyDescent="0.25">
      <c r="B363" s="3">
        <v>21</v>
      </c>
      <c r="C363" s="3" t="s">
        <v>44</v>
      </c>
      <c r="D363" s="3" t="s">
        <v>45</v>
      </c>
      <c r="E363" s="3" t="s">
        <v>46</v>
      </c>
      <c r="F363" s="3">
        <v>3302</v>
      </c>
      <c r="G363" s="3">
        <v>3</v>
      </c>
      <c r="H363" s="3">
        <v>0.39600000000000002</v>
      </c>
      <c r="I363" s="6">
        <v>0.35682411526444502</v>
      </c>
      <c r="J363" s="6">
        <v>0.35378055709396328</v>
      </c>
      <c r="K363" s="11">
        <v>0.35856942269599368</v>
      </c>
      <c r="L363" s="7">
        <v>335</v>
      </c>
      <c r="M363" s="7">
        <v>339</v>
      </c>
      <c r="N363" s="7">
        <v>336</v>
      </c>
      <c r="O363" s="7"/>
    </row>
    <row r="364" spans="2:18" x14ac:dyDescent="0.25">
      <c r="B364" s="3">
        <v>22</v>
      </c>
      <c r="C364" s="3" t="s">
        <v>47</v>
      </c>
      <c r="D364" s="3" t="s">
        <v>48</v>
      </c>
      <c r="E364" s="3" t="s">
        <v>46</v>
      </c>
      <c r="F364" s="3">
        <v>3102</v>
      </c>
      <c r="G364" s="3">
        <v>3</v>
      </c>
      <c r="H364" s="3">
        <v>0.44900000000000001</v>
      </c>
      <c r="I364" s="6">
        <v>0.5361244767609622</v>
      </c>
      <c r="J364" s="6">
        <v>0.53359593712264353</v>
      </c>
      <c r="K364" s="11">
        <v>0.53225309522021036</v>
      </c>
      <c r="L364" s="7">
        <v>120</v>
      </c>
      <c r="M364" s="7">
        <v>127</v>
      </c>
      <c r="N364" s="7">
        <v>125</v>
      </c>
      <c r="O364" s="7"/>
    </row>
    <row r="365" spans="2:18" x14ac:dyDescent="0.25">
      <c r="B365" s="3">
        <v>24</v>
      </c>
      <c r="C365" s="3" t="s">
        <v>51</v>
      </c>
      <c r="D365" s="3" t="s">
        <v>52</v>
      </c>
      <c r="E365" s="3" t="s">
        <v>46</v>
      </c>
      <c r="F365" s="3">
        <v>3101</v>
      </c>
      <c r="G365" s="3">
        <v>3</v>
      </c>
      <c r="H365" s="3">
        <v>0.54200000000000004</v>
      </c>
      <c r="I365" s="6">
        <v>0.5875212666286016</v>
      </c>
      <c r="J365" s="6">
        <v>0.60436198990812406</v>
      </c>
      <c r="K365" s="11">
        <v>0.59712693837526265</v>
      </c>
      <c r="L365" s="7">
        <v>69</v>
      </c>
      <c r="M365" s="7">
        <v>55</v>
      </c>
      <c r="N365" s="7">
        <v>66</v>
      </c>
      <c r="O365" s="7"/>
    </row>
    <row r="366" spans="2:18" x14ac:dyDescent="0.25">
      <c r="B366" s="3">
        <v>25</v>
      </c>
      <c r="C366" s="3" t="s">
        <v>53</v>
      </c>
      <c r="D366" s="3" t="s">
        <v>54</v>
      </c>
      <c r="E366" s="3" t="s">
        <v>46</v>
      </c>
      <c r="F366" s="3">
        <v>3202</v>
      </c>
      <c r="G366" s="3">
        <v>3</v>
      </c>
      <c r="H366" s="3">
        <v>0.41499999999999998</v>
      </c>
      <c r="I366" s="6">
        <v>0.50941257157642594</v>
      </c>
      <c r="J366" s="6">
        <v>0.46398998356315435</v>
      </c>
      <c r="K366" s="11">
        <v>0.48449163590889677</v>
      </c>
      <c r="L366" s="7">
        <v>151</v>
      </c>
      <c r="M366" s="7">
        <v>199</v>
      </c>
      <c r="N366" s="7">
        <v>180</v>
      </c>
      <c r="O366" s="7"/>
    </row>
    <row r="367" spans="2:18" x14ac:dyDescent="0.25">
      <c r="B367" s="3">
        <v>26</v>
      </c>
      <c r="C367" s="3" t="s">
        <v>55</v>
      </c>
      <c r="D367" s="3" t="s">
        <v>56</v>
      </c>
      <c r="E367" s="3" t="s">
        <v>46</v>
      </c>
      <c r="F367" s="3">
        <v>3303</v>
      </c>
      <c r="G367" s="3">
        <v>3</v>
      </c>
      <c r="H367" s="3">
        <v>0.39</v>
      </c>
      <c r="I367" s="6">
        <v>0.35968246238452339</v>
      </c>
      <c r="J367" s="6">
        <v>0.36074115244991223</v>
      </c>
      <c r="K367" s="11">
        <v>0.36258503931044739</v>
      </c>
      <c r="L367" s="7">
        <v>333</v>
      </c>
      <c r="M367" s="7">
        <v>329</v>
      </c>
      <c r="N367" s="7">
        <v>330</v>
      </c>
      <c r="O367" s="7"/>
    </row>
    <row r="368" spans="2:18" x14ac:dyDescent="0.25">
      <c r="B368" s="3">
        <v>27</v>
      </c>
      <c r="C368" s="3" t="s">
        <v>57</v>
      </c>
      <c r="D368" s="3" t="s">
        <v>58</v>
      </c>
      <c r="E368" s="3" t="s">
        <v>46</v>
      </c>
      <c r="F368" s="3">
        <v>3304</v>
      </c>
      <c r="G368" s="3">
        <v>3</v>
      </c>
      <c r="H368" s="3">
        <v>0.48899999999999999</v>
      </c>
      <c r="I368" s="6">
        <v>0.45704108382781183</v>
      </c>
      <c r="J368" s="6">
        <v>0.38046283929176744</v>
      </c>
      <c r="K368" s="11">
        <v>0.38915697385468601</v>
      </c>
      <c r="L368" s="7">
        <v>208</v>
      </c>
      <c r="M368" s="7">
        <v>305</v>
      </c>
      <c r="N368" s="7">
        <v>297</v>
      </c>
      <c r="O368" s="7"/>
    </row>
    <row r="369" spans="2:15" x14ac:dyDescent="0.25">
      <c r="B369" s="3">
        <v>29</v>
      </c>
      <c r="C369" s="3" t="s">
        <v>61</v>
      </c>
      <c r="D369" s="3" t="s">
        <v>62</v>
      </c>
      <c r="E369" s="3" t="s">
        <v>46</v>
      </c>
      <c r="F369" s="3">
        <v>3301</v>
      </c>
      <c r="G369" s="3">
        <v>3</v>
      </c>
      <c r="H369" s="3">
        <v>0.53300000000000003</v>
      </c>
      <c r="I369" s="6">
        <v>0.5654011870330542</v>
      </c>
      <c r="J369" s="6">
        <v>0.56723881467639659</v>
      </c>
      <c r="K369" s="11">
        <v>0.56489226952781002</v>
      </c>
      <c r="L369" s="7">
        <v>99</v>
      </c>
      <c r="M369" s="7">
        <v>97</v>
      </c>
      <c r="N369" s="7">
        <v>99</v>
      </c>
      <c r="O369" s="7"/>
    </row>
    <row r="370" spans="2:15" x14ac:dyDescent="0.25">
      <c r="B370" s="3">
        <v>30</v>
      </c>
      <c r="C370" s="3" t="s">
        <v>63</v>
      </c>
      <c r="D370" s="3" t="s">
        <v>64</v>
      </c>
      <c r="E370" s="3" t="s">
        <v>65</v>
      </c>
      <c r="F370" s="3">
        <v>4103</v>
      </c>
      <c r="G370" s="3">
        <v>4</v>
      </c>
      <c r="H370" s="3">
        <v>0.53200000000000003</v>
      </c>
      <c r="I370" s="6">
        <v>0.46057104426857559</v>
      </c>
      <c r="J370" s="6">
        <v>0.45470918975522245</v>
      </c>
      <c r="K370" s="11">
        <v>0.45152961083964055</v>
      </c>
      <c r="L370" s="7">
        <v>205</v>
      </c>
      <c r="M370" s="7">
        <v>213</v>
      </c>
      <c r="N370" s="7">
        <v>217</v>
      </c>
      <c r="O370" s="7"/>
    </row>
    <row r="371" spans="2:15" x14ac:dyDescent="0.25">
      <c r="B371" s="3">
        <v>31</v>
      </c>
      <c r="C371" s="3" t="s">
        <v>66</v>
      </c>
      <c r="D371" s="3" t="s">
        <v>67</v>
      </c>
      <c r="E371" s="3" t="s">
        <v>65</v>
      </c>
      <c r="F371" s="3">
        <v>4202</v>
      </c>
      <c r="G371" s="3">
        <v>4</v>
      </c>
      <c r="H371" s="3">
        <v>0.40699999999999997</v>
      </c>
      <c r="I371" s="6">
        <v>0.42627342638555832</v>
      </c>
      <c r="J371" s="6">
        <v>0.41758601452349497</v>
      </c>
      <c r="K371" s="11">
        <v>0.41383288686928305</v>
      </c>
      <c r="L371" s="7">
        <v>247</v>
      </c>
      <c r="M371" s="7">
        <v>254</v>
      </c>
      <c r="N371" s="7">
        <v>255</v>
      </c>
      <c r="O371" s="7"/>
    </row>
    <row r="372" spans="2:15" x14ac:dyDescent="0.25">
      <c r="B372" s="3">
        <v>32</v>
      </c>
      <c r="C372" s="3" t="s">
        <v>68</v>
      </c>
      <c r="D372" s="3" t="s">
        <v>69</v>
      </c>
      <c r="E372" s="3" t="s">
        <v>65</v>
      </c>
      <c r="F372" s="3">
        <v>4302</v>
      </c>
      <c r="G372" s="3">
        <v>4</v>
      </c>
      <c r="H372" s="3">
        <v>0.51100000000000001</v>
      </c>
      <c r="I372" s="6">
        <v>0.43216212723127384</v>
      </c>
      <c r="J372" s="6">
        <v>0.42106631220146939</v>
      </c>
      <c r="K372" s="11">
        <v>0.42330620459674617</v>
      </c>
      <c r="L372" s="7">
        <v>241</v>
      </c>
      <c r="M372" s="7">
        <v>249</v>
      </c>
      <c r="N372" s="7">
        <v>247</v>
      </c>
      <c r="O372" s="7"/>
    </row>
    <row r="373" spans="2:15" x14ac:dyDescent="0.25">
      <c r="B373" s="3">
        <v>33</v>
      </c>
      <c r="C373" s="3" t="s">
        <v>65</v>
      </c>
      <c r="D373" s="3" t="s">
        <v>70</v>
      </c>
      <c r="E373" s="3" t="s">
        <v>65</v>
      </c>
      <c r="F373" s="3">
        <v>4102</v>
      </c>
      <c r="G373" s="3">
        <v>4</v>
      </c>
      <c r="H373" s="3">
        <v>0.57099999999999995</v>
      </c>
      <c r="I373" s="6">
        <v>0.6057552094432952</v>
      </c>
      <c r="J373" s="6">
        <v>0.62524377597597081</v>
      </c>
      <c r="K373" s="11">
        <v>0.61348082589780994</v>
      </c>
      <c r="L373" s="7">
        <v>52</v>
      </c>
      <c r="M373" s="7">
        <v>41</v>
      </c>
      <c r="N373" s="7">
        <v>50</v>
      </c>
      <c r="O373" s="7"/>
    </row>
    <row r="374" spans="2:15" x14ac:dyDescent="0.25">
      <c r="B374" s="3">
        <v>34</v>
      </c>
      <c r="C374" s="3" t="s">
        <v>71</v>
      </c>
      <c r="D374" s="3" t="s">
        <v>72</v>
      </c>
      <c r="E374" s="3" t="s">
        <v>65</v>
      </c>
      <c r="F374" s="3">
        <v>4201</v>
      </c>
      <c r="G374" s="3">
        <v>4</v>
      </c>
      <c r="H374" s="3">
        <v>0.505</v>
      </c>
      <c r="I374" s="6">
        <v>0.48170247311340797</v>
      </c>
      <c r="J374" s="6">
        <v>0.48023137272703514</v>
      </c>
      <c r="K374" s="11">
        <v>0.47621578602567877</v>
      </c>
      <c r="L374" s="7">
        <v>186</v>
      </c>
      <c r="M374" s="7">
        <v>188</v>
      </c>
      <c r="N374" s="7">
        <v>193</v>
      </c>
      <c r="O374" s="7"/>
    </row>
    <row r="375" spans="2:15" x14ac:dyDescent="0.25">
      <c r="B375" s="3">
        <v>36</v>
      </c>
      <c r="C375" s="3" t="s">
        <v>75</v>
      </c>
      <c r="D375" s="3" t="s">
        <v>76</v>
      </c>
      <c r="E375" s="3" t="s">
        <v>65</v>
      </c>
      <c r="F375" s="3">
        <v>4101</v>
      </c>
      <c r="G375" s="3">
        <v>4</v>
      </c>
      <c r="H375" s="3">
        <v>0.61499999999999999</v>
      </c>
      <c r="I375" s="6">
        <v>0.6279786669406221</v>
      </c>
      <c r="J375" s="6">
        <v>0.64032506591386018</v>
      </c>
      <c r="K375" s="11">
        <v>0.63460462209521173</v>
      </c>
      <c r="L375" s="7">
        <v>37</v>
      </c>
      <c r="M375" s="7">
        <v>32</v>
      </c>
      <c r="N375" s="7">
        <v>38</v>
      </c>
      <c r="O375" s="7"/>
    </row>
    <row r="376" spans="2:15" x14ac:dyDescent="0.25">
      <c r="B376" s="3">
        <v>37</v>
      </c>
      <c r="C376" s="3" t="s">
        <v>77</v>
      </c>
      <c r="D376" s="3" t="s">
        <v>78</v>
      </c>
      <c r="E376" s="3" t="s">
        <v>65</v>
      </c>
      <c r="F376" s="3">
        <v>4203</v>
      </c>
      <c r="G376" s="3">
        <v>4</v>
      </c>
      <c r="H376" s="3">
        <v>0.52200000000000002</v>
      </c>
      <c r="I376" s="6">
        <v>0.56565155628071906</v>
      </c>
      <c r="J376" s="6">
        <v>0.55795802086846469</v>
      </c>
      <c r="K376" s="11">
        <v>0.55555705010249556</v>
      </c>
      <c r="L376" s="7">
        <v>98</v>
      </c>
      <c r="M376" s="7">
        <v>103</v>
      </c>
      <c r="N376" s="7">
        <v>108</v>
      </c>
      <c r="O376" s="7"/>
    </row>
    <row r="377" spans="2:15" x14ac:dyDescent="0.25">
      <c r="B377" s="3">
        <v>38</v>
      </c>
      <c r="C377" s="3" t="s">
        <v>79</v>
      </c>
      <c r="D377" s="3" t="s">
        <v>80</v>
      </c>
      <c r="E377" s="3" t="s">
        <v>65</v>
      </c>
      <c r="F377" s="3">
        <v>4303</v>
      </c>
      <c r="G377" s="3">
        <v>4</v>
      </c>
      <c r="H377" s="3">
        <v>0.49099999999999999</v>
      </c>
      <c r="I377" s="6">
        <v>0.39415684426035252</v>
      </c>
      <c r="J377" s="6">
        <v>0.38742343464771634</v>
      </c>
      <c r="K377" s="11">
        <v>0.39054809686229291</v>
      </c>
      <c r="L377" s="7">
        <v>291</v>
      </c>
      <c r="M377" s="7">
        <v>297</v>
      </c>
      <c r="N377" s="7">
        <v>296</v>
      </c>
      <c r="O377" s="7"/>
    </row>
    <row r="378" spans="2:15" x14ac:dyDescent="0.25">
      <c r="B378" s="3">
        <v>39</v>
      </c>
      <c r="C378" s="3" t="s">
        <v>81</v>
      </c>
      <c r="D378" s="3" t="s">
        <v>82</v>
      </c>
      <c r="E378" s="3" t="s">
        <v>65</v>
      </c>
      <c r="F378" s="3">
        <v>4301</v>
      </c>
      <c r="G378" s="3">
        <v>4</v>
      </c>
      <c r="H378" s="3">
        <v>0.52100000000000002</v>
      </c>
      <c r="I378" s="6">
        <v>0.50470466228220556</v>
      </c>
      <c r="J378" s="6">
        <v>0.51271415105479679</v>
      </c>
      <c r="K378" s="11">
        <v>0.50955432424433367</v>
      </c>
      <c r="L378" s="7">
        <v>157</v>
      </c>
      <c r="M378" s="7">
        <v>148</v>
      </c>
      <c r="N378" s="7">
        <v>148</v>
      </c>
      <c r="O378" s="7"/>
    </row>
    <row r="379" spans="2:15" x14ac:dyDescent="0.25">
      <c r="B379" s="3">
        <v>40</v>
      </c>
      <c r="C379" s="3" t="s">
        <v>83</v>
      </c>
      <c r="D379" s="3" t="s">
        <v>84</v>
      </c>
      <c r="E379" s="3" t="s">
        <v>65</v>
      </c>
      <c r="F379" s="3">
        <v>4105</v>
      </c>
      <c r="G379" s="3">
        <v>4</v>
      </c>
      <c r="H379" s="3">
        <v>0.45100000000000001</v>
      </c>
      <c r="I379" s="6">
        <v>0.35313023605085248</v>
      </c>
      <c r="J379" s="6">
        <v>0.35378055709396328</v>
      </c>
      <c r="K379" s="11">
        <v>0.35545582733384129</v>
      </c>
      <c r="L379" s="7">
        <v>340</v>
      </c>
      <c r="M379" s="7">
        <v>338</v>
      </c>
      <c r="N379" s="7">
        <v>341</v>
      </c>
      <c r="O379" s="7"/>
    </row>
    <row r="380" spans="2:15" x14ac:dyDescent="0.25">
      <c r="B380" s="3">
        <v>41</v>
      </c>
      <c r="C380" s="3" t="s">
        <v>85</v>
      </c>
      <c r="D380" s="3" t="s">
        <v>86</v>
      </c>
      <c r="E380" s="3" t="s">
        <v>65</v>
      </c>
      <c r="F380" s="3">
        <v>4304</v>
      </c>
      <c r="G380" s="3">
        <v>4</v>
      </c>
      <c r="H380" s="3">
        <v>0.48299999999999998</v>
      </c>
      <c r="I380" s="6">
        <v>0.41579744220706383</v>
      </c>
      <c r="J380" s="6">
        <v>0.40134462535961413</v>
      </c>
      <c r="K380" s="11">
        <v>0.40078725546883781</v>
      </c>
      <c r="L380" s="7">
        <v>262</v>
      </c>
      <c r="M380" s="7">
        <v>277</v>
      </c>
      <c r="N380" s="7">
        <v>276</v>
      </c>
      <c r="O380" s="7"/>
    </row>
    <row r="381" spans="2:15" x14ac:dyDescent="0.25">
      <c r="B381" s="3">
        <v>43</v>
      </c>
      <c r="C381" s="3" t="s">
        <v>89</v>
      </c>
      <c r="D381" s="3" t="s">
        <v>90</v>
      </c>
      <c r="E381" s="3" t="s">
        <v>65</v>
      </c>
      <c r="F381" s="3">
        <v>4204</v>
      </c>
      <c r="G381" s="3">
        <v>4</v>
      </c>
      <c r="H381" s="3">
        <v>0.443</v>
      </c>
      <c r="I381" s="6">
        <v>0.39971207486513627</v>
      </c>
      <c r="J381" s="6">
        <v>0.39902442690763118</v>
      </c>
      <c r="K381" s="11">
        <v>0.4011359120260356</v>
      </c>
      <c r="L381" s="7">
        <v>285</v>
      </c>
      <c r="M381" s="7">
        <v>282</v>
      </c>
      <c r="N381" s="7">
        <v>275</v>
      </c>
      <c r="O381" s="7"/>
    </row>
    <row r="382" spans="2:15" x14ac:dyDescent="0.25">
      <c r="B382" s="3">
        <v>44</v>
      </c>
      <c r="C382" s="3" t="s">
        <v>91</v>
      </c>
      <c r="D382" s="3" t="s">
        <v>92</v>
      </c>
      <c r="E382" s="3" t="s">
        <v>65</v>
      </c>
      <c r="F382" s="3">
        <v>4106</v>
      </c>
      <c r="G382" s="3">
        <v>4</v>
      </c>
      <c r="H382" s="3">
        <v>0.54100000000000004</v>
      </c>
      <c r="I382" s="6">
        <v>0.43529590277191776</v>
      </c>
      <c r="J382" s="6">
        <v>0.43266730446138424</v>
      </c>
      <c r="K382" s="11">
        <v>0.43606999712696826</v>
      </c>
      <c r="L382" s="7">
        <v>238</v>
      </c>
      <c r="M382" s="7">
        <v>238</v>
      </c>
      <c r="N382" s="7">
        <v>239</v>
      </c>
      <c r="O382" s="7"/>
    </row>
    <row r="383" spans="2:15" x14ac:dyDescent="0.25">
      <c r="B383" s="3">
        <v>45</v>
      </c>
      <c r="C383" s="3" t="s">
        <v>93</v>
      </c>
      <c r="D383" s="3" t="s">
        <v>94</v>
      </c>
      <c r="E383" s="3" t="s">
        <v>95</v>
      </c>
      <c r="F383" s="3">
        <v>5602</v>
      </c>
      <c r="G383" s="3">
        <v>5</v>
      </c>
      <c r="H383" s="3">
        <v>0.59699999999999998</v>
      </c>
      <c r="I383" s="6">
        <v>0.80183039264664679</v>
      </c>
      <c r="J383" s="6">
        <v>0.81085965213460842</v>
      </c>
      <c r="K383" s="11">
        <v>0.77347691970911314</v>
      </c>
      <c r="L383" s="7">
        <v>2</v>
      </c>
      <c r="M383" s="7">
        <v>1</v>
      </c>
      <c r="N383" s="7">
        <v>2</v>
      </c>
      <c r="O383" s="7"/>
    </row>
    <row r="384" spans="2:15" x14ac:dyDescent="0.25">
      <c r="B384" s="3">
        <v>46</v>
      </c>
      <c r="C384" s="3" t="s">
        <v>96</v>
      </c>
      <c r="D384" s="3" t="s">
        <v>97</v>
      </c>
      <c r="E384" s="3" t="s">
        <v>95</v>
      </c>
      <c r="F384" s="3">
        <v>5402</v>
      </c>
      <c r="G384" s="3">
        <v>5</v>
      </c>
      <c r="H384" s="3">
        <v>0.47199999999999998</v>
      </c>
      <c r="I384" s="6">
        <v>0.45246630588067144</v>
      </c>
      <c r="J384" s="6">
        <v>0.45586928898121398</v>
      </c>
      <c r="K384" s="11">
        <v>0.45391059896465547</v>
      </c>
      <c r="L384" s="7">
        <v>218</v>
      </c>
      <c r="M384" s="7">
        <v>210</v>
      </c>
      <c r="N384" s="7">
        <v>212</v>
      </c>
      <c r="O384" s="7"/>
    </row>
    <row r="385" spans="2:15" x14ac:dyDescent="0.25">
      <c r="B385" s="3">
        <v>47</v>
      </c>
      <c r="C385" s="3" t="s">
        <v>98</v>
      </c>
      <c r="D385" s="3" t="s">
        <v>99</v>
      </c>
      <c r="E385" s="3" t="s">
        <v>95</v>
      </c>
      <c r="F385" s="3">
        <v>5502</v>
      </c>
      <c r="G385" s="3">
        <v>5</v>
      </c>
      <c r="H385" s="3">
        <v>0.56200000000000006</v>
      </c>
      <c r="I385" s="6">
        <v>0.59190484564216861</v>
      </c>
      <c r="J385" s="6">
        <v>0.60552208913411554</v>
      </c>
      <c r="K385" s="11">
        <v>0.60410112319871234</v>
      </c>
      <c r="L385" s="7">
        <v>65</v>
      </c>
      <c r="M385" s="7">
        <v>54</v>
      </c>
      <c r="N385" s="7">
        <v>58</v>
      </c>
      <c r="O385" s="7"/>
    </row>
    <row r="386" spans="2:15" x14ac:dyDescent="0.25">
      <c r="B386" s="3">
        <v>48</v>
      </c>
      <c r="C386" s="3" t="s">
        <v>100</v>
      </c>
      <c r="D386" s="3" t="s">
        <v>101</v>
      </c>
      <c r="E386" s="3" t="s">
        <v>95</v>
      </c>
      <c r="F386" s="3">
        <v>5302</v>
      </c>
      <c r="G386" s="3">
        <v>5</v>
      </c>
      <c r="H386" s="3">
        <v>0.56399999999999995</v>
      </c>
      <c r="I386" s="6">
        <v>0.53197227943856518</v>
      </c>
      <c r="J386" s="6">
        <v>0.52663534176669458</v>
      </c>
      <c r="K386" s="11">
        <v>0.52313302642732773</v>
      </c>
      <c r="L386" s="7">
        <v>123</v>
      </c>
      <c r="M386" s="7">
        <v>132</v>
      </c>
      <c r="N386" s="7">
        <v>135</v>
      </c>
      <c r="O386" s="7"/>
    </row>
    <row r="387" spans="2:15" x14ac:dyDescent="0.25">
      <c r="B387" s="3">
        <v>49</v>
      </c>
      <c r="C387" s="3" t="s">
        <v>102</v>
      </c>
      <c r="D387" s="3" t="s">
        <v>103</v>
      </c>
      <c r="E387" s="3" t="s">
        <v>95</v>
      </c>
      <c r="F387" s="3">
        <v>5603</v>
      </c>
      <c r="G387" s="3">
        <v>5</v>
      </c>
      <c r="H387" s="3">
        <v>0.57199999999999995</v>
      </c>
      <c r="I387" s="6">
        <v>0.60818831182949373</v>
      </c>
      <c r="J387" s="6">
        <v>0.60088169223014964</v>
      </c>
      <c r="K387" s="11">
        <v>0.60400414652722345</v>
      </c>
      <c r="L387" s="7">
        <v>50</v>
      </c>
      <c r="M387" s="7">
        <v>59</v>
      </c>
      <c r="N387" s="7">
        <v>59</v>
      </c>
      <c r="O387" s="7"/>
    </row>
    <row r="388" spans="2:15" x14ac:dyDescent="0.25">
      <c r="B388" s="3">
        <v>50</v>
      </c>
      <c r="C388" s="3" t="s">
        <v>104</v>
      </c>
      <c r="D388" s="3" t="s">
        <v>105</v>
      </c>
      <c r="E388" s="3" t="s">
        <v>95</v>
      </c>
      <c r="F388" s="3">
        <v>5102</v>
      </c>
      <c r="G388" s="3">
        <v>5</v>
      </c>
      <c r="H388" s="3">
        <v>0.56100000000000005</v>
      </c>
      <c r="I388" s="6">
        <v>0.51091159260859986</v>
      </c>
      <c r="J388" s="6">
        <v>0.5208348456367371</v>
      </c>
      <c r="K388" s="11">
        <v>0.51161072338762592</v>
      </c>
      <c r="L388" s="7">
        <v>149</v>
      </c>
      <c r="M388" s="7">
        <v>136</v>
      </c>
      <c r="N388" s="7">
        <v>146</v>
      </c>
      <c r="O388" s="7"/>
    </row>
    <row r="389" spans="2:15" x14ac:dyDescent="0.25">
      <c r="B389" s="3">
        <v>51</v>
      </c>
      <c r="C389" s="3" t="s">
        <v>106</v>
      </c>
      <c r="D389" s="3" t="s">
        <v>107</v>
      </c>
      <c r="E389" s="3" t="s">
        <v>95</v>
      </c>
      <c r="F389" s="3">
        <v>5702</v>
      </c>
      <c r="G389" s="3">
        <v>5</v>
      </c>
      <c r="H389" s="3">
        <v>0.51500000000000001</v>
      </c>
      <c r="I389" s="6">
        <v>0.45558696314995123</v>
      </c>
      <c r="J389" s="6">
        <v>0.45122889207724803</v>
      </c>
      <c r="K389" s="11">
        <v>0.46021754214926658</v>
      </c>
      <c r="L389" s="7">
        <v>213</v>
      </c>
      <c r="M389" s="7">
        <v>218</v>
      </c>
      <c r="N389" s="7">
        <v>204</v>
      </c>
      <c r="O389" s="7"/>
    </row>
    <row r="390" spans="2:15" x14ac:dyDescent="0.25">
      <c r="B390" s="3">
        <v>52</v>
      </c>
      <c r="C390" s="3" t="s">
        <v>108</v>
      </c>
      <c r="D390" s="3" t="s">
        <v>109</v>
      </c>
      <c r="E390" s="3" t="s">
        <v>95</v>
      </c>
      <c r="F390" s="3">
        <v>5103</v>
      </c>
      <c r="G390" s="3">
        <v>5</v>
      </c>
      <c r="H390" s="3">
        <v>0.622</v>
      </c>
      <c r="I390" s="6">
        <v>0.74055560268233867</v>
      </c>
      <c r="J390" s="6">
        <v>0.79113796529275326</v>
      </c>
      <c r="K390" s="11">
        <v>0.75495417887647431</v>
      </c>
      <c r="L390" s="7">
        <v>5</v>
      </c>
      <c r="M390" s="7">
        <v>2</v>
      </c>
      <c r="N390" s="7">
        <v>4</v>
      </c>
      <c r="O390" s="7"/>
    </row>
    <row r="391" spans="2:15" x14ac:dyDescent="0.25">
      <c r="B391" s="3">
        <v>53</v>
      </c>
      <c r="C391" s="3" t="s">
        <v>110</v>
      </c>
      <c r="D391" s="3" t="s">
        <v>111</v>
      </c>
      <c r="E391" s="3" t="s">
        <v>95</v>
      </c>
      <c r="F391" s="3">
        <v>5604</v>
      </c>
      <c r="G391" s="3">
        <v>5</v>
      </c>
      <c r="H391" s="3">
        <v>0.55600000000000005</v>
      </c>
      <c r="I391" s="6">
        <v>0.71324748702798546</v>
      </c>
      <c r="J391" s="6">
        <v>0.72733250786322157</v>
      </c>
      <c r="K391" s="11">
        <v>0.69415844750961964</v>
      </c>
      <c r="L391" s="7">
        <v>7</v>
      </c>
      <c r="M391" s="7">
        <v>7</v>
      </c>
      <c r="N391" s="7">
        <v>13</v>
      </c>
      <c r="O391" s="7"/>
    </row>
    <row r="392" spans="2:15" x14ac:dyDescent="0.25">
      <c r="B392" s="3">
        <v>54</v>
      </c>
      <c r="C392" s="3" t="s">
        <v>112</v>
      </c>
      <c r="D392" s="3" t="s">
        <v>113</v>
      </c>
      <c r="E392" s="3" t="s">
        <v>95</v>
      </c>
      <c r="F392" s="3">
        <v>5605</v>
      </c>
      <c r="G392" s="3">
        <v>5</v>
      </c>
      <c r="H392" s="3">
        <v>0.60299999999999998</v>
      </c>
      <c r="I392" s="6">
        <v>0.70929222958577653</v>
      </c>
      <c r="J392" s="6">
        <v>0.73661330167115335</v>
      </c>
      <c r="K392" s="11">
        <v>0.68082188643428376</v>
      </c>
      <c r="L392" s="7">
        <v>8</v>
      </c>
      <c r="M392" s="7">
        <v>6</v>
      </c>
      <c r="N392" s="7">
        <v>16</v>
      </c>
      <c r="O392" s="7"/>
    </row>
    <row r="393" spans="2:15" x14ac:dyDescent="0.25">
      <c r="B393" s="3">
        <v>55</v>
      </c>
      <c r="C393" s="3" t="s">
        <v>114</v>
      </c>
      <c r="D393" s="3" t="s">
        <v>115</v>
      </c>
      <c r="E393" s="3" t="s">
        <v>95</v>
      </c>
      <c r="F393" s="3">
        <v>5503</v>
      </c>
      <c r="G393" s="3">
        <v>5</v>
      </c>
      <c r="H393" s="3">
        <v>0.47799999999999998</v>
      </c>
      <c r="I393" s="6">
        <v>0.49186183563900615</v>
      </c>
      <c r="J393" s="6">
        <v>0.49415256343893299</v>
      </c>
      <c r="K393" s="11">
        <v>0.4861034293894968</v>
      </c>
      <c r="L393" s="7">
        <v>173</v>
      </c>
      <c r="M393" s="7">
        <v>170</v>
      </c>
      <c r="N393" s="7">
        <v>177</v>
      </c>
      <c r="O393" s="7"/>
    </row>
    <row r="394" spans="2:15" x14ac:dyDescent="0.25">
      <c r="B394" s="3">
        <v>56</v>
      </c>
      <c r="C394" s="3" t="s">
        <v>116</v>
      </c>
      <c r="D394" s="3" t="s">
        <v>117</v>
      </c>
      <c r="E394" s="3" t="s">
        <v>95</v>
      </c>
      <c r="F394" s="3">
        <v>5201</v>
      </c>
      <c r="G394" s="3">
        <v>5</v>
      </c>
      <c r="H394" s="3">
        <v>0.39800000000000002</v>
      </c>
      <c r="I394" s="6">
        <v>0.62130690844407532</v>
      </c>
      <c r="J394" s="6">
        <v>0.46282988433716288</v>
      </c>
      <c r="K394" s="11">
        <v>0.55144236983516104</v>
      </c>
      <c r="L394" s="7">
        <v>42</v>
      </c>
      <c r="M394" s="7">
        <v>202</v>
      </c>
      <c r="N394" s="7">
        <v>112</v>
      </c>
      <c r="O394" s="7"/>
    </row>
    <row r="395" spans="2:15" x14ac:dyDescent="0.25">
      <c r="B395" s="3">
        <v>59</v>
      </c>
      <c r="C395" s="3" t="s">
        <v>122</v>
      </c>
      <c r="D395" s="3" t="s">
        <v>123</v>
      </c>
      <c r="E395" s="3" t="s">
        <v>95</v>
      </c>
      <c r="F395" s="3">
        <v>5401</v>
      </c>
      <c r="G395" s="3">
        <v>5</v>
      </c>
      <c r="H395" s="3">
        <v>0.49299999999999999</v>
      </c>
      <c r="I395" s="6">
        <v>0.51366691659900077</v>
      </c>
      <c r="J395" s="6">
        <v>0.51851464718475415</v>
      </c>
      <c r="K395" s="11">
        <v>0.50381522063331852</v>
      </c>
      <c r="L395" s="7">
        <v>140</v>
      </c>
      <c r="M395" s="7">
        <v>139</v>
      </c>
      <c r="N395" s="7">
        <v>153</v>
      </c>
      <c r="O395" s="7"/>
    </row>
    <row r="396" spans="2:15" x14ac:dyDescent="0.25">
      <c r="B396" s="3">
        <v>60</v>
      </c>
      <c r="C396" s="3" t="s">
        <v>124</v>
      </c>
      <c r="D396" s="3" t="s">
        <v>125</v>
      </c>
      <c r="E396" s="3" t="s">
        <v>95</v>
      </c>
      <c r="F396" s="3">
        <v>5802</v>
      </c>
      <c r="G396" s="3">
        <v>5</v>
      </c>
      <c r="H396" s="3">
        <v>0.51300000000000001</v>
      </c>
      <c r="I396" s="6">
        <v>0.57859419922360622</v>
      </c>
      <c r="J396" s="6">
        <v>0.62756397442795375</v>
      </c>
      <c r="K396" s="11">
        <v>0.58553262663342853</v>
      </c>
      <c r="L396" s="7">
        <v>77</v>
      </c>
      <c r="M396" s="7">
        <v>38</v>
      </c>
      <c r="N396" s="7">
        <v>81</v>
      </c>
      <c r="O396" s="7"/>
    </row>
    <row r="397" spans="2:15" x14ac:dyDescent="0.25">
      <c r="B397" s="3">
        <v>61</v>
      </c>
      <c r="C397" s="3" t="s">
        <v>126</v>
      </c>
      <c r="D397" s="3" t="s">
        <v>127</v>
      </c>
      <c r="E397" s="3" t="s">
        <v>95</v>
      </c>
      <c r="F397" s="3">
        <v>5703</v>
      </c>
      <c r="G397" s="3">
        <v>5</v>
      </c>
      <c r="H397" s="3">
        <v>0.53</v>
      </c>
      <c r="I397" s="6">
        <v>0.49603147241232581</v>
      </c>
      <c r="J397" s="6">
        <v>0.49299246421294152</v>
      </c>
      <c r="K397" s="11">
        <v>0.49299891913466165</v>
      </c>
      <c r="L397" s="7">
        <v>169</v>
      </c>
      <c r="M397" s="7">
        <v>171</v>
      </c>
      <c r="N397" s="7">
        <v>168</v>
      </c>
      <c r="O397" s="7"/>
    </row>
    <row r="398" spans="2:15" x14ac:dyDescent="0.25">
      <c r="B398" s="3">
        <v>62</v>
      </c>
      <c r="C398" s="3" t="s">
        <v>128</v>
      </c>
      <c r="D398" s="3" t="s">
        <v>129</v>
      </c>
      <c r="E398" s="3" t="s">
        <v>95</v>
      </c>
      <c r="F398" s="3">
        <v>5301</v>
      </c>
      <c r="G398" s="3">
        <v>5</v>
      </c>
      <c r="H398" s="3">
        <v>0.59399999999999997</v>
      </c>
      <c r="I398" s="6">
        <v>0.65286052620593316</v>
      </c>
      <c r="J398" s="6">
        <v>0.65656645507774092</v>
      </c>
      <c r="K398" s="11">
        <v>0.66001084233734442</v>
      </c>
      <c r="L398" s="7">
        <v>23</v>
      </c>
      <c r="M398" s="7">
        <v>25</v>
      </c>
      <c r="N398" s="7">
        <v>21</v>
      </c>
      <c r="O398" s="7"/>
    </row>
    <row r="399" spans="2:15" x14ac:dyDescent="0.25">
      <c r="B399" s="3">
        <v>63</v>
      </c>
      <c r="C399" s="3" t="s">
        <v>130</v>
      </c>
      <c r="D399" s="3" t="s">
        <v>131</v>
      </c>
      <c r="E399" s="3" t="s">
        <v>95</v>
      </c>
      <c r="F399" s="3">
        <v>5506</v>
      </c>
      <c r="G399" s="3">
        <v>5</v>
      </c>
      <c r="H399" s="3">
        <v>0.49099999999999999</v>
      </c>
      <c r="I399" s="6">
        <v>0.53116708478925523</v>
      </c>
      <c r="J399" s="6">
        <v>0.53707623480061795</v>
      </c>
      <c r="K399" s="11">
        <v>0.53744265544818715</v>
      </c>
      <c r="L399" s="7">
        <v>125</v>
      </c>
      <c r="M399" s="7">
        <v>125</v>
      </c>
      <c r="N399" s="7">
        <v>118</v>
      </c>
      <c r="O399" s="7"/>
    </row>
    <row r="400" spans="2:15" x14ac:dyDescent="0.25">
      <c r="B400" s="3">
        <v>64</v>
      </c>
      <c r="C400" s="3" t="s">
        <v>132</v>
      </c>
      <c r="D400" s="3" t="s">
        <v>133</v>
      </c>
      <c r="E400" s="3" t="s">
        <v>95</v>
      </c>
      <c r="F400" s="3">
        <v>5803</v>
      </c>
      <c r="G400" s="3">
        <v>5</v>
      </c>
      <c r="H400" s="3">
        <v>0.43099999999999999</v>
      </c>
      <c r="I400" s="6">
        <v>0.53551820189756449</v>
      </c>
      <c r="J400" s="6">
        <v>0.54635702860854984</v>
      </c>
      <c r="K400" s="11">
        <v>0.53567558857249808</v>
      </c>
      <c r="L400" s="7">
        <v>121</v>
      </c>
      <c r="M400" s="7">
        <v>118</v>
      </c>
      <c r="N400" s="7">
        <v>121</v>
      </c>
      <c r="O400" s="7"/>
    </row>
    <row r="401" spans="2:15" x14ac:dyDescent="0.25">
      <c r="B401" s="3">
        <v>65</v>
      </c>
      <c r="C401" s="3" t="s">
        <v>134</v>
      </c>
      <c r="D401" s="3" t="s">
        <v>135</v>
      </c>
      <c r="E401" s="3" t="s">
        <v>95</v>
      </c>
      <c r="F401" s="3">
        <v>5704</v>
      </c>
      <c r="G401" s="3">
        <v>5</v>
      </c>
      <c r="H401" s="3">
        <v>0.44500000000000001</v>
      </c>
      <c r="I401" s="6">
        <v>0.51200388686733278</v>
      </c>
      <c r="J401" s="6">
        <v>0.48835206730897557</v>
      </c>
      <c r="K401" s="11">
        <v>0.48949804253432949</v>
      </c>
      <c r="L401" s="7">
        <v>145</v>
      </c>
      <c r="M401" s="7">
        <v>178</v>
      </c>
      <c r="N401" s="7">
        <v>173</v>
      </c>
      <c r="O401" s="7"/>
    </row>
    <row r="402" spans="2:15" x14ac:dyDescent="0.25">
      <c r="B402" s="3">
        <v>66</v>
      </c>
      <c r="C402" s="3" t="s">
        <v>136</v>
      </c>
      <c r="D402" s="3" t="s">
        <v>137</v>
      </c>
      <c r="E402" s="3" t="s">
        <v>95</v>
      </c>
      <c r="F402" s="3">
        <v>5403</v>
      </c>
      <c r="G402" s="3">
        <v>5</v>
      </c>
      <c r="H402" s="3">
        <v>0.45200000000000001</v>
      </c>
      <c r="I402" s="6">
        <v>0.55890017487119781</v>
      </c>
      <c r="J402" s="6">
        <v>0.58812060074424333</v>
      </c>
      <c r="K402" s="11">
        <v>0.53568946765219061</v>
      </c>
      <c r="L402" s="7">
        <v>103</v>
      </c>
      <c r="M402" s="7">
        <v>69</v>
      </c>
      <c r="N402" s="7">
        <v>120</v>
      </c>
      <c r="O402" s="7"/>
    </row>
    <row r="403" spans="2:15" x14ac:dyDescent="0.25">
      <c r="B403" s="3">
        <v>67</v>
      </c>
      <c r="C403" s="3" t="s">
        <v>138</v>
      </c>
      <c r="D403" s="3" t="s">
        <v>139</v>
      </c>
      <c r="E403" s="3" t="s">
        <v>95</v>
      </c>
      <c r="F403" s="3">
        <v>5404</v>
      </c>
      <c r="G403" s="3">
        <v>5</v>
      </c>
      <c r="H403" s="3">
        <v>0.41699999999999998</v>
      </c>
      <c r="I403" s="6">
        <v>0.36236522133938909</v>
      </c>
      <c r="J403" s="6">
        <v>0.36654164857986959</v>
      </c>
      <c r="K403" s="11">
        <v>0.36757461448897105</v>
      </c>
      <c r="L403" s="7">
        <v>328</v>
      </c>
      <c r="M403" s="7">
        <v>321</v>
      </c>
      <c r="N403" s="7">
        <v>325</v>
      </c>
      <c r="O403" s="7"/>
    </row>
    <row r="404" spans="2:15" x14ac:dyDescent="0.25">
      <c r="B404" s="3">
        <v>68</v>
      </c>
      <c r="C404" s="3" t="s">
        <v>140</v>
      </c>
      <c r="D404" s="3" t="s">
        <v>141</v>
      </c>
      <c r="E404" s="3" t="s">
        <v>95</v>
      </c>
      <c r="F404" s="3">
        <v>5105</v>
      </c>
      <c r="G404" s="3">
        <v>5</v>
      </c>
      <c r="H404" s="3">
        <v>0.54400000000000004</v>
      </c>
      <c r="I404" s="6">
        <v>0.67599888323915613</v>
      </c>
      <c r="J404" s="6">
        <v>0.6936896303094684</v>
      </c>
      <c r="K404" s="11">
        <v>0.64695177267643444</v>
      </c>
      <c r="L404" s="7">
        <v>17</v>
      </c>
      <c r="M404" s="7">
        <v>14</v>
      </c>
      <c r="N404" s="7">
        <v>30</v>
      </c>
      <c r="O404" s="7"/>
    </row>
    <row r="405" spans="2:15" x14ac:dyDescent="0.25">
      <c r="B405" s="3">
        <v>69</v>
      </c>
      <c r="C405" s="3" t="s">
        <v>142</v>
      </c>
      <c r="D405" s="3" t="s">
        <v>143</v>
      </c>
      <c r="E405" s="3" t="s">
        <v>95</v>
      </c>
      <c r="F405" s="3">
        <v>5705</v>
      </c>
      <c r="G405" s="3">
        <v>5</v>
      </c>
      <c r="H405" s="3">
        <v>0.51200000000000001</v>
      </c>
      <c r="I405" s="6">
        <v>0.4821897339274025</v>
      </c>
      <c r="J405" s="6">
        <v>0.48835206730897557</v>
      </c>
      <c r="K405" s="11">
        <v>0.48417805054497703</v>
      </c>
      <c r="L405" s="7">
        <v>185</v>
      </c>
      <c r="M405" s="7">
        <v>177</v>
      </c>
      <c r="N405" s="7">
        <v>181</v>
      </c>
      <c r="O405" s="7"/>
    </row>
    <row r="406" spans="2:15" x14ac:dyDescent="0.25">
      <c r="B406" s="3">
        <v>70</v>
      </c>
      <c r="C406" s="3" t="s">
        <v>144</v>
      </c>
      <c r="D406" s="3" t="s">
        <v>145</v>
      </c>
      <c r="E406" s="3" t="s">
        <v>95</v>
      </c>
      <c r="F406" s="3">
        <v>5501</v>
      </c>
      <c r="G406" s="3">
        <v>5</v>
      </c>
      <c r="H406" s="3">
        <v>0.57099999999999995</v>
      </c>
      <c r="I406" s="6">
        <v>0.60389687002269454</v>
      </c>
      <c r="J406" s="6">
        <v>0.62060337907200491</v>
      </c>
      <c r="K406" s="11">
        <v>0.61146801704683706</v>
      </c>
      <c r="L406" s="7">
        <v>54</v>
      </c>
      <c r="M406" s="7">
        <v>45</v>
      </c>
      <c r="N406" s="7">
        <v>53</v>
      </c>
      <c r="O406" s="7"/>
    </row>
    <row r="407" spans="2:15" x14ac:dyDescent="0.25">
      <c r="B407" s="3">
        <v>71</v>
      </c>
      <c r="C407" s="3" t="s">
        <v>146</v>
      </c>
      <c r="D407" s="3" t="s">
        <v>147</v>
      </c>
      <c r="E407" s="3" t="s">
        <v>95</v>
      </c>
      <c r="F407" s="3">
        <v>5801</v>
      </c>
      <c r="G407" s="3">
        <v>5</v>
      </c>
      <c r="H407" s="3">
        <v>0.60299999999999998</v>
      </c>
      <c r="I407" s="6">
        <v>0.66712842166949626</v>
      </c>
      <c r="J407" s="6">
        <v>0.6844088365015365</v>
      </c>
      <c r="K407" s="11">
        <v>0.68012828172878004</v>
      </c>
      <c r="L407" s="7">
        <v>21</v>
      </c>
      <c r="M407" s="7">
        <v>16</v>
      </c>
      <c r="N407" s="7">
        <v>17</v>
      </c>
      <c r="O407" s="7"/>
    </row>
    <row r="408" spans="2:15" x14ac:dyDescent="0.25">
      <c r="B408" s="3">
        <v>72</v>
      </c>
      <c r="C408" s="3" t="s">
        <v>148</v>
      </c>
      <c r="D408" s="3" t="s">
        <v>149</v>
      </c>
      <c r="E408" s="3" t="s">
        <v>95</v>
      </c>
      <c r="F408" s="3">
        <v>5107</v>
      </c>
      <c r="G408" s="3">
        <v>5</v>
      </c>
      <c r="H408" s="3">
        <v>0.53500000000000003</v>
      </c>
      <c r="I408" s="6">
        <v>0.57557326863139679</v>
      </c>
      <c r="J408" s="6">
        <v>0.57883980693631143</v>
      </c>
      <c r="K408" s="11">
        <v>0.57740643832646743</v>
      </c>
      <c r="L408" s="7">
        <v>84</v>
      </c>
      <c r="M408" s="7">
        <v>84</v>
      </c>
      <c r="N408" s="7">
        <v>89</v>
      </c>
      <c r="O408" s="7"/>
    </row>
    <row r="409" spans="2:15" x14ac:dyDescent="0.25">
      <c r="B409" s="3">
        <v>73</v>
      </c>
      <c r="C409" s="3" t="s">
        <v>150</v>
      </c>
      <c r="D409" s="3" t="s">
        <v>151</v>
      </c>
      <c r="E409" s="3" t="s">
        <v>95</v>
      </c>
      <c r="F409" s="3">
        <v>5303</v>
      </c>
      <c r="G409" s="3">
        <v>5</v>
      </c>
      <c r="H409" s="3">
        <v>0.47799999999999998</v>
      </c>
      <c r="I409" s="6">
        <v>0.56681105096292006</v>
      </c>
      <c r="J409" s="6">
        <v>0.57303931080635395</v>
      </c>
      <c r="K409" s="11">
        <v>0.55843513917074672</v>
      </c>
      <c r="L409" s="7">
        <v>95</v>
      </c>
      <c r="M409" s="7">
        <v>92</v>
      </c>
      <c r="N409" s="7">
        <v>103</v>
      </c>
      <c r="O409" s="7"/>
    </row>
    <row r="410" spans="2:15" x14ac:dyDescent="0.25">
      <c r="B410" s="3">
        <v>74</v>
      </c>
      <c r="C410" s="3" t="s">
        <v>152</v>
      </c>
      <c r="D410" s="3" t="s">
        <v>153</v>
      </c>
      <c r="E410" s="3" t="s">
        <v>95</v>
      </c>
      <c r="F410" s="3">
        <v>5601</v>
      </c>
      <c r="G410" s="3">
        <v>5</v>
      </c>
      <c r="H410" s="3">
        <v>0.498</v>
      </c>
      <c r="I410" s="6">
        <v>0.5790110740148029</v>
      </c>
      <c r="J410" s="6">
        <v>0.59740139455217522</v>
      </c>
      <c r="K410" s="11">
        <v>0.58378898764046505</v>
      </c>
      <c r="L410" s="7">
        <v>76</v>
      </c>
      <c r="M410" s="7">
        <v>61</v>
      </c>
      <c r="N410" s="7">
        <v>83</v>
      </c>
      <c r="O410" s="7"/>
    </row>
    <row r="411" spans="2:15" x14ac:dyDescent="0.25">
      <c r="B411" s="3">
        <v>75</v>
      </c>
      <c r="C411" s="3" t="s">
        <v>154</v>
      </c>
      <c r="D411" s="3" t="s">
        <v>155</v>
      </c>
      <c r="E411" s="3" t="s">
        <v>95</v>
      </c>
      <c r="F411" s="3">
        <v>5304</v>
      </c>
      <c r="G411" s="3">
        <v>5</v>
      </c>
      <c r="H411" s="3">
        <v>0.48899999999999999</v>
      </c>
      <c r="I411" s="6">
        <v>0.52419612082540434</v>
      </c>
      <c r="J411" s="6">
        <v>0.52779544099268605</v>
      </c>
      <c r="K411" s="11">
        <v>0.52824387933401107</v>
      </c>
      <c r="L411" s="7">
        <v>132</v>
      </c>
      <c r="M411" s="7">
        <v>130</v>
      </c>
      <c r="N411" s="7">
        <v>128</v>
      </c>
      <c r="O411" s="7"/>
    </row>
    <row r="412" spans="2:15" x14ac:dyDescent="0.25">
      <c r="B412" s="3">
        <v>76</v>
      </c>
      <c r="C412" s="3" t="s">
        <v>156</v>
      </c>
      <c r="D412" s="3" t="s">
        <v>157</v>
      </c>
      <c r="E412" s="3" t="s">
        <v>95</v>
      </c>
      <c r="F412" s="3">
        <v>5701</v>
      </c>
      <c r="G412" s="3">
        <v>5</v>
      </c>
      <c r="H412" s="3">
        <v>0.55100000000000005</v>
      </c>
      <c r="I412" s="6">
        <v>0.57070472720566534</v>
      </c>
      <c r="J412" s="6">
        <v>0.57767970771031996</v>
      </c>
      <c r="K412" s="11">
        <v>0.57829060595781234</v>
      </c>
      <c r="L412" s="7">
        <v>89</v>
      </c>
      <c r="M412" s="7">
        <v>83</v>
      </c>
      <c r="N412" s="7">
        <v>88</v>
      </c>
      <c r="O412" s="7"/>
    </row>
    <row r="413" spans="2:15" x14ac:dyDescent="0.25">
      <c r="B413" s="3">
        <v>77</v>
      </c>
      <c r="C413" s="3" t="s">
        <v>158</v>
      </c>
      <c r="D413" s="3" t="s">
        <v>159</v>
      </c>
      <c r="E413" s="3" t="s">
        <v>95</v>
      </c>
      <c r="F413" s="3">
        <v>5706</v>
      </c>
      <c r="G413" s="3">
        <v>5</v>
      </c>
      <c r="H413" s="3">
        <v>0.45400000000000001</v>
      </c>
      <c r="I413" s="6">
        <v>0.45581441041643433</v>
      </c>
      <c r="J413" s="6">
        <v>0.44542839594729061</v>
      </c>
      <c r="K413" s="11">
        <v>0.45127535425556459</v>
      </c>
      <c r="L413" s="7">
        <v>211</v>
      </c>
      <c r="M413" s="7">
        <v>225</v>
      </c>
      <c r="N413" s="7">
        <v>219</v>
      </c>
      <c r="O413" s="7"/>
    </row>
    <row r="414" spans="2:15" x14ac:dyDescent="0.25">
      <c r="B414" s="3">
        <v>78</v>
      </c>
      <c r="C414" s="3" t="s">
        <v>160</v>
      </c>
      <c r="D414" s="3" t="s">
        <v>161</v>
      </c>
      <c r="E414" s="3" t="s">
        <v>95</v>
      </c>
      <c r="F414" s="3">
        <v>5606</v>
      </c>
      <c r="G414" s="3">
        <v>5</v>
      </c>
      <c r="H414" s="3">
        <v>0.67800000000000005</v>
      </c>
      <c r="I414" s="6">
        <v>0.67458965160451245</v>
      </c>
      <c r="J414" s="6">
        <v>0.71805171405528967</v>
      </c>
      <c r="K414" s="11">
        <v>0.67346017924651425</v>
      </c>
      <c r="L414" s="7">
        <v>18</v>
      </c>
      <c r="M414" s="7">
        <v>8</v>
      </c>
      <c r="N414" s="7">
        <v>18</v>
      </c>
      <c r="O414" s="7"/>
    </row>
    <row r="415" spans="2:15" x14ac:dyDescent="0.25">
      <c r="B415" s="3">
        <v>79</v>
      </c>
      <c r="C415" s="3" t="s">
        <v>95</v>
      </c>
      <c r="D415" s="3" t="s">
        <v>162</v>
      </c>
      <c r="E415" s="3" t="s">
        <v>95</v>
      </c>
      <c r="F415" s="3">
        <v>5101</v>
      </c>
      <c r="G415" s="3">
        <v>5</v>
      </c>
      <c r="H415" s="3">
        <v>0.61599999999999999</v>
      </c>
      <c r="I415" s="6">
        <v>0.62931650249372106</v>
      </c>
      <c r="J415" s="6">
        <v>0.62756397442795375</v>
      </c>
      <c r="K415" s="11">
        <v>0.64179296895595395</v>
      </c>
      <c r="L415" s="7">
        <v>36</v>
      </c>
      <c r="M415" s="7">
        <v>37</v>
      </c>
      <c r="N415" s="7">
        <v>32</v>
      </c>
      <c r="O415" s="7"/>
    </row>
    <row r="416" spans="2:15" x14ac:dyDescent="0.25">
      <c r="B416" s="3">
        <v>80</v>
      </c>
      <c r="C416" s="3" t="s">
        <v>163</v>
      </c>
      <c r="D416" s="3" t="s">
        <v>164</v>
      </c>
      <c r="E416" s="3" t="s">
        <v>95</v>
      </c>
      <c r="F416" s="3">
        <v>5804</v>
      </c>
      <c r="G416" s="3">
        <v>5</v>
      </c>
      <c r="H416" s="3">
        <v>0.54500000000000004</v>
      </c>
      <c r="I416" s="6">
        <v>0.6354552169408042</v>
      </c>
      <c r="J416" s="6">
        <v>0.65540635585174944</v>
      </c>
      <c r="K416" s="11">
        <v>0.64755947736997865</v>
      </c>
      <c r="L416" s="7">
        <v>33</v>
      </c>
      <c r="M416" s="7">
        <v>24</v>
      </c>
      <c r="N416" s="7">
        <v>29</v>
      </c>
      <c r="O416" s="7"/>
    </row>
    <row r="417" spans="2:15" x14ac:dyDescent="0.25">
      <c r="B417" s="3">
        <v>81</v>
      </c>
      <c r="C417" s="3" t="s">
        <v>165</v>
      </c>
      <c r="D417" s="3" t="s">
        <v>166</v>
      </c>
      <c r="E417" s="3" t="s">
        <v>95</v>
      </c>
      <c r="F417" s="3">
        <v>5109</v>
      </c>
      <c r="G417" s="3">
        <v>5</v>
      </c>
      <c r="H417" s="3">
        <v>0.64300000000000002</v>
      </c>
      <c r="I417" s="6">
        <v>0.6836950485708233</v>
      </c>
      <c r="J417" s="6">
        <v>0.68788913417951103</v>
      </c>
      <c r="K417" s="11">
        <v>0.69801446420881053</v>
      </c>
      <c r="L417" s="7">
        <v>13</v>
      </c>
      <c r="M417" s="7">
        <v>15</v>
      </c>
      <c r="N417" s="7">
        <v>12</v>
      </c>
      <c r="O417" s="7"/>
    </row>
    <row r="418" spans="2:15" x14ac:dyDescent="0.25">
      <c r="B418" s="3">
        <v>82</v>
      </c>
      <c r="C418" s="3" t="s">
        <v>167</v>
      </c>
      <c r="D418" s="3" t="s">
        <v>168</v>
      </c>
      <c r="E418" s="3" t="s">
        <v>95</v>
      </c>
      <c r="F418" s="3">
        <v>5405</v>
      </c>
      <c r="G418" s="3">
        <v>5</v>
      </c>
      <c r="H418" s="3">
        <v>0.60699999999999998</v>
      </c>
      <c r="I418" s="6">
        <v>0.66620439810554244</v>
      </c>
      <c r="J418" s="6">
        <v>0.6298841728799367</v>
      </c>
      <c r="K418" s="11">
        <v>0.62094542204983272</v>
      </c>
      <c r="L418" s="7">
        <v>22</v>
      </c>
      <c r="M418" s="7">
        <v>36</v>
      </c>
      <c r="N418" s="7">
        <v>43</v>
      </c>
      <c r="O418" s="7"/>
    </row>
    <row r="419" spans="2:15" x14ac:dyDescent="0.25">
      <c r="B419" s="3">
        <v>83</v>
      </c>
      <c r="C419" s="3" t="s">
        <v>169</v>
      </c>
      <c r="D419" s="3" t="s">
        <v>170</v>
      </c>
      <c r="E419" s="3" t="s">
        <v>704</v>
      </c>
      <c r="F419" s="3">
        <v>6302</v>
      </c>
      <c r="G419" s="3">
        <v>6</v>
      </c>
      <c r="H419" s="3">
        <v>0.53600000000000003</v>
      </c>
      <c r="I419" s="6">
        <v>0.39936489585149998</v>
      </c>
      <c r="J419" s="6">
        <v>0.40830522071556308</v>
      </c>
      <c r="K419" s="11">
        <v>0.40713430844246346</v>
      </c>
      <c r="L419" s="7">
        <v>286</v>
      </c>
      <c r="M419" s="7">
        <v>271</v>
      </c>
      <c r="N419" s="7">
        <v>266</v>
      </c>
      <c r="O419" s="7"/>
    </row>
    <row r="420" spans="2:15" x14ac:dyDescent="0.25">
      <c r="B420" s="3">
        <v>84</v>
      </c>
      <c r="C420" s="3" t="s">
        <v>172</v>
      </c>
      <c r="D420" s="3" t="s">
        <v>173</v>
      </c>
      <c r="E420" s="3" t="s">
        <v>704</v>
      </c>
      <c r="F420" s="3">
        <v>6303</v>
      </c>
      <c r="G420" s="3">
        <v>6</v>
      </c>
      <c r="H420" s="3">
        <v>0.48199999999999998</v>
      </c>
      <c r="I420" s="6">
        <v>0.4285317950150877</v>
      </c>
      <c r="J420" s="6">
        <v>0.43962789981733319</v>
      </c>
      <c r="K420" s="11">
        <v>0.43676574143558644</v>
      </c>
      <c r="L420" s="7">
        <v>243</v>
      </c>
      <c r="M420" s="7">
        <v>231</v>
      </c>
      <c r="N420" s="7">
        <v>238</v>
      </c>
      <c r="O420" s="7"/>
    </row>
    <row r="421" spans="2:15" x14ac:dyDescent="0.25">
      <c r="B421" s="3">
        <v>85</v>
      </c>
      <c r="C421" s="3" t="s">
        <v>174</v>
      </c>
      <c r="D421" s="3" t="s">
        <v>175</v>
      </c>
      <c r="E421" s="3" t="s">
        <v>704</v>
      </c>
      <c r="F421" s="3">
        <v>6102</v>
      </c>
      <c r="G421" s="3">
        <v>6</v>
      </c>
      <c r="H421" s="3">
        <v>0.46899999999999997</v>
      </c>
      <c r="I421" s="6">
        <v>0.43377150307315676</v>
      </c>
      <c r="J421" s="6">
        <v>0.44310819749530761</v>
      </c>
      <c r="K421" s="11">
        <v>0.44189643709518989</v>
      </c>
      <c r="L421" s="7">
        <v>240</v>
      </c>
      <c r="M421" s="7">
        <v>230</v>
      </c>
      <c r="N421" s="7">
        <v>230</v>
      </c>
      <c r="O421" s="7"/>
    </row>
    <row r="422" spans="2:15" x14ac:dyDescent="0.25">
      <c r="B422" s="3">
        <v>87</v>
      </c>
      <c r="C422" s="3" t="s">
        <v>178</v>
      </c>
      <c r="D422" s="3" t="s">
        <v>179</v>
      </c>
      <c r="E422" s="3" t="s">
        <v>704</v>
      </c>
      <c r="F422" s="3">
        <v>6104</v>
      </c>
      <c r="G422" s="3">
        <v>6</v>
      </c>
      <c r="H422" s="3">
        <v>0.497</v>
      </c>
      <c r="I422" s="6">
        <v>0.49786296235263905</v>
      </c>
      <c r="J422" s="6">
        <v>0.49531266266492446</v>
      </c>
      <c r="K422" s="11">
        <v>0.49039173635332772</v>
      </c>
      <c r="L422" s="7">
        <v>164</v>
      </c>
      <c r="M422" s="7">
        <v>168</v>
      </c>
      <c r="N422" s="7">
        <v>171</v>
      </c>
      <c r="O422" s="7"/>
    </row>
    <row r="423" spans="2:15" x14ac:dyDescent="0.25">
      <c r="B423" s="3">
        <v>88</v>
      </c>
      <c r="C423" s="3" t="s">
        <v>180</v>
      </c>
      <c r="D423" s="3" t="s">
        <v>181</v>
      </c>
      <c r="E423" s="3" t="s">
        <v>704</v>
      </c>
      <c r="F423" s="3">
        <v>6105</v>
      </c>
      <c r="G423" s="3">
        <v>6</v>
      </c>
      <c r="H423" s="3">
        <v>0.54700000000000004</v>
      </c>
      <c r="I423" s="6">
        <v>0.51531338479338851</v>
      </c>
      <c r="J423" s="6">
        <v>0.51271415105479679</v>
      </c>
      <c r="K423" s="11">
        <v>0.51367714939376385</v>
      </c>
      <c r="L423" s="7">
        <v>137</v>
      </c>
      <c r="M423" s="7">
        <v>147</v>
      </c>
      <c r="N423" s="7">
        <v>144</v>
      </c>
      <c r="O423" s="7"/>
    </row>
    <row r="424" spans="2:15" x14ac:dyDescent="0.25">
      <c r="B424" s="3">
        <v>89</v>
      </c>
      <c r="C424" s="3" t="s">
        <v>182</v>
      </c>
      <c r="D424" s="3" t="s">
        <v>183</v>
      </c>
      <c r="E424" s="3" t="s">
        <v>704</v>
      </c>
      <c r="F424" s="3">
        <v>6106</v>
      </c>
      <c r="G424" s="3">
        <v>6</v>
      </c>
      <c r="H424" s="3">
        <v>0.41599999999999998</v>
      </c>
      <c r="I424" s="6">
        <v>0.58393426457689601</v>
      </c>
      <c r="J424" s="6">
        <v>0.59276099764820922</v>
      </c>
      <c r="K424" s="11">
        <v>0.5882925023429888</v>
      </c>
      <c r="L424" s="7">
        <v>73</v>
      </c>
      <c r="M424" s="7">
        <v>63</v>
      </c>
      <c r="N424" s="7">
        <v>74</v>
      </c>
      <c r="O424" s="7"/>
    </row>
    <row r="425" spans="2:15" x14ac:dyDescent="0.25">
      <c r="B425" s="3">
        <v>91</v>
      </c>
      <c r="C425" s="3" t="s">
        <v>186</v>
      </c>
      <c r="D425" s="3" t="s">
        <v>187</v>
      </c>
      <c r="E425" s="3" t="s">
        <v>704</v>
      </c>
      <c r="F425" s="3">
        <v>6107</v>
      </c>
      <c r="G425" s="3">
        <v>6</v>
      </c>
      <c r="H425" s="3">
        <v>0.44400000000000001</v>
      </c>
      <c r="I425" s="6">
        <v>0.40160686336342488</v>
      </c>
      <c r="J425" s="6">
        <v>0.40946531994155455</v>
      </c>
      <c r="K425" s="11">
        <v>0.40634261995636728</v>
      </c>
      <c r="L425" s="7">
        <v>284</v>
      </c>
      <c r="M425" s="7">
        <v>269</v>
      </c>
      <c r="N425" s="7">
        <v>269</v>
      </c>
      <c r="O425" s="7"/>
    </row>
    <row r="426" spans="2:15" x14ac:dyDescent="0.25">
      <c r="B426" s="3">
        <v>92</v>
      </c>
      <c r="C426" s="3" t="s">
        <v>188</v>
      </c>
      <c r="D426" s="3" t="s">
        <v>189</v>
      </c>
      <c r="E426" s="3" t="s">
        <v>704</v>
      </c>
      <c r="F426" s="3">
        <v>6203</v>
      </c>
      <c r="G426" s="3">
        <v>6</v>
      </c>
      <c r="H426" s="3">
        <v>0.45</v>
      </c>
      <c r="I426" s="6">
        <v>0.42242304589383278</v>
      </c>
      <c r="J426" s="6">
        <v>0.43498750291336724</v>
      </c>
      <c r="K426" s="11">
        <v>0.4104087839890288</v>
      </c>
      <c r="L426" s="7">
        <v>253</v>
      </c>
      <c r="M426" s="7">
        <v>237</v>
      </c>
      <c r="N426" s="7">
        <v>261</v>
      </c>
      <c r="O426" s="7"/>
    </row>
    <row r="427" spans="2:15" x14ac:dyDescent="0.25">
      <c r="B427" s="3">
        <v>93</v>
      </c>
      <c r="C427" s="3" t="s">
        <v>190</v>
      </c>
      <c r="D427" s="3" t="s">
        <v>191</v>
      </c>
      <c r="E427" s="3" t="s">
        <v>704</v>
      </c>
      <c r="F427" s="3">
        <v>6304</v>
      </c>
      <c r="G427" s="3">
        <v>6</v>
      </c>
      <c r="H427" s="3">
        <v>0.45800000000000002</v>
      </c>
      <c r="I427" s="6">
        <v>0.40734315589324671</v>
      </c>
      <c r="J427" s="6">
        <v>0.4164259152975035</v>
      </c>
      <c r="K427" s="11">
        <v>0.40950943709177712</v>
      </c>
      <c r="L427" s="7">
        <v>272</v>
      </c>
      <c r="M427" s="7">
        <v>256</v>
      </c>
      <c r="N427" s="7">
        <v>262</v>
      </c>
      <c r="O427" s="7"/>
    </row>
    <row r="428" spans="2:15" x14ac:dyDescent="0.25">
      <c r="B428" s="3">
        <v>94</v>
      </c>
      <c r="C428" s="3" t="s">
        <v>192</v>
      </c>
      <c r="D428" s="3" t="s">
        <v>193</v>
      </c>
      <c r="E428" s="3" t="s">
        <v>704</v>
      </c>
      <c r="F428" s="3">
        <v>6108</v>
      </c>
      <c r="G428" s="3">
        <v>6</v>
      </c>
      <c r="H428" s="3">
        <v>0.55800000000000005</v>
      </c>
      <c r="I428" s="6">
        <v>0.61427962065772657</v>
      </c>
      <c r="J428" s="6">
        <v>0.62756397442795375</v>
      </c>
      <c r="K428" s="11">
        <v>0.62043424989288487</v>
      </c>
      <c r="L428" s="7">
        <v>44</v>
      </c>
      <c r="M428" s="7">
        <v>40</v>
      </c>
      <c r="N428" s="7">
        <v>44</v>
      </c>
      <c r="O428" s="7"/>
    </row>
    <row r="429" spans="2:15" x14ac:dyDescent="0.25">
      <c r="B429" s="3">
        <v>95</v>
      </c>
      <c r="C429" s="3" t="s">
        <v>194</v>
      </c>
      <c r="D429" s="3" t="s">
        <v>195</v>
      </c>
      <c r="E429" s="3" t="s">
        <v>704</v>
      </c>
      <c r="F429" s="3">
        <v>6109</v>
      </c>
      <c r="G429" s="3">
        <v>6</v>
      </c>
      <c r="H429" s="3">
        <v>0.52</v>
      </c>
      <c r="I429" s="6">
        <v>0.41188379669988306</v>
      </c>
      <c r="J429" s="6">
        <v>0.41294561761952903</v>
      </c>
      <c r="K429" s="11">
        <v>0.41248883778831291</v>
      </c>
      <c r="L429" s="7">
        <v>267</v>
      </c>
      <c r="M429" s="7">
        <v>262</v>
      </c>
      <c r="N429" s="7">
        <v>257</v>
      </c>
      <c r="O429" s="7"/>
    </row>
    <row r="430" spans="2:15" x14ac:dyDescent="0.25">
      <c r="B430" s="3">
        <v>96</v>
      </c>
      <c r="C430" s="3" t="s">
        <v>196</v>
      </c>
      <c r="D430" s="3" t="s">
        <v>197</v>
      </c>
      <c r="E430" s="3" t="s">
        <v>704</v>
      </c>
      <c r="F430" s="3">
        <v>6204</v>
      </c>
      <c r="G430" s="3">
        <v>6</v>
      </c>
      <c r="H430" s="3">
        <v>0.374</v>
      </c>
      <c r="I430" s="6">
        <v>0.38540677050336836</v>
      </c>
      <c r="J430" s="6">
        <v>0.39090373232569076</v>
      </c>
      <c r="K430" s="11">
        <v>0.3833023510073717</v>
      </c>
      <c r="L430" s="7">
        <v>303</v>
      </c>
      <c r="M430" s="7">
        <v>293</v>
      </c>
      <c r="N430" s="7">
        <v>307</v>
      </c>
      <c r="O430" s="7"/>
    </row>
    <row r="431" spans="2:15" x14ac:dyDescent="0.25">
      <c r="B431" s="3">
        <v>97</v>
      </c>
      <c r="C431" s="3" t="s">
        <v>198</v>
      </c>
      <c r="D431" s="3" t="s">
        <v>199</v>
      </c>
      <c r="E431" s="3" t="s">
        <v>704</v>
      </c>
      <c r="F431" s="3">
        <v>6110</v>
      </c>
      <c r="G431" s="3">
        <v>6</v>
      </c>
      <c r="H431" s="3">
        <v>0.47399999999999998</v>
      </c>
      <c r="I431" s="6">
        <v>0.50837830409337958</v>
      </c>
      <c r="J431" s="6">
        <v>0.51967474641074562</v>
      </c>
      <c r="K431" s="11">
        <v>0.51418661155467893</v>
      </c>
      <c r="L431" s="7">
        <v>155</v>
      </c>
      <c r="M431" s="7">
        <v>137</v>
      </c>
      <c r="N431" s="7">
        <v>143</v>
      </c>
      <c r="O431" s="7"/>
    </row>
    <row r="432" spans="2:15" x14ac:dyDescent="0.25">
      <c r="B432" s="3">
        <v>98</v>
      </c>
      <c r="C432" s="3" t="s">
        <v>200</v>
      </c>
      <c r="D432" s="3" t="s">
        <v>201</v>
      </c>
      <c r="E432" s="3" t="s">
        <v>704</v>
      </c>
      <c r="F432" s="3">
        <v>6305</v>
      </c>
      <c r="G432" s="3">
        <v>6</v>
      </c>
      <c r="H432" s="3">
        <v>0.45900000000000002</v>
      </c>
      <c r="I432" s="6">
        <v>0.4438192040645037</v>
      </c>
      <c r="J432" s="6">
        <v>0.45238899130323951</v>
      </c>
      <c r="K432" s="11">
        <v>0.45133667822809098</v>
      </c>
      <c r="L432" s="7">
        <v>228</v>
      </c>
      <c r="M432" s="7">
        <v>217</v>
      </c>
      <c r="N432" s="7">
        <v>218</v>
      </c>
      <c r="O432" s="7"/>
    </row>
    <row r="433" spans="2:15" x14ac:dyDescent="0.25">
      <c r="B433" s="3">
        <v>99</v>
      </c>
      <c r="C433" s="3" t="s">
        <v>202</v>
      </c>
      <c r="D433" s="3" t="s">
        <v>203</v>
      </c>
      <c r="E433" s="3" t="s">
        <v>704</v>
      </c>
      <c r="F433" s="3">
        <v>6205</v>
      </c>
      <c r="G433" s="3">
        <v>6</v>
      </c>
      <c r="H433" s="3">
        <v>0.47099999999999997</v>
      </c>
      <c r="I433" s="6">
        <v>0.50909029136055273</v>
      </c>
      <c r="J433" s="6">
        <v>0.51503434950677973</v>
      </c>
      <c r="K433" s="11">
        <v>0.4708399380699963</v>
      </c>
      <c r="L433" s="7">
        <v>152</v>
      </c>
      <c r="M433" s="7">
        <v>145</v>
      </c>
      <c r="N433" s="7">
        <v>197</v>
      </c>
      <c r="O433" s="7"/>
    </row>
    <row r="434" spans="2:15" x14ac:dyDescent="0.25">
      <c r="B434" s="3">
        <v>100</v>
      </c>
      <c r="C434" s="3" t="s">
        <v>204</v>
      </c>
      <c r="D434" s="3" t="s">
        <v>205</v>
      </c>
      <c r="E434" s="3" t="s">
        <v>704</v>
      </c>
      <c r="F434" s="3">
        <v>6111</v>
      </c>
      <c r="G434" s="3">
        <v>6</v>
      </c>
      <c r="H434" s="3">
        <v>0.55700000000000005</v>
      </c>
      <c r="I434" s="6">
        <v>0.4660490510541439</v>
      </c>
      <c r="J434" s="6">
        <v>0.46282988433716288</v>
      </c>
      <c r="K434" s="11">
        <v>0.46447542018832655</v>
      </c>
      <c r="L434" s="7">
        <v>201</v>
      </c>
      <c r="M434" s="7">
        <v>201</v>
      </c>
      <c r="N434" s="7">
        <v>200</v>
      </c>
      <c r="O434" s="7"/>
    </row>
    <row r="435" spans="2:15" x14ac:dyDescent="0.25">
      <c r="B435" s="3">
        <v>101</v>
      </c>
      <c r="C435" s="3" t="s">
        <v>206</v>
      </c>
      <c r="D435" s="3" t="s">
        <v>207</v>
      </c>
      <c r="E435" s="3" t="s">
        <v>704</v>
      </c>
      <c r="F435" s="3">
        <v>6306</v>
      </c>
      <c r="G435" s="3">
        <v>6</v>
      </c>
      <c r="H435" s="3">
        <v>0.44400000000000001</v>
      </c>
      <c r="I435" s="6">
        <v>0.36947654697892279</v>
      </c>
      <c r="J435" s="6">
        <v>0.37466234316181002</v>
      </c>
      <c r="K435" s="11">
        <v>0.37573594944210431</v>
      </c>
      <c r="L435" s="7">
        <v>319</v>
      </c>
      <c r="M435" s="7">
        <v>316</v>
      </c>
      <c r="N435" s="7">
        <v>314</v>
      </c>
      <c r="O435" s="7"/>
    </row>
    <row r="436" spans="2:15" x14ac:dyDescent="0.25">
      <c r="B436" s="3">
        <v>102</v>
      </c>
      <c r="C436" s="3" t="s">
        <v>208</v>
      </c>
      <c r="D436" s="3" t="s">
        <v>209</v>
      </c>
      <c r="E436" s="3" t="s">
        <v>704</v>
      </c>
      <c r="F436" s="3">
        <v>6206</v>
      </c>
      <c r="G436" s="3">
        <v>6</v>
      </c>
      <c r="H436" s="3">
        <v>0.498</v>
      </c>
      <c r="I436" s="6">
        <v>0.35331552977538372</v>
      </c>
      <c r="J436" s="6">
        <v>0.3572608547719377</v>
      </c>
      <c r="K436" s="11">
        <v>0.35599285300289474</v>
      </c>
      <c r="L436" s="7">
        <v>339</v>
      </c>
      <c r="M436" s="7">
        <v>333</v>
      </c>
      <c r="N436" s="7">
        <v>340</v>
      </c>
      <c r="O436" s="7"/>
    </row>
    <row r="437" spans="2:15" x14ac:dyDescent="0.25">
      <c r="B437" s="3">
        <v>103</v>
      </c>
      <c r="C437" s="3" t="s">
        <v>210</v>
      </c>
      <c r="D437" s="3" t="s">
        <v>211</v>
      </c>
      <c r="E437" s="3" t="s">
        <v>704</v>
      </c>
      <c r="F437" s="3">
        <v>6307</v>
      </c>
      <c r="G437" s="3">
        <v>6</v>
      </c>
      <c r="H437" s="3">
        <v>0.45300000000000001</v>
      </c>
      <c r="I437" s="6">
        <v>0.39097473026474472</v>
      </c>
      <c r="J437" s="6">
        <v>0.39438403000366529</v>
      </c>
      <c r="K437" s="11">
        <v>0.39107340841043237</v>
      </c>
      <c r="L437" s="7">
        <v>296</v>
      </c>
      <c r="M437" s="7">
        <v>289</v>
      </c>
      <c r="N437" s="7">
        <v>294</v>
      </c>
      <c r="O437" s="7"/>
    </row>
    <row r="438" spans="2:15" x14ac:dyDescent="0.25">
      <c r="B438" s="3">
        <v>104</v>
      </c>
      <c r="C438" s="3" t="s">
        <v>212</v>
      </c>
      <c r="D438" s="3" t="s">
        <v>213</v>
      </c>
      <c r="E438" s="3" t="s">
        <v>704</v>
      </c>
      <c r="F438" s="3">
        <v>6112</v>
      </c>
      <c r="G438" s="3">
        <v>6</v>
      </c>
      <c r="H438" s="3">
        <v>0.44800000000000001</v>
      </c>
      <c r="I438" s="6">
        <v>0.42947170963808518</v>
      </c>
      <c r="J438" s="6">
        <v>0.44542839594729061</v>
      </c>
      <c r="K438" s="11">
        <v>0.44592622482319616</v>
      </c>
      <c r="L438" s="7">
        <v>242</v>
      </c>
      <c r="M438" s="7">
        <v>224</v>
      </c>
      <c r="N438" s="7">
        <v>225</v>
      </c>
      <c r="O438" s="7"/>
    </row>
    <row r="439" spans="2:15" x14ac:dyDescent="0.25">
      <c r="B439" s="3">
        <v>105</v>
      </c>
      <c r="C439" s="3" t="s">
        <v>214</v>
      </c>
      <c r="D439" s="3" t="s">
        <v>215</v>
      </c>
      <c r="E439" s="3" t="s">
        <v>704</v>
      </c>
      <c r="F439" s="3">
        <v>6113</v>
      </c>
      <c r="G439" s="3">
        <v>6</v>
      </c>
      <c r="H439" s="3">
        <v>0.44</v>
      </c>
      <c r="I439" s="6">
        <v>0.41543307492317616</v>
      </c>
      <c r="J439" s="6">
        <v>0.41874611374948645</v>
      </c>
      <c r="K439" s="11">
        <v>0.41770887662865858</v>
      </c>
      <c r="L439" s="7">
        <v>264</v>
      </c>
      <c r="M439" s="7">
        <v>252</v>
      </c>
      <c r="N439" s="7">
        <v>252</v>
      </c>
      <c r="O439" s="7"/>
    </row>
    <row r="440" spans="2:15" x14ac:dyDescent="0.25">
      <c r="B440" s="3">
        <v>106</v>
      </c>
      <c r="C440" s="3" t="s">
        <v>216</v>
      </c>
      <c r="D440" s="3" t="s">
        <v>217</v>
      </c>
      <c r="E440" s="3" t="s">
        <v>704</v>
      </c>
      <c r="F440" s="3">
        <v>6201</v>
      </c>
      <c r="G440" s="3">
        <v>6</v>
      </c>
      <c r="H440" s="3">
        <v>0.56899999999999995</v>
      </c>
      <c r="I440" s="6">
        <v>0.59385752561713834</v>
      </c>
      <c r="J440" s="6">
        <v>0.62176347829799639</v>
      </c>
      <c r="K440" s="11">
        <v>0.58630514283564839</v>
      </c>
      <c r="L440" s="7">
        <v>61</v>
      </c>
      <c r="M440" s="7">
        <v>44</v>
      </c>
      <c r="N440" s="7">
        <v>79</v>
      </c>
      <c r="O440" s="7"/>
    </row>
    <row r="441" spans="2:15" x14ac:dyDescent="0.25">
      <c r="B441" s="3">
        <v>109</v>
      </c>
      <c r="C441" s="3" t="s">
        <v>222</v>
      </c>
      <c r="D441" s="3" t="s">
        <v>223</v>
      </c>
      <c r="E441" s="3" t="s">
        <v>704</v>
      </c>
      <c r="F441" s="3">
        <v>6114</v>
      </c>
      <c r="G441" s="3">
        <v>6</v>
      </c>
      <c r="H441" s="3">
        <v>0.503</v>
      </c>
      <c r="I441" s="6">
        <v>0.47688865051982271</v>
      </c>
      <c r="J441" s="6">
        <v>0.46747028124112883</v>
      </c>
      <c r="K441" s="11">
        <v>0.466143063925404</v>
      </c>
      <c r="L441" s="7">
        <v>192</v>
      </c>
      <c r="M441" s="7">
        <v>195</v>
      </c>
      <c r="N441" s="7">
        <v>198</v>
      </c>
      <c r="O441" s="7"/>
    </row>
    <row r="442" spans="2:15" x14ac:dyDescent="0.25">
      <c r="B442" s="3">
        <v>110</v>
      </c>
      <c r="C442" s="3" t="s">
        <v>224</v>
      </c>
      <c r="D442" s="3" t="s">
        <v>225</v>
      </c>
      <c r="E442" s="3" t="s">
        <v>704</v>
      </c>
      <c r="F442" s="3">
        <v>6101</v>
      </c>
      <c r="G442" s="3">
        <v>6</v>
      </c>
      <c r="H442" s="3">
        <v>0.59199999999999997</v>
      </c>
      <c r="I442" s="6">
        <v>0.62498825967120331</v>
      </c>
      <c r="J442" s="6">
        <v>0.64148516513985165</v>
      </c>
      <c r="K442" s="11">
        <v>0.63794424983256248</v>
      </c>
      <c r="L442" s="7">
        <v>40</v>
      </c>
      <c r="M442" s="7">
        <v>30</v>
      </c>
      <c r="N442" s="7">
        <v>36</v>
      </c>
      <c r="O442" s="7"/>
    </row>
    <row r="443" spans="2:15" x14ac:dyDescent="0.25">
      <c r="B443" s="3">
        <v>111</v>
      </c>
      <c r="C443" s="3" t="s">
        <v>226</v>
      </c>
      <c r="D443" s="3" t="s">
        <v>227</v>
      </c>
      <c r="E443" s="3" t="s">
        <v>704</v>
      </c>
      <c r="F443" s="3">
        <v>6115</v>
      </c>
      <c r="G443" s="3">
        <v>6</v>
      </c>
      <c r="H443" s="3">
        <v>0.57199999999999995</v>
      </c>
      <c r="I443" s="6">
        <v>0.56651000071968827</v>
      </c>
      <c r="J443" s="6">
        <v>0.57651960848432837</v>
      </c>
      <c r="K443" s="11">
        <v>0.56705828200167407</v>
      </c>
      <c r="L443" s="7">
        <v>96</v>
      </c>
      <c r="M443" s="7">
        <v>87</v>
      </c>
      <c r="N443" s="7">
        <v>95</v>
      </c>
      <c r="O443" s="7"/>
    </row>
    <row r="444" spans="2:15" x14ac:dyDescent="0.25">
      <c r="B444" s="3">
        <v>112</v>
      </c>
      <c r="C444" s="3" t="s">
        <v>228</v>
      </c>
      <c r="D444" s="3" t="s">
        <v>229</v>
      </c>
      <c r="E444" s="3" t="s">
        <v>704</v>
      </c>
      <c r="F444" s="3">
        <v>6116</v>
      </c>
      <c r="G444" s="3">
        <v>6</v>
      </c>
      <c r="H444" s="3">
        <v>0.53600000000000003</v>
      </c>
      <c r="I444" s="6">
        <v>0.45379711105716813</v>
      </c>
      <c r="J444" s="6">
        <v>0.45122889207724803</v>
      </c>
      <c r="K444" s="11">
        <v>0.45223628652277625</v>
      </c>
      <c r="L444" s="7">
        <v>217</v>
      </c>
      <c r="M444" s="7">
        <v>220</v>
      </c>
      <c r="N444" s="7">
        <v>215</v>
      </c>
      <c r="O444" s="7"/>
    </row>
    <row r="445" spans="2:15" x14ac:dyDescent="0.25">
      <c r="B445" s="3">
        <v>113</v>
      </c>
      <c r="C445" s="3" t="s">
        <v>230</v>
      </c>
      <c r="D445" s="3" t="s">
        <v>231</v>
      </c>
      <c r="E445" s="3" t="s">
        <v>704</v>
      </c>
      <c r="F445" s="3">
        <v>6301</v>
      </c>
      <c r="G445" s="3">
        <v>6</v>
      </c>
      <c r="H445" s="3">
        <v>0.58099999999999996</v>
      </c>
      <c r="I445" s="6">
        <v>0.56588876294550527</v>
      </c>
      <c r="J445" s="6">
        <v>0.5799999061623029</v>
      </c>
      <c r="K445" s="11">
        <v>0.57961519731183297</v>
      </c>
      <c r="L445" s="7">
        <v>97</v>
      </c>
      <c r="M445" s="7">
        <v>80</v>
      </c>
      <c r="N445" s="7">
        <v>87</v>
      </c>
      <c r="O445" s="7"/>
    </row>
    <row r="446" spans="2:15" x14ac:dyDescent="0.25">
      <c r="B446" s="3">
        <v>114</v>
      </c>
      <c r="C446" s="3" t="s">
        <v>232</v>
      </c>
      <c r="D446" s="3" t="s">
        <v>233</v>
      </c>
      <c r="E446" s="3" t="s">
        <v>704</v>
      </c>
      <c r="F446" s="3">
        <v>6117</v>
      </c>
      <c r="G446" s="3">
        <v>6</v>
      </c>
      <c r="H446" s="3">
        <v>0.505</v>
      </c>
      <c r="I446" s="6">
        <v>0.46777093194241093</v>
      </c>
      <c r="J446" s="6">
        <v>0.4779111742750522</v>
      </c>
      <c r="K446" s="11">
        <v>0.47611100471776491</v>
      </c>
      <c r="L446" s="7">
        <v>200</v>
      </c>
      <c r="M446" s="7">
        <v>189</v>
      </c>
      <c r="N446" s="7">
        <v>194</v>
      </c>
      <c r="O446" s="7"/>
    </row>
    <row r="447" spans="2:15" x14ac:dyDescent="0.25">
      <c r="B447" s="3">
        <v>115</v>
      </c>
      <c r="C447" s="3" t="s">
        <v>234</v>
      </c>
      <c r="D447" s="3" t="s">
        <v>235</v>
      </c>
      <c r="E447" s="3" t="s">
        <v>704</v>
      </c>
      <c r="F447" s="3">
        <v>6310</v>
      </c>
      <c r="G447" s="3">
        <v>6</v>
      </c>
      <c r="H447" s="3">
        <v>0.502</v>
      </c>
      <c r="I447" s="6">
        <v>0.49784388991000739</v>
      </c>
      <c r="J447" s="6">
        <v>0.51503434950677973</v>
      </c>
      <c r="K447" s="11">
        <v>0.50894057062636289</v>
      </c>
      <c r="L447" s="7">
        <v>165</v>
      </c>
      <c r="M447" s="7">
        <v>144</v>
      </c>
      <c r="N447" s="7">
        <v>149</v>
      </c>
      <c r="O447" s="7"/>
    </row>
    <row r="448" spans="2:15" x14ac:dyDescent="0.25">
      <c r="B448" s="3">
        <v>116</v>
      </c>
      <c r="C448" s="3" t="s">
        <v>236</v>
      </c>
      <c r="D448" s="3" t="s">
        <v>237</v>
      </c>
      <c r="E448" s="3" t="s">
        <v>238</v>
      </c>
      <c r="F448" s="3">
        <v>7201</v>
      </c>
      <c r="G448" s="3">
        <v>7</v>
      </c>
      <c r="H448" s="3">
        <v>0.53700000000000003</v>
      </c>
      <c r="I448" s="6">
        <v>0.54269626435947482</v>
      </c>
      <c r="J448" s="6">
        <v>0.55215752473850721</v>
      </c>
      <c r="K448" s="11">
        <v>0.5464341793292703</v>
      </c>
      <c r="L448" s="7">
        <v>116</v>
      </c>
      <c r="M448" s="7">
        <v>108</v>
      </c>
      <c r="N448" s="7">
        <v>114</v>
      </c>
      <c r="O448" s="7"/>
    </row>
    <row r="449" spans="2:15" x14ac:dyDescent="0.25">
      <c r="B449" s="3">
        <v>117</v>
      </c>
      <c r="C449" s="3" t="s">
        <v>239</v>
      </c>
      <c r="D449" s="3" t="s">
        <v>240</v>
      </c>
      <c r="E449" s="3" t="s">
        <v>238</v>
      </c>
      <c r="F449" s="3">
        <v>7202</v>
      </c>
      <c r="G449" s="3">
        <v>7</v>
      </c>
      <c r="H449" s="3">
        <v>0.45300000000000001</v>
      </c>
      <c r="I449" s="6">
        <v>0.36829446995296422</v>
      </c>
      <c r="J449" s="6">
        <v>0.37466234316181002</v>
      </c>
      <c r="K449" s="11">
        <v>0.37419133924813414</v>
      </c>
      <c r="L449" s="7">
        <v>321</v>
      </c>
      <c r="M449" s="7">
        <v>315</v>
      </c>
      <c r="N449" s="7">
        <v>319</v>
      </c>
      <c r="O449" s="7"/>
    </row>
    <row r="450" spans="2:15" x14ac:dyDescent="0.25">
      <c r="B450" s="3">
        <v>118</v>
      </c>
      <c r="C450" s="3" t="s">
        <v>241</v>
      </c>
      <c r="D450" s="3" t="s">
        <v>242</v>
      </c>
      <c r="E450" s="3" t="s">
        <v>238</v>
      </c>
      <c r="F450" s="3">
        <v>7402</v>
      </c>
      <c r="G450" s="3">
        <v>7</v>
      </c>
      <c r="H450" s="3">
        <v>0.42499999999999999</v>
      </c>
      <c r="I450" s="6">
        <v>0.40569274755294371</v>
      </c>
      <c r="J450" s="6">
        <v>0.41526581607151197</v>
      </c>
      <c r="K450" s="11">
        <v>0.41403077271438304</v>
      </c>
      <c r="L450" s="7">
        <v>275</v>
      </c>
      <c r="M450" s="7">
        <v>260</v>
      </c>
      <c r="N450" s="7">
        <v>253</v>
      </c>
      <c r="O450" s="7"/>
    </row>
    <row r="451" spans="2:15" x14ac:dyDescent="0.25">
      <c r="B451" s="3">
        <v>119</v>
      </c>
      <c r="C451" s="3" t="s">
        <v>243</v>
      </c>
      <c r="D451" s="3" t="s">
        <v>244</v>
      </c>
      <c r="E451" s="3" t="s">
        <v>238</v>
      </c>
      <c r="F451" s="3">
        <v>7102</v>
      </c>
      <c r="G451" s="3">
        <v>7</v>
      </c>
      <c r="H451" s="3">
        <v>0.51700000000000002</v>
      </c>
      <c r="I451" s="6">
        <v>0.49431220127995568</v>
      </c>
      <c r="J451" s="6">
        <v>0.49647276189091594</v>
      </c>
      <c r="K451" s="11">
        <v>0.49887409144819511</v>
      </c>
      <c r="L451" s="7">
        <v>170</v>
      </c>
      <c r="M451" s="7">
        <v>166</v>
      </c>
      <c r="N451" s="7">
        <v>162</v>
      </c>
      <c r="O451" s="7"/>
    </row>
    <row r="452" spans="2:15" x14ac:dyDescent="0.25">
      <c r="B452" s="3">
        <v>120</v>
      </c>
      <c r="C452" s="3" t="s">
        <v>245</v>
      </c>
      <c r="D452" s="3" t="s">
        <v>246</v>
      </c>
      <c r="E452" s="3" t="s">
        <v>238</v>
      </c>
      <c r="F452" s="3">
        <v>7103</v>
      </c>
      <c r="G452" s="3">
        <v>7</v>
      </c>
      <c r="H452" s="3">
        <v>0.52600000000000002</v>
      </c>
      <c r="I452" s="6">
        <v>0.36909943284593566</v>
      </c>
      <c r="J452" s="6">
        <v>0.37582244238780149</v>
      </c>
      <c r="K452" s="11">
        <v>0.37392184020380165</v>
      </c>
      <c r="L452" s="7">
        <v>320</v>
      </c>
      <c r="M452" s="7">
        <v>311</v>
      </c>
      <c r="N452" s="7">
        <v>320</v>
      </c>
      <c r="O452" s="7"/>
    </row>
    <row r="453" spans="2:15" x14ac:dyDescent="0.25">
      <c r="B453" s="3">
        <v>121</v>
      </c>
      <c r="C453" s="3" t="s">
        <v>247</v>
      </c>
      <c r="D453" s="3" t="s">
        <v>248</v>
      </c>
      <c r="E453" s="3" t="s">
        <v>238</v>
      </c>
      <c r="F453" s="3">
        <v>7301</v>
      </c>
      <c r="G453" s="3">
        <v>7</v>
      </c>
      <c r="H453" s="3">
        <v>0.60199999999999998</v>
      </c>
      <c r="I453" s="6">
        <v>0.6086524851899322</v>
      </c>
      <c r="J453" s="6">
        <v>0.61480288294204744</v>
      </c>
      <c r="K453" s="11">
        <v>0.61226512527342047</v>
      </c>
      <c r="L453" s="7">
        <v>49</v>
      </c>
      <c r="M453" s="7">
        <v>49</v>
      </c>
      <c r="N453" s="7">
        <v>52</v>
      </c>
      <c r="O453" s="7"/>
    </row>
    <row r="454" spans="2:15" x14ac:dyDescent="0.25">
      <c r="B454" s="3">
        <v>122</v>
      </c>
      <c r="C454" s="3" t="s">
        <v>249</v>
      </c>
      <c r="D454" s="3" t="s">
        <v>250</v>
      </c>
      <c r="E454" s="3" t="s">
        <v>238</v>
      </c>
      <c r="F454" s="3">
        <v>7104</v>
      </c>
      <c r="G454" s="3">
        <v>7</v>
      </c>
      <c r="H454" s="3">
        <v>0.39400000000000002</v>
      </c>
      <c r="I454" s="6">
        <v>0.39019034393155472</v>
      </c>
      <c r="J454" s="6">
        <v>0.33985936638206543</v>
      </c>
      <c r="K454" s="11">
        <v>0.34281878548491151</v>
      </c>
      <c r="L454" s="7">
        <v>298</v>
      </c>
      <c r="M454" s="7">
        <v>345</v>
      </c>
      <c r="N454" s="7">
        <v>346</v>
      </c>
      <c r="O454" s="7"/>
    </row>
    <row r="455" spans="2:15" x14ac:dyDescent="0.25">
      <c r="B455" s="3">
        <v>123</v>
      </c>
      <c r="C455" s="3" t="s">
        <v>251</v>
      </c>
      <c r="D455" s="3" t="s">
        <v>252</v>
      </c>
      <c r="E455" s="3" t="s">
        <v>238</v>
      </c>
      <c r="F455" s="3">
        <v>7302</v>
      </c>
      <c r="G455" s="3">
        <v>7</v>
      </c>
      <c r="H455" s="3">
        <v>0.53300000000000003</v>
      </c>
      <c r="I455" s="6">
        <v>0.40371488184994042</v>
      </c>
      <c r="J455" s="6">
        <v>0.40250472458560566</v>
      </c>
      <c r="K455" s="11">
        <v>0.39747396824879266</v>
      </c>
      <c r="L455" s="7">
        <v>280</v>
      </c>
      <c r="M455" s="7">
        <v>275</v>
      </c>
      <c r="N455" s="7">
        <v>281</v>
      </c>
      <c r="O455" s="7"/>
    </row>
    <row r="456" spans="2:15" x14ac:dyDescent="0.25">
      <c r="B456" s="3">
        <v>124</v>
      </c>
      <c r="C456" s="3" t="s">
        <v>253</v>
      </c>
      <c r="D456" s="3" t="s">
        <v>254</v>
      </c>
      <c r="E456" s="3" t="s">
        <v>238</v>
      </c>
      <c r="F456" s="3">
        <v>7303</v>
      </c>
      <c r="G456" s="3">
        <v>7</v>
      </c>
      <c r="H456" s="3">
        <v>0.52600000000000002</v>
      </c>
      <c r="I456" s="6">
        <v>0.51092945282396729</v>
      </c>
      <c r="J456" s="6">
        <v>0.50459345647285636</v>
      </c>
      <c r="K456" s="11">
        <v>0.49741600378471279</v>
      </c>
      <c r="L456" s="7">
        <v>148</v>
      </c>
      <c r="M456" s="7">
        <v>153</v>
      </c>
      <c r="N456" s="7">
        <v>164</v>
      </c>
      <c r="O456" s="7"/>
    </row>
    <row r="457" spans="2:15" x14ac:dyDescent="0.25">
      <c r="B457" s="3">
        <v>125</v>
      </c>
      <c r="C457" s="3" t="s">
        <v>255</v>
      </c>
      <c r="D457" s="3" t="s">
        <v>256</v>
      </c>
      <c r="E457" s="3" t="s">
        <v>238</v>
      </c>
      <c r="F457" s="3">
        <v>7401</v>
      </c>
      <c r="G457" s="3">
        <v>7</v>
      </c>
      <c r="H457" s="3">
        <v>0.54700000000000004</v>
      </c>
      <c r="I457" s="6">
        <v>0.53086888552095812</v>
      </c>
      <c r="J457" s="6">
        <v>0.534756036348635</v>
      </c>
      <c r="K457" s="11">
        <v>0.53538449965140311</v>
      </c>
      <c r="L457" s="7">
        <v>126</v>
      </c>
      <c r="M457" s="7">
        <v>126</v>
      </c>
      <c r="N457" s="7">
        <v>122</v>
      </c>
      <c r="O457" s="7"/>
    </row>
    <row r="458" spans="2:15" x14ac:dyDescent="0.25">
      <c r="B458" s="3">
        <v>126</v>
      </c>
      <c r="C458" s="3" t="s">
        <v>257</v>
      </c>
      <c r="D458" s="3" t="s">
        <v>258</v>
      </c>
      <c r="E458" s="3" t="s">
        <v>238</v>
      </c>
      <c r="F458" s="3">
        <v>7403</v>
      </c>
      <c r="G458" s="3">
        <v>7</v>
      </c>
      <c r="H458" s="3">
        <v>0.42399999999999999</v>
      </c>
      <c r="I458" s="6">
        <v>0.44393154167458626</v>
      </c>
      <c r="J458" s="6">
        <v>0.39206383155168228</v>
      </c>
      <c r="K458" s="11">
        <v>0.3912161769102287</v>
      </c>
      <c r="L458" s="7">
        <v>227</v>
      </c>
      <c r="M458" s="7">
        <v>290</v>
      </c>
      <c r="N458" s="7">
        <v>293</v>
      </c>
      <c r="O458" s="7"/>
    </row>
    <row r="459" spans="2:15" x14ac:dyDescent="0.25">
      <c r="B459" s="3">
        <v>127</v>
      </c>
      <c r="C459" s="3" t="s">
        <v>238</v>
      </c>
      <c r="D459" s="3" t="s">
        <v>259</v>
      </c>
      <c r="E459" s="3" t="s">
        <v>238</v>
      </c>
      <c r="F459" s="3">
        <v>7105</v>
      </c>
      <c r="G459" s="3">
        <v>7</v>
      </c>
      <c r="H459" s="3">
        <v>0.44500000000000001</v>
      </c>
      <c r="I459" s="6">
        <v>0.4186838416300091</v>
      </c>
      <c r="J459" s="6">
        <v>0.41990621297547792</v>
      </c>
      <c r="K459" s="11">
        <v>0.42422662750051993</v>
      </c>
      <c r="L459" s="7">
        <v>255</v>
      </c>
      <c r="M459" s="7">
        <v>250</v>
      </c>
      <c r="N459" s="7">
        <v>244</v>
      </c>
      <c r="O459" s="7"/>
    </row>
    <row r="460" spans="2:15" x14ac:dyDescent="0.25">
      <c r="B460" s="3">
        <v>128</v>
      </c>
      <c r="C460" s="3" t="s">
        <v>260</v>
      </c>
      <c r="D460" s="3" t="s">
        <v>261</v>
      </c>
      <c r="E460" s="3" t="s">
        <v>238</v>
      </c>
      <c r="F460" s="3">
        <v>7304</v>
      </c>
      <c r="G460" s="3">
        <v>7</v>
      </c>
      <c r="H460" s="3">
        <v>0.51100000000000001</v>
      </c>
      <c r="I460" s="6">
        <v>0.45567005513591646</v>
      </c>
      <c r="J460" s="6">
        <v>0.46515008278914582</v>
      </c>
      <c r="K460" s="11">
        <v>0.46421203956506957</v>
      </c>
      <c r="L460" s="7">
        <v>212</v>
      </c>
      <c r="M460" s="7">
        <v>198</v>
      </c>
      <c r="N460" s="7">
        <v>201</v>
      </c>
      <c r="O460" s="7"/>
    </row>
    <row r="461" spans="2:15" x14ac:dyDescent="0.25">
      <c r="B461" s="3">
        <v>129</v>
      </c>
      <c r="C461" s="3" t="s">
        <v>262</v>
      </c>
      <c r="D461" s="3" t="s">
        <v>263</v>
      </c>
      <c r="E461" s="3" t="s">
        <v>238</v>
      </c>
      <c r="F461" s="3">
        <v>7404</v>
      </c>
      <c r="G461" s="3">
        <v>7</v>
      </c>
      <c r="H461" s="3">
        <v>0.52</v>
      </c>
      <c r="I461" s="6">
        <v>0.54920027340294053</v>
      </c>
      <c r="J461" s="6">
        <v>0.53939643325260089</v>
      </c>
      <c r="K461" s="11">
        <v>0.52703494864227896</v>
      </c>
      <c r="L461" s="7">
        <v>112</v>
      </c>
      <c r="M461" s="7">
        <v>124</v>
      </c>
      <c r="N461" s="7">
        <v>131</v>
      </c>
      <c r="O461" s="7"/>
    </row>
    <row r="462" spans="2:15" x14ac:dyDescent="0.25">
      <c r="B462" s="3">
        <v>130</v>
      </c>
      <c r="C462" s="3" t="s">
        <v>264</v>
      </c>
      <c r="D462" s="3" t="s">
        <v>265</v>
      </c>
      <c r="E462" s="3" t="s">
        <v>238</v>
      </c>
      <c r="F462" s="3">
        <v>7106</v>
      </c>
      <c r="G462" s="3">
        <v>7</v>
      </c>
      <c r="H462" s="3">
        <v>0.54400000000000004</v>
      </c>
      <c r="I462" s="6">
        <v>0.37104480264544071</v>
      </c>
      <c r="J462" s="6">
        <v>0.37466234316181002</v>
      </c>
      <c r="K462" s="11">
        <v>0.37455201791470383</v>
      </c>
      <c r="L462" s="7">
        <v>317</v>
      </c>
      <c r="M462" s="7">
        <v>314</v>
      </c>
      <c r="N462" s="7">
        <v>318</v>
      </c>
      <c r="O462" s="7"/>
    </row>
    <row r="463" spans="2:15" x14ac:dyDescent="0.25">
      <c r="B463" s="3">
        <v>131</v>
      </c>
      <c r="C463" s="3" t="s">
        <v>266</v>
      </c>
      <c r="D463" s="3" t="s">
        <v>267</v>
      </c>
      <c r="E463" s="3" t="s">
        <v>238</v>
      </c>
      <c r="F463" s="3">
        <v>7203</v>
      </c>
      <c r="G463" s="3">
        <v>7</v>
      </c>
      <c r="H463" s="3">
        <v>0.45400000000000001</v>
      </c>
      <c r="I463" s="6">
        <v>0.50377068374872336</v>
      </c>
      <c r="J463" s="6">
        <v>0.50343335724686489</v>
      </c>
      <c r="K463" s="11">
        <v>0.49008399323668655</v>
      </c>
      <c r="L463" s="7">
        <v>159</v>
      </c>
      <c r="M463" s="7">
        <v>155</v>
      </c>
      <c r="N463" s="7">
        <v>172</v>
      </c>
      <c r="O463" s="7"/>
    </row>
    <row r="464" spans="2:15" x14ac:dyDescent="0.25">
      <c r="B464" s="3">
        <v>133</v>
      </c>
      <c r="C464" s="3" t="s">
        <v>270</v>
      </c>
      <c r="D464" s="3" t="s">
        <v>271</v>
      </c>
      <c r="E464" s="3" t="s">
        <v>238</v>
      </c>
      <c r="F464" s="3">
        <v>7305</v>
      </c>
      <c r="G464" s="3">
        <v>7</v>
      </c>
      <c r="H464" s="3">
        <v>0.44700000000000001</v>
      </c>
      <c r="I464" s="6">
        <v>0.46490778233646385</v>
      </c>
      <c r="J464" s="6">
        <v>0.48371167040500962</v>
      </c>
      <c r="K464" s="11">
        <v>0.47998472197706826</v>
      </c>
      <c r="L464" s="7">
        <v>202</v>
      </c>
      <c r="M464" s="7">
        <v>184</v>
      </c>
      <c r="N464" s="7">
        <v>187</v>
      </c>
      <c r="O464" s="7"/>
    </row>
    <row r="465" spans="2:15" x14ac:dyDescent="0.25">
      <c r="B465" s="3">
        <v>134</v>
      </c>
      <c r="C465" s="3" t="s">
        <v>272</v>
      </c>
      <c r="D465" s="3" t="s">
        <v>273</v>
      </c>
      <c r="E465" s="3" t="s">
        <v>238</v>
      </c>
      <c r="F465" s="3">
        <v>7405</v>
      </c>
      <c r="G465" s="3">
        <v>7</v>
      </c>
      <c r="H465" s="3">
        <v>0.41799999999999998</v>
      </c>
      <c r="I465" s="6">
        <v>0.47075710032837126</v>
      </c>
      <c r="J465" s="6">
        <v>0.37350224393581855</v>
      </c>
      <c r="K465" s="11">
        <v>0.3723706826942158</v>
      </c>
      <c r="L465" s="7">
        <v>198</v>
      </c>
      <c r="M465" s="7">
        <v>317</v>
      </c>
      <c r="N465" s="7">
        <v>322</v>
      </c>
      <c r="O465" s="7"/>
    </row>
    <row r="466" spans="2:15" x14ac:dyDescent="0.25">
      <c r="B466" s="3">
        <v>135</v>
      </c>
      <c r="C466" s="3" t="s">
        <v>274</v>
      </c>
      <c r="D466" s="3" t="s">
        <v>275</v>
      </c>
      <c r="E466" s="3" t="s">
        <v>238</v>
      </c>
      <c r="F466" s="3">
        <v>7108</v>
      </c>
      <c r="G466" s="3">
        <v>7</v>
      </c>
      <c r="H466" s="3">
        <v>0.45600000000000002</v>
      </c>
      <c r="I466" s="6">
        <v>0.38708313103914821</v>
      </c>
      <c r="J466" s="6">
        <v>0.38742343464771634</v>
      </c>
      <c r="K466" s="11">
        <v>0.38909089585659395</v>
      </c>
      <c r="L466" s="7">
        <v>301</v>
      </c>
      <c r="M466" s="7">
        <v>296</v>
      </c>
      <c r="N466" s="7">
        <v>298</v>
      </c>
      <c r="O466" s="7"/>
    </row>
    <row r="467" spans="2:15" x14ac:dyDescent="0.25">
      <c r="B467" s="3">
        <v>136</v>
      </c>
      <c r="C467" s="3" t="s">
        <v>276</v>
      </c>
      <c r="D467" s="3" t="s">
        <v>277</v>
      </c>
      <c r="E467" s="3" t="s">
        <v>238</v>
      </c>
      <c r="F467" s="3">
        <v>7306</v>
      </c>
      <c r="G467" s="3">
        <v>7</v>
      </c>
      <c r="H467" s="3">
        <v>0.45200000000000001</v>
      </c>
      <c r="I467" s="6">
        <v>0.44044296733093452</v>
      </c>
      <c r="J467" s="6">
        <v>0.45238899130323951</v>
      </c>
      <c r="K467" s="11">
        <v>0.44365290471209634</v>
      </c>
      <c r="L467" s="7">
        <v>233</v>
      </c>
      <c r="M467" s="7">
        <v>215</v>
      </c>
      <c r="N467" s="7">
        <v>227</v>
      </c>
      <c r="O467" s="7"/>
    </row>
    <row r="468" spans="2:15" x14ac:dyDescent="0.25">
      <c r="B468" s="3">
        <v>137</v>
      </c>
      <c r="C468" s="3" t="s">
        <v>278</v>
      </c>
      <c r="D468" s="3" t="s">
        <v>279</v>
      </c>
      <c r="E468" s="3" t="s">
        <v>238</v>
      </c>
      <c r="F468" s="3">
        <v>7307</v>
      </c>
      <c r="G468" s="3">
        <v>7</v>
      </c>
      <c r="H468" s="3">
        <v>0.48499999999999999</v>
      </c>
      <c r="I468" s="6">
        <v>0.34580969235250841</v>
      </c>
      <c r="J468" s="6">
        <v>0.35030025941598886</v>
      </c>
      <c r="K468" s="11">
        <v>0.35193383603235301</v>
      </c>
      <c r="L468" s="7">
        <v>342</v>
      </c>
      <c r="M468" s="7">
        <v>341</v>
      </c>
      <c r="N468" s="7">
        <v>342</v>
      </c>
      <c r="O468" s="7"/>
    </row>
    <row r="469" spans="2:15" x14ac:dyDescent="0.25">
      <c r="B469" s="3">
        <v>138</v>
      </c>
      <c r="C469" s="3" t="s">
        <v>280</v>
      </c>
      <c r="D469" s="3" t="s">
        <v>281</v>
      </c>
      <c r="E469" s="3" t="s">
        <v>238</v>
      </c>
      <c r="F469" s="3">
        <v>7109</v>
      </c>
      <c r="G469" s="3">
        <v>7</v>
      </c>
      <c r="H469" s="3">
        <v>0.57199999999999995</v>
      </c>
      <c r="I469" s="6">
        <v>0.44433972714808767</v>
      </c>
      <c r="J469" s="6">
        <v>0.45818948743319693</v>
      </c>
      <c r="K469" s="11">
        <v>0.45232660894403109</v>
      </c>
      <c r="L469" s="7">
        <v>226</v>
      </c>
      <c r="M469" s="7">
        <v>208</v>
      </c>
      <c r="N469" s="7">
        <v>214</v>
      </c>
      <c r="O469" s="7"/>
    </row>
    <row r="470" spans="2:15" x14ac:dyDescent="0.25">
      <c r="B470" s="3">
        <v>139</v>
      </c>
      <c r="C470" s="3" t="s">
        <v>282</v>
      </c>
      <c r="D470" s="3" t="s">
        <v>283</v>
      </c>
      <c r="E470" s="3" t="s">
        <v>238</v>
      </c>
      <c r="F470" s="3">
        <v>7406</v>
      </c>
      <c r="G470" s="3">
        <v>7</v>
      </c>
      <c r="H470" s="3">
        <v>0.51400000000000001</v>
      </c>
      <c r="I470" s="6">
        <v>0.42813127136872137</v>
      </c>
      <c r="J470" s="6">
        <v>0.42802690755741835</v>
      </c>
      <c r="K470" s="11">
        <v>0.42668819059578789</v>
      </c>
      <c r="L470" s="7">
        <v>245</v>
      </c>
      <c r="M470" s="7">
        <v>241</v>
      </c>
      <c r="N470" s="7">
        <v>242</v>
      </c>
      <c r="O470" s="7"/>
    </row>
    <row r="471" spans="2:15" x14ac:dyDescent="0.25">
      <c r="B471" s="3">
        <v>141</v>
      </c>
      <c r="C471" s="3" t="s">
        <v>286</v>
      </c>
      <c r="D471" s="3" t="s">
        <v>287</v>
      </c>
      <c r="E471" s="3" t="s">
        <v>238</v>
      </c>
      <c r="F471" s="3">
        <v>7101</v>
      </c>
      <c r="G471" s="3">
        <v>7</v>
      </c>
      <c r="H471" s="3">
        <v>0.56999999999999995</v>
      </c>
      <c r="I471" s="6">
        <v>0.63538320174719243</v>
      </c>
      <c r="J471" s="6">
        <v>0.65424625662575797</v>
      </c>
      <c r="K471" s="11">
        <v>0.64523451903192963</v>
      </c>
      <c r="L471" s="7">
        <v>34</v>
      </c>
      <c r="M471" s="7">
        <v>26</v>
      </c>
      <c r="N471" s="7">
        <v>31</v>
      </c>
      <c r="O471" s="7"/>
    </row>
    <row r="472" spans="2:15" x14ac:dyDescent="0.25">
      <c r="B472" s="3">
        <v>142</v>
      </c>
      <c r="C472" s="3" t="s">
        <v>288</v>
      </c>
      <c r="D472" s="3" t="s">
        <v>289</v>
      </c>
      <c r="E472" s="3" t="s">
        <v>238</v>
      </c>
      <c r="F472" s="3">
        <v>7308</v>
      </c>
      <c r="G472" s="3">
        <v>7</v>
      </c>
      <c r="H472" s="3">
        <v>0.47</v>
      </c>
      <c r="I472" s="6">
        <v>0.40586307777855624</v>
      </c>
      <c r="J472" s="6">
        <v>0.41758601452349497</v>
      </c>
      <c r="K472" s="11">
        <v>0.41785496044209236</v>
      </c>
      <c r="L472" s="7">
        <v>274</v>
      </c>
      <c r="M472" s="7">
        <v>253</v>
      </c>
      <c r="N472" s="7">
        <v>251</v>
      </c>
      <c r="O472" s="7"/>
    </row>
    <row r="473" spans="2:15" x14ac:dyDescent="0.25">
      <c r="B473" s="3">
        <v>144</v>
      </c>
      <c r="C473" s="3" t="s">
        <v>292</v>
      </c>
      <c r="D473" s="3" t="s">
        <v>293</v>
      </c>
      <c r="E473" s="3" t="s">
        <v>238</v>
      </c>
      <c r="F473" s="3">
        <v>7407</v>
      </c>
      <c r="G473" s="3">
        <v>7</v>
      </c>
      <c r="H473" s="3">
        <v>0.34799999999999998</v>
      </c>
      <c r="I473" s="6">
        <v>0.40471577079279003</v>
      </c>
      <c r="J473" s="6">
        <v>0.4141057168455205</v>
      </c>
      <c r="K473" s="11">
        <v>0.41129118175666923</v>
      </c>
      <c r="L473" s="7">
        <v>276</v>
      </c>
      <c r="M473" s="7">
        <v>259</v>
      </c>
      <c r="N473" s="7">
        <v>260</v>
      </c>
      <c r="O473" s="7"/>
    </row>
    <row r="474" spans="2:15" x14ac:dyDescent="0.25">
      <c r="B474" s="3">
        <v>145</v>
      </c>
      <c r="C474" s="3" t="s">
        <v>294</v>
      </c>
      <c r="D474" s="3" t="s">
        <v>295</v>
      </c>
      <c r="E474" s="3" t="s">
        <v>238</v>
      </c>
      <c r="F474" s="3">
        <v>7408</v>
      </c>
      <c r="G474" s="3">
        <v>7</v>
      </c>
      <c r="H474" s="3">
        <v>0.45200000000000001</v>
      </c>
      <c r="I474" s="6">
        <v>0.38305017460500568</v>
      </c>
      <c r="J474" s="6">
        <v>0.38510323619573339</v>
      </c>
      <c r="K474" s="11">
        <v>0.38344666015352347</v>
      </c>
      <c r="L474" s="7">
        <v>306</v>
      </c>
      <c r="M474" s="7">
        <v>300</v>
      </c>
      <c r="N474" s="7">
        <v>306</v>
      </c>
      <c r="O474" s="7"/>
    </row>
    <row r="475" spans="2:15" x14ac:dyDescent="0.25">
      <c r="B475" s="3">
        <v>146</v>
      </c>
      <c r="C475" s="3" t="s">
        <v>296</v>
      </c>
      <c r="D475" s="3" t="s">
        <v>297</v>
      </c>
      <c r="E475" s="3" t="s">
        <v>298</v>
      </c>
      <c r="F475" s="3">
        <v>16102</v>
      </c>
      <c r="G475" s="3">
        <v>16</v>
      </c>
      <c r="H475" s="3">
        <v>0.46800000000000003</v>
      </c>
      <c r="I475" s="6">
        <v>0.47430017841612432</v>
      </c>
      <c r="J475" s="6">
        <v>0.49531266266492446</v>
      </c>
      <c r="K475" s="11">
        <v>0.47874151706811158</v>
      </c>
      <c r="L475" s="7">
        <v>196</v>
      </c>
      <c r="M475" s="7">
        <v>169</v>
      </c>
      <c r="N475" s="7">
        <v>188</v>
      </c>
      <c r="O475" s="7"/>
    </row>
    <row r="476" spans="2:15" x14ac:dyDescent="0.25">
      <c r="B476" s="3">
        <v>147</v>
      </c>
      <c r="C476" s="3" t="s">
        <v>299</v>
      </c>
      <c r="D476" s="3" t="s">
        <v>300</v>
      </c>
      <c r="E476" s="3" t="s">
        <v>298</v>
      </c>
      <c r="F476" s="3">
        <v>16101</v>
      </c>
      <c r="G476" s="3">
        <v>16</v>
      </c>
      <c r="H476" s="3">
        <v>0.55400000000000005</v>
      </c>
      <c r="I476" s="6">
        <v>0.64072113853770518</v>
      </c>
      <c r="J476" s="6">
        <v>0.63800486746187712</v>
      </c>
      <c r="K476" s="11">
        <v>0.63649463076913748</v>
      </c>
      <c r="L476" s="7">
        <v>31</v>
      </c>
      <c r="M476" s="7">
        <v>33</v>
      </c>
      <c r="N476" s="7">
        <v>37</v>
      </c>
      <c r="O476" s="7"/>
    </row>
    <row r="477" spans="2:15" x14ac:dyDescent="0.25">
      <c r="B477" s="3">
        <v>148</v>
      </c>
      <c r="C477" s="3" t="s">
        <v>301</v>
      </c>
      <c r="D477" s="3" t="s">
        <v>302</v>
      </c>
      <c r="E477" s="3" t="s">
        <v>298</v>
      </c>
      <c r="F477" s="3">
        <v>16103</v>
      </c>
      <c r="G477" s="3">
        <v>16</v>
      </c>
      <c r="H477" s="3">
        <v>0.48499999999999999</v>
      </c>
      <c r="I477" s="6">
        <v>0.4518557527699511</v>
      </c>
      <c r="J477" s="6">
        <v>0.49763286111690747</v>
      </c>
      <c r="K477" s="11">
        <v>0.50018396386820818</v>
      </c>
      <c r="L477" s="7">
        <v>219</v>
      </c>
      <c r="M477" s="7">
        <v>163</v>
      </c>
      <c r="N477" s="7">
        <v>160</v>
      </c>
      <c r="O477" s="7"/>
    </row>
    <row r="478" spans="2:15" x14ac:dyDescent="0.25">
      <c r="B478" s="3">
        <v>150</v>
      </c>
      <c r="C478" s="3" t="s">
        <v>305</v>
      </c>
      <c r="D478" s="3" t="s">
        <v>306</v>
      </c>
      <c r="E478" s="3" t="s">
        <v>298</v>
      </c>
      <c r="F478" s="3">
        <v>16203</v>
      </c>
      <c r="G478" s="3">
        <v>16</v>
      </c>
      <c r="H478" s="3">
        <v>0.497</v>
      </c>
      <c r="I478" s="6">
        <v>0.4984579375447778</v>
      </c>
      <c r="J478" s="6">
        <v>0.50227325802087341</v>
      </c>
      <c r="K478" s="11">
        <v>0.50253913880970913</v>
      </c>
      <c r="L478" s="7">
        <v>163</v>
      </c>
      <c r="M478" s="7">
        <v>156</v>
      </c>
      <c r="N478" s="7">
        <v>156</v>
      </c>
      <c r="O478" s="7"/>
    </row>
    <row r="479" spans="2:15" x14ac:dyDescent="0.25">
      <c r="B479" s="3">
        <v>151</v>
      </c>
      <c r="C479" s="3" t="s">
        <v>307</v>
      </c>
      <c r="D479" s="3" t="s">
        <v>308</v>
      </c>
      <c r="E479" s="3" t="s">
        <v>298</v>
      </c>
      <c r="F479" s="3">
        <v>16302</v>
      </c>
      <c r="G479" s="3">
        <v>16</v>
      </c>
      <c r="H479" s="3">
        <v>0.45300000000000001</v>
      </c>
      <c r="I479" s="6">
        <v>0.37753317226704736</v>
      </c>
      <c r="J479" s="6">
        <v>0.38626333542172486</v>
      </c>
      <c r="K479" s="11">
        <v>0.38369353387677402</v>
      </c>
      <c r="L479" s="7">
        <v>311</v>
      </c>
      <c r="M479" s="7">
        <v>299</v>
      </c>
      <c r="N479" s="7">
        <v>305</v>
      </c>
      <c r="O479" s="7"/>
    </row>
    <row r="480" spans="2:15" x14ac:dyDescent="0.25">
      <c r="B480" s="3">
        <v>152</v>
      </c>
      <c r="C480" s="3" t="s">
        <v>309</v>
      </c>
      <c r="D480" s="3" t="s">
        <v>310</v>
      </c>
      <c r="E480" s="3" t="s">
        <v>298</v>
      </c>
      <c r="F480" s="3">
        <v>16104</v>
      </c>
      <c r="G480" s="3">
        <v>16</v>
      </c>
      <c r="H480" s="3">
        <v>0.48199999999999998</v>
      </c>
      <c r="I480" s="6">
        <v>0.37138589801991706</v>
      </c>
      <c r="J480" s="6">
        <v>0.37930274006577591</v>
      </c>
      <c r="K480" s="11">
        <v>0.37554832950510253</v>
      </c>
      <c r="L480" s="7">
        <v>316</v>
      </c>
      <c r="M480" s="7">
        <v>307</v>
      </c>
      <c r="N480" s="7">
        <v>315</v>
      </c>
      <c r="O480" s="7"/>
    </row>
    <row r="481" spans="2:15" x14ac:dyDescent="0.25">
      <c r="B481" s="3">
        <v>153</v>
      </c>
      <c r="C481" s="3" t="s">
        <v>311</v>
      </c>
      <c r="D481" s="3" t="s">
        <v>312</v>
      </c>
      <c r="E481" s="3" t="s">
        <v>298</v>
      </c>
      <c r="F481" s="3">
        <v>16204</v>
      </c>
      <c r="G481" s="3">
        <v>16</v>
      </c>
      <c r="H481" s="3">
        <v>0.46400000000000002</v>
      </c>
      <c r="I481" s="6">
        <v>0.39233986618405259</v>
      </c>
      <c r="J481" s="6">
        <v>0.39670422845564823</v>
      </c>
      <c r="K481" s="11">
        <v>0.39068465500425853</v>
      </c>
      <c r="L481" s="7">
        <v>294</v>
      </c>
      <c r="M481" s="7">
        <v>286</v>
      </c>
      <c r="N481" s="7">
        <v>295</v>
      </c>
      <c r="O481" s="7"/>
    </row>
    <row r="482" spans="2:15" x14ac:dyDescent="0.25">
      <c r="B482" s="3">
        <v>154</v>
      </c>
      <c r="C482" s="3" t="s">
        <v>313</v>
      </c>
      <c r="D482" s="3" t="s">
        <v>314</v>
      </c>
      <c r="E482" s="3" t="s">
        <v>298</v>
      </c>
      <c r="F482" s="3">
        <v>16303</v>
      </c>
      <c r="G482" s="3">
        <v>16</v>
      </c>
      <c r="H482" s="3">
        <v>0.40200000000000002</v>
      </c>
      <c r="I482" s="6">
        <v>0.3603387022286807</v>
      </c>
      <c r="J482" s="6">
        <v>0.36422145012788665</v>
      </c>
      <c r="K482" s="11">
        <v>0.36247071270381193</v>
      </c>
      <c r="L482" s="7">
        <v>331</v>
      </c>
      <c r="M482" s="7">
        <v>325</v>
      </c>
      <c r="N482" s="7">
        <v>331</v>
      </c>
      <c r="O482" s="7"/>
    </row>
    <row r="483" spans="2:15" x14ac:dyDescent="0.25">
      <c r="B483" s="3">
        <v>155</v>
      </c>
      <c r="C483" s="3" t="s">
        <v>315</v>
      </c>
      <c r="D483" s="3" t="s">
        <v>316</v>
      </c>
      <c r="E483" s="3" t="s">
        <v>298</v>
      </c>
      <c r="F483" s="3">
        <v>16105</v>
      </c>
      <c r="G483" s="3">
        <v>16</v>
      </c>
      <c r="H483" s="3">
        <v>0.441</v>
      </c>
      <c r="I483" s="6">
        <v>0.41794042028684425</v>
      </c>
      <c r="J483" s="6">
        <v>0.42686680833142682</v>
      </c>
      <c r="K483" s="11">
        <v>0.41952974489338629</v>
      </c>
      <c r="L483" s="7">
        <v>256</v>
      </c>
      <c r="M483" s="7">
        <v>243</v>
      </c>
      <c r="N483" s="7">
        <v>249</v>
      </c>
      <c r="O483" s="7"/>
    </row>
    <row r="484" spans="2:15" x14ac:dyDescent="0.25">
      <c r="B484" s="3">
        <v>156</v>
      </c>
      <c r="C484" s="3" t="s">
        <v>317</v>
      </c>
      <c r="D484" s="3" t="s">
        <v>318</v>
      </c>
      <c r="E484" s="3" t="s">
        <v>298</v>
      </c>
      <c r="F484" s="3">
        <v>16106</v>
      </c>
      <c r="G484" s="3">
        <v>16</v>
      </c>
      <c r="H484" s="3">
        <v>0.52300000000000002</v>
      </c>
      <c r="I484" s="6">
        <v>0.49126459708540199</v>
      </c>
      <c r="J484" s="6">
        <v>0.48603186885699257</v>
      </c>
      <c r="K484" s="11">
        <v>0.47309737848525008</v>
      </c>
      <c r="L484" s="7">
        <v>174</v>
      </c>
      <c r="M484" s="7">
        <v>183</v>
      </c>
      <c r="N484" s="7">
        <v>196</v>
      </c>
      <c r="O484" s="7"/>
    </row>
    <row r="485" spans="2:15" x14ac:dyDescent="0.25">
      <c r="B485" s="3">
        <v>158</v>
      </c>
      <c r="C485" s="3" t="s">
        <v>321</v>
      </c>
      <c r="D485" s="3" t="s">
        <v>322</v>
      </c>
      <c r="E485" s="3" t="s">
        <v>298</v>
      </c>
      <c r="F485" s="3">
        <v>16107</v>
      </c>
      <c r="G485" s="3">
        <v>16</v>
      </c>
      <c r="H485" s="3">
        <v>0.495</v>
      </c>
      <c r="I485" s="6">
        <v>0.48727758619917821</v>
      </c>
      <c r="J485" s="6">
        <v>0.49647276189091594</v>
      </c>
      <c r="K485" s="11">
        <v>0.48776057012945234</v>
      </c>
      <c r="L485" s="7">
        <v>180</v>
      </c>
      <c r="M485" s="7">
        <v>165</v>
      </c>
      <c r="N485" s="7">
        <v>176</v>
      </c>
      <c r="O485" s="7"/>
    </row>
    <row r="486" spans="2:15" x14ac:dyDescent="0.25">
      <c r="B486" s="3">
        <v>159</v>
      </c>
      <c r="C486" s="3" t="s">
        <v>323</v>
      </c>
      <c r="D486" s="3" t="s">
        <v>324</v>
      </c>
      <c r="E486" s="3" t="s">
        <v>298</v>
      </c>
      <c r="F486" s="3">
        <v>16201</v>
      </c>
      <c r="G486" s="3">
        <v>16</v>
      </c>
      <c r="H486" s="3">
        <v>0.43</v>
      </c>
      <c r="I486" s="6">
        <v>0.41560507278996439</v>
      </c>
      <c r="J486" s="6">
        <v>0.42570670910543534</v>
      </c>
      <c r="K486" s="11">
        <v>0.42502060743753201</v>
      </c>
      <c r="L486" s="7">
        <v>263</v>
      </c>
      <c r="M486" s="7">
        <v>244</v>
      </c>
      <c r="N486" s="7">
        <v>243</v>
      </c>
      <c r="O486" s="7"/>
    </row>
    <row r="487" spans="2:15" x14ac:dyDescent="0.25">
      <c r="B487" s="3">
        <v>160</v>
      </c>
      <c r="C487" s="3" t="s">
        <v>325</v>
      </c>
      <c r="D487" s="3" t="s">
        <v>326</v>
      </c>
      <c r="E487" s="3" t="s">
        <v>298</v>
      </c>
      <c r="F487" s="3">
        <v>16206</v>
      </c>
      <c r="G487" s="3">
        <v>16</v>
      </c>
      <c r="H487" s="3">
        <v>0.52800000000000002</v>
      </c>
      <c r="I487" s="6">
        <v>0.41679825247527896</v>
      </c>
      <c r="J487" s="6">
        <v>0.41990621297547792</v>
      </c>
      <c r="K487" s="11">
        <v>0.41349588007301646</v>
      </c>
      <c r="L487" s="7">
        <v>260</v>
      </c>
      <c r="M487" s="7">
        <v>251</v>
      </c>
      <c r="N487" s="7">
        <v>256</v>
      </c>
      <c r="O487" s="7"/>
    </row>
    <row r="488" spans="2:15" x14ac:dyDescent="0.25">
      <c r="B488" s="3">
        <v>161</v>
      </c>
      <c r="C488" s="3" t="s">
        <v>327</v>
      </c>
      <c r="D488" s="3" t="s">
        <v>328</v>
      </c>
      <c r="E488" s="3" t="s">
        <v>298</v>
      </c>
      <c r="F488" s="3">
        <v>16301</v>
      </c>
      <c r="G488" s="3">
        <v>16</v>
      </c>
      <c r="H488" s="3">
        <v>0.54500000000000004</v>
      </c>
      <c r="I488" s="6">
        <v>0.48067354711549942</v>
      </c>
      <c r="J488" s="6">
        <v>0.49183236498695004</v>
      </c>
      <c r="K488" s="11">
        <v>0.48553172470341949</v>
      </c>
      <c r="L488" s="7">
        <v>188</v>
      </c>
      <c r="M488" s="7">
        <v>173</v>
      </c>
      <c r="N488" s="7">
        <v>179</v>
      </c>
      <c r="O488" s="7"/>
    </row>
    <row r="489" spans="2:15" x14ac:dyDescent="0.25">
      <c r="B489" s="3">
        <v>162</v>
      </c>
      <c r="C489" s="3" t="s">
        <v>329</v>
      </c>
      <c r="D489" s="3" t="s">
        <v>330</v>
      </c>
      <c r="E489" s="3" t="s">
        <v>298</v>
      </c>
      <c r="F489" s="3">
        <v>16304</v>
      </c>
      <c r="G489" s="3">
        <v>16</v>
      </c>
      <c r="H489" s="3">
        <v>0.41099999999999998</v>
      </c>
      <c r="I489" s="6">
        <v>0.45665569905947562</v>
      </c>
      <c r="J489" s="6">
        <v>0.4755909758230692</v>
      </c>
      <c r="K489" s="11">
        <v>0.45579607739093331</v>
      </c>
      <c r="L489" s="7">
        <v>209</v>
      </c>
      <c r="M489" s="7">
        <v>190</v>
      </c>
      <c r="N489" s="7">
        <v>210</v>
      </c>
      <c r="O489" s="7"/>
    </row>
    <row r="490" spans="2:15" x14ac:dyDescent="0.25">
      <c r="B490" s="3">
        <v>163</v>
      </c>
      <c r="C490" s="3" t="s">
        <v>331</v>
      </c>
      <c r="D490" s="3" t="s">
        <v>332</v>
      </c>
      <c r="E490" s="3" t="s">
        <v>298</v>
      </c>
      <c r="F490" s="3">
        <v>16108</v>
      </c>
      <c r="G490" s="3">
        <v>16</v>
      </c>
      <c r="H490" s="3">
        <v>0.47499999999999998</v>
      </c>
      <c r="I490" s="6">
        <v>0.39626110461820263</v>
      </c>
      <c r="J490" s="6">
        <v>0.40250472458560566</v>
      </c>
      <c r="K490" s="11">
        <v>0.39731512318583667</v>
      </c>
      <c r="L490" s="7">
        <v>290</v>
      </c>
      <c r="M490" s="7">
        <v>274</v>
      </c>
      <c r="N490" s="7">
        <v>285</v>
      </c>
      <c r="O490" s="7"/>
    </row>
    <row r="491" spans="2:15" x14ac:dyDescent="0.25">
      <c r="B491" s="3">
        <v>164</v>
      </c>
      <c r="C491" s="3" t="s">
        <v>333</v>
      </c>
      <c r="D491" s="3" t="s">
        <v>334</v>
      </c>
      <c r="E491" s="3" t="s">
        <v>298</v>
      </c>
      <c r="F491" s="3">
        <v>16305</v>
      </c>
      <c r="G491" s="3">
        <v>16</v>
      </c>
      <c r="H491" s="3">
        <v>0.58399999999999996</v>
      </c>
      <c r="I491" s="6">
        <v>0.36824758383453404</v>
      </c>
      <c r="J491" s="6">
        <v>0.38046283929176744</v>
      </c>
      <c r="K491" s="11">
        <v>0.37248929150069515</v>
      </c>
      <c r="L491" s="7">
        <v>322</v>
      </c>
      <c r="M491" s="7">
        <v>304</v>
      </c>
      <c r="N491" s="7">
        <v>321</v>
      </c>
      <c r="O491" s="7"/>
    </row>
    <row r="492" spans="2:15" x14ac:dyDescent="0.25">
      <c r="B492" s="3">
        <v>165</v>
      </c>
      <c r="C492" s="3" t="s">
        <v>335</v>
      </c>
      <c r="D492" s="3" t="s">
        <v>336</v>
      </c>
      <c r="E492" s="3" t="s">
        <v>298</v>
      </c>
      <c r="F492" s="3">
        <v>16207</v>
      </c>
      <c r="G492" s="3">
        <v>16</v>
      </c>
      <c r="H492" s="3">
        <v>0.35</v>
      </c>
      <c r="I492" s="6">
        <v>0.39888520587945048</v>
      </c>
      <c r="J492" s="6">
        <v>0.4141057168455205</v>
      </c>
      <c r="K492" s="11">
        <v>0.40658623740414906</v>
      </c>
      <c r="L492" s="7">
        <v>289</v>
      </c>
      <c r="M492" s="7">
        <v>261</v>
      </c>
      <c r="N492" s="7">
        <v>268</v>
      </c>
      <c r="O492" s="7"/>
    </row>
    <row r="493" spans="2:15" x14ac:dyDescent="0.25">
      <c r="B493" s="3">
        <v>166</v>
      </c>
      <c r="C493" s="3" t="s">
        <v>337</v>
      </c>
      <c r="D493" s="3" t="s">
        <v>338</v>
      </c>
      <c r="E493" s="3" t="s">
        <v>298</v>
      </c>
      <c r="F493" s="3">
        <v>16109</v>
      </c>
      <c r="G493" s="3">
        <v>16</v>
      </c>
      <c r="H493" s="3">
        <v>0.43</v>
      </c>
      <c r="I493" s="6">
        <v>0.48556903497453979</v>
      </c>
      <c r="J493" s="6">
        <v>0.50343335724686489</v>
      </c>
      <c r="K493" s="11">
        <v>0.49478466001713561</v>
      </c>
      <c r="L493" s="7">
        <v>184</v>
      </c>
      <c r="M493" s="7">
        <v>154</v>
      </c>
      <c r="N493" s="7">
        <v>167</v>
      </c>
      <c r="O493" s="7"/>
    </row>
    <row r="494" spans="2:15" x14ac:dyDescent="0.25">
      <c r="B494" s="3">
        <v>167</v>
      </c>
      <c r="C494" s="3" t="s">
        <v>339</v>
      </c>
      <c r="D494" s="3" t="s">
        <v>340</v>
      </c>
      <c r="E494" s="3" t="s">
        <v>341</v>
      </c>
      <c r="F494" s="3">
        <v>8314</v>
      </c>
      <c r="G494" s="3">
        <v>8</v>
      </c>
      <c r="H494" s="3">
        <v>0.36699999999999999</v>
      </c>
      <c r="I494" s="6">
        <v>0.36205047010220887</v>
      </c>
      <c r="J494" s="6">
        <v>0.36422145012788665</v>
      </c>
      <c r="K494" s="11">
        <v>0.36869194248482617</v>
      </c>
      <c r="L494" s="7">
        <v>329</v>
      </c>
      <c r="M494" s="7">
        <v>324</v>
      </c>
      <c r="N494" s="7">
        <v>324</v>
      </c>
      <c r="O494" s="7"/>
    </row>
    <row r="495" spans="2:15" x14ac:dyDescent="0.25">
      <c r="B495" s="3">
        <v>168</v>
      </c>
      <c r="C495" s="3" t="s">
        <v>342</v>
      </c>
      <c r="D495" s="3" t="s">
        <v>343</v>
      </c>
      <c r="E495" s="3" t="s">
        <v>341</v>
      </c>
      <c r="F495" s="3">
        <v>8302</v>
      </c>
      <c r="G495" s="3">
        <v>8</v>
      </c>
      <c r="H495" s="3">
        <v>0.50700000000000001</v>
      </c>
      <c r="I495" s="6">
        <v>0.36247316154278275</v>
      </c>
      <c r="J495" s="6">
        <v>0.35842095399792923</v>
      </c>
      <c r="K495" s="11">
        <v>0.35870225802304101</v>
      </c>
      <c r="L495" s="7">
        <v>327</v>
      </c>
      <c r="M495" s="7">
        <v>332</v>
      </c>
      <c r="N495" s="7">
        <v>335</v>
      </c>
      <c r="O495" s="7"/>
    </row>
    <row r="496" spans="2:15" x14ac:dyDescent="0.25">
      <c r="B496" s="3">
        <v>169</v>
      </c>
      <c r="C496" s="3" t="s">
        <v>344</v>
      </c>
      <c r="D496" s="3" t="s">
        <v>345</v>
      </c>
      <c r="E496" s="3" t="s">
        <v>341</v>
      </c>
      <c r="F496" s="3">
        <v>8202</v>
      </c>
      <c r="G496" s="3">
        <v>8</v>
      </c>
      <c r="H496" s="3">
        <v>0.499</v>
      </c>
      <c r="I496" s="6">
        <v>0.55533045916927581</v>
      </c>
      <c r="J496" s="6">
        <v>0.56259841777243058</v>
      </c>
      <c r="K496" s="11">
        <v>0.55839641025218556</v>
      </c>
      <c r="L496" s="7">
        <v>106</v>
      </c>
      <c r="M496" s="7">
        <v>100</v>
      </c>
      <c r="N496" s="7">
        <v>104</v>
      </c>
      <c r="O496" s="7"/>
    </row>
    <row r="497" spans="2:15" x14ac:dyDescent="0.25">
      <c r="B497" s="3">
        <v>170</v>
      </c>
      <c r="C497" s="3" t="s">
        <v>346</v>
      </c>
      <c r="D497" s="3" t="s">
        <v>347</v>
      </c>
      <c r="E497" s="3" t="s">
        <v>341</v>
      </c>
      <c r="F497" s="3">
        <v>8303</v>
      </c>
      <c r="G497" s="3">
        <v>8</v>
      </c>
      <c r="H497" s="3">
        <v>0.44600000000000001</v>
      </c>
      <c r="I497" s="6">
        <v>0.50449931269232684</v>
      </c>
      <c r="J497" s="6">
        <v>0.52315504408872016</v>
      </c>
      <c r="K497" s="11">
        <v>0.51045347140672637</v>
      </c>
      <c r="L497" s="7">
        <v>158</v>
      </c>
      <c r="M497" s="7">
        <v>134</v>
      </c>
      <c r="N497" s="7">
        <v>147</v>
      </c>
      <c r="O497" s="7"/>
    </row>
    <row r="498" spans="2:15" x14ac:dyDescent="0.25">
      <c r="B498" s="3">
        <v>171</v>
      </c>
      <c r="C498" s="3" t="s">
        <v>348</v>
      </c>
      <c r="D498" s="3" t="s">
        <v>349</v>
      </c>
      <c r="E498" s="3" t="s">
        <v>341</v>
      </c>
      <c r="F498" s="3">
        <v>8203</v>
      </c>
      <c r="G498" s="3">
        <v>8</v>
      </c>
      <c r="H498" s="3">
        <v>0.54300000000000004</v>
      </c>
      <c r="I498" s="6">
        <v>0.48116799113119385</v>
      </c>
      <c r="J498" s="6">
        <v>0.48719196808298409</v>
      </c>
      <c r="K498" s="11">
        <v>0.48927412426303324</v>
      </c>
      <c r="L498" s="7">
        <v>187</v>
      </c>
      <c r="M498" s="7">
        <v>180</v>
      </c>
      <c r="N498" s="7">
        <v>174</v>
      </c>
      <c r="O498" s="7"/>
    </row>
    <row r="499" spans="2:15" x14ac:dyDescent="0.25">
      <c r="B499" s="3">
        <v>172</v>
      </c>
      <c r="C499" s="3" t="s">
        <v>350</v>
      </c>
      <c r="D499" s="3" t="s">
        <v>351</v>
      </c>
      <c r="E499" s="3" t="s">
        <v>341</v>
      </c>
      <c r="F499" s="3">
        <v>8103</v>
      </c>
      <c r="G499" s="3">
        <v>8</v>
      </c>
      <c r="H499" s="3">
        <v>0.60699999999999998</v>
      </c>
      <c r="I499" s="6">
        <v>0.64474018401396416</v>
      </c>
      <c r="J499" s="6">
        <v>0.65656645507774092</v>
      </c>
      <c r="K499" s="11">
        <v>0.65655500511293385</v>
      </c>
      <c r="L499" s="7">
        <v>27</v>
      </c>
      <c r="M499" s="7">
        <v>22</v>
      </c>
      <c r="N499" s="7">
        <v>23</v>
      </c>
      <c r="O499" s="7"/>
    </row>
    <row r="500" spans="2:15" x14ac:dyDescent="0.25">
      <c r="B500" s="3">
        <v>173</v>
      </c>
      <c r="C500" s="3" t="s">
        <v>352</v>
      </c>
      <c r="D500" s="3" t="s">
        <v>353</v>
      </c>
      <c r="E500" s="3" t="s">
        <v>341</v>
      </c>
      <c r="F500" s="3">
        <v>8101</v>
      </c>
      <c r="G500" s="3">
        <v>8</v>
      </c>
      <c r="H500" s="3">
        <v>0.627</v>
      </c>
      <c r="I500" s="6">
        <v>0.67789837466817304</v>
      </c>
      <c r="J500" s="6">
        <v>0.70065022566541735</v>
      </c>
      <c r="K500" s="11">
        <v>0.68933624598088994</v>
      </c>
      <c r="L500" s="7">
        <v>16</v>
      </c>
      <c r="M500" s="7">
        <v>11</v>
      </c>
      <c r="N500" s="7">
        <v>14</v>
      </c>
      <c r="O500" s="7"/>
    </row>
    <row r="501" spans="2:15" x14ac:dyDescent="0.25">
      <c r="B501" s="3">
        <v>174</v>
      </c>
      <c r="C501" s="3" t="s">
        <v>354</v>
      </c>
      <c r="D501" s="3" t="s">
        <v>355</v>
      </c>
      <c r="E501" s="3" t="s">
        <v>341</v>
      </c>
      <c r="F501" s="3">
        <v>8204</v>
      </c>
      <c r="G501" s="3">
        <v>8</v>
      </c>
      <c r="H501" s="3">
        <v>0.52800000000000002</v>
      </c>
      <c r="I501" s="6">
        <v>0.5121998998291537</v>
      </c>
      <c r="J501" s="6">
        <v>0.51503434950677973</v>
      </c>
      <c r="K501" s="11">
        <v>0.51715515521955957</v>
      </c>
      <c r="L501" s="7">
        <v>144</v>
      </c>
      <c r="M501" s="7">
        <v>143</v>
      </c>
      <c r="N501" s="7">
        <v>137</v>
      </c>
      <c r="O501" s="7"/>
    </row>
    <row r="502" spans="2:15" x14ac:dyDescent="0.25">
      <c r="B502" s="3">
        <v>175</v>
      </c>
      <c r="C502" s="3" t="s">
        <v>356</v>
      </c>
      <c r="D502" s="3" t="s">
        <v>357</v>
      </c>
      <c r="E502" s="3" t="s">
        <v>341</v>
      </c>
      <c r="F502" s="3">
        <v>8102</v>
      </c>
      <c r="G502" s="3">
        <v>8</v>
      </c>
      <c r="H502" s="3">
        <v>0.55900000000000005</v>
      </c>
      <c r="I502" s="6">
        <v>0.63643855164080287</v>
      </c>
      <c r="J502" s="6">
        <v>0.65888665352972398</v>
      </c>
      <c r="K502" s="11">
        <v>0.64828726032490236</v>
      </c>
      <c r="L502" s="7">
        <v>32</v>
      </c>
      <c r="M502" s="7">
        <v>21</v>
      </c>
      <c r="N502" s="7">
        <v>28</v>
      </c>
      <c r="O502" s="7"/>
    </row>
    <row r="503" spans="2:15" x14ac:dyDescent="0.25">
      <c r="B503" s="3">
        <v>176</v>
      </c>
      <c r="C503" s="3" t="s">
        <v>358</v>
      </c>
      <c r="D503" s="3" t="s">
        <v>359</v>
      </c>
      <c r="E503" s="3" t="s">
        <v>341</v>
      </c>
      <c r="F503" s="3">
        <v>8205</v>
      </c>
      <c r="G503" s="3">
        <v>8</v>
      </c>
      <c r="H503" s="3">
        <v>0.55100000000000005</v>
      </c>
      <c r="I503" s="6">
        <v>0.58816038841806006</v>
      </c>
      <c r="J503" s="6">
        <v>0.58812060074424333</v>
      </c>
      <c r="K503" s="11">
        <v>0.59295495714905233</v>
      </c>
      <c r="L503" s="7">
        <v>68</v>
      </c>
      <c r="M503" s="7">
        <v>68</v>
      </c>
      <c r="N503" s="7">
        <v>69</v>
      </c>
      <c r="O503" s="7"/>
    </row>
    <row r="504" spans="2:15" x14ac:dyDescent="0.25">
      <c r="B504" s="3">
        <v>177</v>
      </c>
      <c r="C504" s="3" t="s">
        <v>360</v>
      </c>
      <c r="D504" s="3" t="s">
        <v>361</v>
      </c>
      <c r="E504" s="3" t="s">
        <v>341</v>
      </c>
      <c r="F504" s="3">
        <v>8104</v>
      </c>
      <c r="G504" s="3">
        <v>8</v>
      </c>
      <c r="H504" s="3">
        <v>0.45700000000000002</v>
      </c>
      <c r="I504" s="6">
        <v>0.41391631759960223</v>
      </c>
      <c r="J504" s="6">
        <v>0.42222641142746087</v>
      </c>
      <c r="K504" s="11">
        <v>0.4121710159820724</v>
      </c>
      <c r="L504" s="7">
        <v>265</v>
      </c>
      <c r="M504" s="7">
        <v>248</v>
      </c>
      <c r="N504" s="7">
        <v>259</v>
      </c>
      <c r="O504" s="7"/>
    </row>
    <row r="505" spans="2:15" x14ac:dyDescent="0.25">
      <c r="B505" s="3">
        <v>178</v>
      </c>
      <c r="C505" s="3" t="s">
        <v>362</v>
      </c>
      <c r="D505" s="3" t="s">
        <v>363</v>
      </c>
      <c r="E505" s="3" t="s">
        <v>341</v>
      </c>
      <c r="F505" s="3">
        <v>8112</v>
      </c>
      <c r="G505" s="3">
        <v>8</v>
      </c>
      <c r="H505" s="3">
        <v>0.57599999999999996</v>
      </c>
      <c r="I505" s="6">
        <v>0.5302982575121552</v>
      </c>
      <c r="J505" s="6">
        <v>0.54867722706053279</v>
      </c>
      <c r="K505" s="11">
        <v>0.55815084643834434</v>
      </c>
      <c r="L505" s="7">
        <v>127</v>
      </c>
      <c r="M505" s="7">
        <v>114</v>
      </c>
      <c r="N505" s="7">
        <v>105</v>
      </c>
      <c r="O505" s="7"/>
    </row>
    <row r="506" spans="2:15" x14ac:dyDescent="0.25">
      <c r="B506" s="3">
        <v>179</v>
      </c>
      <c r="C506" s="3" t="s">
        <v>364</v>
      </c>
      <c r="D506" s="3" t="s">
        <v>365</v>
      </c>
      <c r="E506" s="3" t="s">
        <v>341</v>
      </c>
      <c r="F506" s="3">
        <v>8105</v>
      </c>
      <c r="G506" s="3">
        <v>8</v>
      </c>
      <c r="H506" s="3">
        <v>0.495</v>
      </c>
      <c r="I506" s="6">
        <v>0.56857464069595265</v>
      </c>
      <c r="J506" s="6">
        <v>0.5799999061623029</v>
      </c>
      <c r="K506" s="11">
        <v>0.57252028165588176</v>
      </c>
      <c r="L506" s="7">
        <v>92</v>
      </c>
      <c r="M506" s="7">
        <v>78</v>
      </c>
      <c r="N506" s="7">
        <v>92</v>
      </c>
      <c r="O506" s="7"/>
    </row>
    <row r="507" spans="2:15" x14ac:dyDescent="0.25">
      <c r="B507" s="3">
        <v>180</v>
      </c>
      <c r="C507" s="3" t="s">
        <v>366</v>
      </c>
      <c r="D507" s="3" t="s">
        <v>367</v>
      </c>
      <c r="E507" s="3" t="s">
        <v>341</v>
      </c>
      <c r="F507" s="3">
        <v>8304</v>
      </c>
      <c r="G507" s="3">
        <v>8</v>
      </c>
      <c r="H507" s="3">
        <v>0.47899999999999998</v>
      </c>
      <c r="I507" s="6">
        <v>0.50793773564396316</v>
      </c>
      <c r="J507" s="6">
        <v>0.5254752425407031</v>
      </c>
      <c r="K507" s="11">
        <v>0.51587459612135567</v>
      </c>
      <c r="L507" s="7">
        <v>156</v>
      </c>
      <c r="M507" s="7">
        <v>131</v>
      </c>
      <c r="N507" s="7">
        <v>140</v>
      </c>
      <c r="O507" s="7"/>
    </row>
    <row r="508" spans="2:15" x14ac:dyDescent="0.25">
      <c r="B508" s="3">
        <v>181</v>
      </c>
      <c r="C508" s="3" t="s">
        <v>368</v>
      </c>
      <c r="D508" s="3" t="s">
        <v>369</v>
      </c>
      <c r="E508" s="3" t="s">
        <v>341</v>
      </c>
      <c r="F508" s="3">
        <v>8201</v>
      </c>
      <c r="G508" s="3">
        <v>8</v>
      </c>
      <c r="H508" s="3">
        <v>0.52900000000000003</v>
      </c>
      <c r="I508" s="6">
        <v>0.57118649428407475</v>
      </c>
      <c r="J508" s="6">
        <v>0.57419941003234543</v>
      </c>
      <c r="K508" s="11">
        <v>0.5757675969100704</v>
      </c>
      <c r="L508" s="7">
        <v>87</v>
      </c>
      <c r="M508" s="7">
        <v>90</v>
      </c>
      <c r="N508" s="7">
        <v>90</v>
      </c>
      <c r="O508" s="7"/>
    </row>
    <row r="509" spans="2:15" x14ac:dyDescent="0.25">
      <c r="B509" s="3">
        <v>182</v>
      </c>
      <c r="C509" s="3" t="s">
        <v>370</v>
      </c>
      <c r="D509" s="3" t="s">
        <v>371</v>
      </c>
      <c r="E509" s="3" t="s">
        <v>341</v>
      </c>
      <c r="F509" s="3">
        <v>8206</v>
      </c>
      <c r="G509" s="3">
        <v>8</v>
      </c>
      <c r="H509" s="3">
        <v>0.53900000000000003</v>
      </c>
      <c r="I509" s="6">
        <v>0.56440892573664214</v>
      </c>
      <c r="J509" s="6">
        <v>0.57187921158036248</v>
      </c>
      <c r="K509" s="11">
        <v>0.56613971787291484</v>
      </c>
      <c r="L509" s="7">
        <v>101</v>
      </c>
      <c r="M509" s="7">
        <v>94</v>
      </c>
      <c r="N509" s="7">
        <v>97</v>
      </c>
      <c r="O509" s="7"/>
    </row>
    <row r="510" spans="2:15" x14ac:dyDescent="0.25">
      <c r="B510" s="3">
        <v>183</v>
      </c>
      <c r="C510" s="3" t="s">
        <v>372</v>
      </c>
      <c r="D510" s="3" t="s">
        <v>373</v>
      </c>
      <c r="E510" s="3" t="s">
        <v>341</v>
      </c>
      <c r="F510" s="3">
        <v>8301</v>
      </c>
      <c r="G510" s="3">
        <v>8</v>
      </c>
      <c r="H510" s="3">
        <v>0.59899999999999998</v>
      </c>
      <c r="I510" s="6">
        <v>0.54272002610346326</v>
      </c>
      <c r="J510" s="6">
        <v>0.56375851699842205</v>
      </c>
      <c r="K510" s="11">
        <v>0.55209682830872919</v>
      </c>
      <c r="L510" s="7">
        <v>115</v>
      </c>
      <c r="M510" s="7">
        <v>99</v>
      </c>
      <c r="N510" s="7">
        <v>110</v>
      </c>
      <c r="O510" s="7"/>
    </row>
    <row r="511" spans="2:15" x14ac:dyDescent="0.25">
      <c r="B511" s="3">
        <v>184</v>
      </c>
      <c r="C511" s="3" t="s">
        <v>374</v>
      </c>
      <c r="D511" s="3" t="s">
        <v>375</v>
      </c>
      <c r="E511" s="3" t="s">
        <v>341</v>
      </c>
      <c r="F511" s="3">
        <v>8106</v>
      </c>
      <c r="G511" s="3">
        <v>8</v>
      </c>
      <c r="H511" s="3">
        <v>0.495</v>
      </c>
      <c r="I511" s="6">
        <v>0.62730371202870383</v>
      </c>
      <c r="J511" s="6">
        <v>0.61712308139403038</v>
      </c>
      <c r="K511" s="11">
        <v>0.63448825069711112</v>
      </c>
      <c r="L511" s="7">
        <v>38</v>
      </c>
      <c r="M511" s="7">
        <v>47</v>
      </c>
      <c r="N511" s="7">
        <v>39</v>
      </c>
      <c r="O511" s="7"/>
    </row>
    <row r="512" spans="2:15" x14ac:dyDescent="0.25">
      <c r="B512" s="3">
        <v>185</v>
      </c>
      <c r="C512" s="3" t="s">
        <v>376</v>
      </c>
      <c r="D512" s="3" t="s">
        <v>377</v>
      </c>
      <c r="E512" s="3" t="s">
        <v>341</v>
      </c>
      <c r="F512" s="3">
        <v>8305</v>
      </c>
      <c r="G512" s="3">
        <v>8</v>
      </c>
      <c r="H512" s="3">
        <v>0.53900000000000003</v>
      </c>
      <c r="I512" s="6">
        <v>0.50852457118706573</v>
      </c>
      <c r="J512" s="6">
        <v>0.51503434950677973</v>
      </c>
      <c r="K512" s="11">
        <v>0.51649186015196391</v>
      </c>
      <c r="L512" s="7">
        <v>154</v>
      </c>
      <c r="M512" s="7">
        <v>142</v>
      </c>
      <c r="N512" s="7">
        <v>138</v>
      </c>
      <c r="O512" s="7"/>
    </row>
    <row r="513" spans="2:15" x14ac:dyDescent="0.25">
      <c r="B513" s="3">
        <v>186</v>
      </c>
      <c r="C513" s="3" t="s">
        <v>378</v>
      </c>
      <c r="D513" s="3" t="s">
        <v>379</v>
      </c>
      <c r="E513" s="3" t="s">
        <v>341</v>
      </c>
      <c r="F513" s="3">
        <v>8306</v>
      </c>
      <c r="G513" s="3">
        <v>8</v>
      </c>
      <c r="H513" s="3">
        <v>0.54700000000000004</v>
      </c>
      <c r="I513" s="6">
        <v>0.54770980846356321</v>
      </c>
      <c r="J513" s="6">
        <v>0.55911812009445616</v>
      </c>
      <c r="K513" s="11">
        <v>0.55982220884432843</v>
      </c>
      <c r="L513" s="7">
        <v>114</v>
      </c>
      <c r="M513" s="7">
        <v>101</v>
      </c>
      <c r="N513" s="7">
        <v>100</v>
      </c>
      <c r="O513" s="7"/>
    </row>
    <row r="514" spans="2:15" x14ac:dyDescent="0.25">
      <c r="B514" s="3">
        <v>187</v>
      </c>
      <c r="C514" s="3" t="s">
        <v>380</v>
      </c>
      <c r="D514" s="3" t="s">
        <v>381</v>
      </c>
      <c r="E514" s="3" t="s">
        <v>341</v>
      </c>
      <c r="F514" s="3">
        <v>8307</v>
      </c>
      <c r="G514" s="3">
        <v>8</v>
      </c>
      <c r="H514" s="3">
        <v>0.46100000000000002</v>
      </c>
      <c r="I514" s="6">
        <v>0.40406232291037336</v>
      </c>
      <c r="J514" s="6">
        <v>0.40018452613362265</v>
      </c>
      <c r="K514" s="11">
        <v>0.39685563470042101</v>
      </c>
      <c r="L514" s="7">
        <v>278</v>
      </c>
      <c r="M514" s="7">
        <v>279</v>
      </c>
      <c r="N514" s="7">
        <v>287</v>
      </c>
      <c r="O514" s="7"/>
    </row>
    <row r="515" spans="2:15" x14ac:dyDescent="0.25">
      <c r="B515" s="3">
        <v>188</v>
      </c>
      <c r="C515" s="3" t="s">
        <v>382</v>
      </c>
      <c r="D515" s="3" t="s">
        <v>383</v>
      </c>
      <c r="E515" s="3" t="s">
        <v>341</v>
      </c>
      <c r="F515" s="3">
        <v>8107</v>
      </c>
      <c r="G515" s="3">
        <v>8</v>
      </c>
      <c r="H515" s="3">
        <v>0.56499999999999995</v>
      </c>
      <c r="I515" s="6">
        <v>0.61201492580331085</v>
      </c>
      <c r="J515" s="6">
        <v>0.63220437133191976</v>
      </c>
      <c r="K515" s="11">
        <v>0.61903065645784983</v>
      </c>
      <c r="L515" s="7">
        <v>45</v>
      </c>
      <c r="M515" s="7">
        <v>34</v>
      </c>
      <c r="N515" s="7">
        <v>45</v>
      </c>
      <c r="O515" s="7"/>
    </row>
    <row r="516" spans="2:15" x14ac:dyDescent="0.25">
      <c r="B516" s="3">
        <v>190</v>
      </c>
      <c r="C516" s="3" t="s">
        <v>386</v>
      </c>
      <c r="D516" s="3" t="s">
        <v>387</v>
      </c>
      <c r="E516" s="3" t="s">
        <v>341</v>
      </c>
      <c r="F516" s="3">
        <v>8309</v>
      </c>
      <c r="G516" s="3">
        <v>8</v>
      </c>
      <c r="H516" s="3">
        <v>0.45200000000000001</v>
      </c>
      <c r="I516" s="6">
        <v>0.34556317398397973</v>
      </c>
      <c r="J516" s="6">
        <v>0.35610075554594622</v>
      </c>
      <c r="K516" s="11">
        <v>0.35787688873103374</v>
      </c>
      <c r="L516" s="7">
        <v>343</v>
      </c>
      <c r="M516" s="7">
        <v>337</v>
      </c>
      <c r="N516" s="7">
        <v>339</v>
      </c>
      <c r="O516" s="7"/>
    </row>
    <row r="517" spans="2:15" x14ac:dyDescent="0.25">
      <c r="B517" s="3">
        <v>191</v>
      </c>
      <c r="C517" s="3" t="s">
        <v>388</v>
      </c>
      <c r="D517" s="3" t="s">
        <v>389</v>
      </c>
      <c r="E517" s="3" t="s">
        <v>341</v>
      </c>
      <c r="F517" s="3">
        <v>8108</v>
      </c>
      <c r="G517" s="3">
        <v>8</v>
      </c>
      <c r="H517" s="3">
        <v>0.60099999999999998</v>
      </c>
      <c r="I517" s="6">
        <v>0.65037858052571373</v>
      </c>
      <c r="J517" s="6">
        <v>0.68324873727554503</v>
      </c>
      <c r="K517" s="11">
        <v>0.66176140376841808</v>
      </c>
      <c r="L517" s="7">
        <v>24</v>
      </c>
      <c r="M517" s="7">
        <v>17</v>
      </c>
      <c r="N517" s="7">
        <v>20</v>
      </c>
      <c r="O517" s="7"/>
    </row>
    <row r="518" spans="2:15" x14ac:dyDescent="0.25">
      <c r="B518" s="3">
        <v>193</v>
      </c>
      <c r="C518" s="3" t="s">
        <v>392</v>
      </c>
      <c r="D518" s="3" t="s">
        <v>393</v>
      </c>
      <c r="E518" s="3" t="s">
        <v>341</v>
      </c>
      <c r="F518" s="3">
        <v>8311</v>
      </c>
      <c r="G518" s="3">
        <v>8</v>
      </c>
      <c r="H518" s="3">
        <v>0.53200000000000003</v>
      </c>
      <c r="I518" s="6">
        <v>0.4560446689629491</v>
      </c>
      <c r="J518" s="6">
        <v>0.4616697851111714</v>
      </c>
      <c r="K518" s="11">
        <v>0.45933758601779745</v>
      </c>
      <c r="L518" s="7">
        <v>210</v>
      </c>
      <c r="M518" s="7">
        <v>203</v>
      </c>
      <c r="N518" s="7">
        <v>205</v>
      </c>
      <c r="O518" s="7"/>
    </row>
    <row r="519" spans="2:15" x14ac:dyDescent="0.25">
      <c r="B519" s="3">
        <v>194</v>
      </c>
      <c r="C519" s="3" t="s">
        <v>394</v>
      </c>
      <c r="D519" s="3" t="s">
        <v>395</v>
      </c>
      <c r="E519" s="3" t="s">
        <v>341</v>
      </c>
      <c r="F519" s="3">
        <v>8109</v>
      </c>
      <c r="G519" s="3">
        <v>8</v>
      </c>
      <c r="H519" s="3">
        <v>0.48899999999999999</v>
      </c>
      <c r="I519" s="6">
        <v>0.48666911344980524</v>
      </c>
      <c r="J519" s="6">
        <v>0.49531266266492446</v>
      </c>
      <c r="K519" s="11">
        <v>0.4857406248092479</v>
      </c>
      <c r="L519" s="7">
        <v>181</v>
      </c>
      <c r="M519" s="7">
        <v>167</v>
      </c>
      <c r="N519" s="7">
        <v>178</v>
      </c>
      <c r="O519" s="7"/>
    </row>
    <row r="520" spans="2:15" x14ac:dyDescent="0.25">
      <c r="B520" s="3">
        <v>195</v>
      </c>
      <c r="C520" s="3" t="s">
        <v>396</v>
      </c>
      <c r="D520" s="3" t="s">
        <v>397</v>
      </c>
      <c r="E520" s="3" t="s">
        <v>341</v>
      </c>
      <c r="F520" s="3">
        <v>8110</v>
      </c>
      <c r="G520" s="3">
        <v>8</v>
      </c>
      <c r="H520" s="3">
        <v>0.59399999999999997</v>
      </c>
      <c r="I520" s="6">
        <v>0.70183846616380285</v>
      </c>
      <c r="J520" s="6">
        <v>0.70065022566541735</v>
      </c>
      <c r="K520" s="11">
        <v>0.70164484690233808</v>
      </c>
      <c r="L520" s="7">
        <v>10</v>
      </c>
      <c r="M520" s="7">
        <v>10</v>
      </c>
      <c r="N520" s="7">
        <v>10</v>
      </c>
      <c r="O520" s="7"/>
    </row>
    <row r="521" spans="2:15" x14ac:dyDescent="0.25">
      <c r="B521" s="3">
        <v>196</v>
      </c>
      <c r="C521" s="3" t="s">
        <v>398</v>
      </c>
      <c r="D521" s="3" t="s">
        <v>399</v>
      </c>
      <c r="E521" s="3" t="s">
        <v>341</v>
      </c>
      <c r="F521" s="3">
        <v>8207</v>
      </c>
      <c r="G521" s="3">
        <v>8</v>
      </c>
      <c r="H521" s="3">
        <v>0.34599999999999997</v>
      </c>
      <c r="I521" s="6">
        <v>0.35529144165012261</v>
      </c>
      <c r="J521" s="6">
        <v>0.35610075554594622</v>
      </c>
      <c r="K521" s="11">
        <v>0.35830804094954738</v>
      </c>
      <c r="L521" s="7">
        <v>338</v>
      </c>
      <c r="M521" s="7">
        <v>336</v>
      </c>
      <c r="N521" s="7">
        <v>337</v>
      </c>
      <c r="O521" s="7"/>
    </row>
    <row r="522" spans="2:15" x14ac:dyDescent="0.25">
      <c r="B522" s="3">
        <v>197</v>
      </c>
      <c r="C522" s="3" t="s">
        <v>400</v>
      </c>
      <c r="D522" s="3" t="s">
        <v>401</v>
      </c>
      <c r="E522" s="3" t="s">
        <v>341</v>
      </c>
      <c r="F522" s="3">
        <v>8111</v>
      </c>
      <c r="G522" s="3">
        <v>8</v>
      </c>
      <c r="H522" s="3">
        <v>0.57199999999999995</v>
      </c>
      <c r="I522" s="6">
        <v>0.61043022918196388</v>
      </c>
      <c r="J522" s="6">
        <v>0.62756397442795375</v>
      </c>
      <c r="K522" s="11">
        <v>0.61894930930726433</v>
      </c>
      <c r="L522" s="7">
        <v>46</v>
      </c>
      <c r="M522" s="7">
        <v>39</v>
      </c>
      <c r="N522" s="7">
        <v>46</v>
      </c>
      <c r="O522" s="7"/>
    </row>
    <row r="523" spans="2:15" x14ac:dyDescent="0.25">
      <c r="B523" s="3">
        <v>198</v>
      </c>
      <c r="C523" s="3" t="s">
        <v>402</v>
      </c>
      <c r="D523" s="3" t="s">
        <v>403</v>
      </c>
      <c r="E523" s="3" t="s">
        <v>341</v>
      </c>
      <c r="F523" s="3">
        <v>8312</v>
      </c>
      <c r="G523" s="3">
        <v>8</v>
      </c>
      <c r="H523" s="3">
        <v>0.44</v>
      </c>
      <c r="I523" s="6">
        <v>0.5252457552574189</v>
      </c>
      <c r="J523" s="6">
        <v>0.54867722706053279</v>
      </c>
      <c r="K523" s="11">
        <v>0.53103775884589366</v>
      </c>
      <c r="L523" s="7">
        <v>131</v>
      </c>
      <c r="M523" s="7">
        <v>113</v>
      </c>
      <c r="N523" s="7">
        <v>126</v>
      </c>
      <c r="O523" s="7"/>
    </row>
    <row r="524" spans="2:15" x14ac:dyDescent="0.25">
      <c r="B524" s="3">
        <v>199</v>
      </c>
      <c r="C524" s="3" t="s">
        <v>404</v>
      </c>
      <c r="D524" s="3" t="s">
        <v>405</v>
      </c>
      <c r="E524" s="3" t="s">
        <v>341</v>
      </c>
      <c r="F524" s="3">
        <v>8313</v>
      </c>
      <c r="G524" s="3">
        <v>8</v>
      </c>
      <c r="H524" s="3">
        <v>0.47</v>
      </c>
      <c r="I524" s="6">
        <v>0.47050263846589468</v>
      </c>
      <c r="J524" s="6">
        <v>0.48951216653496704</v>
      </c>
      <c r="K524" s="11">
        <v>0.47452757662382883</v>
      </c>
      <c r="L524" s="7">
        <v>199</v>
      </c>
      <c r="M524" s="7">
        <v>175</v>
      </c>
      <c r="N524" s="7">
        <v>195</v>
      </c>
      <c r="O524" s="7"/>
    </row>
    <row r="525" spans="2:15" x14ac:dyDescent="0.25">
      <c r="B525" s="3">
        <v>200</v>
      </c>
      <c r="C525" s="3" t="s">
        <v>406</v>
      </c>
      <c r="D525" s="3" t="s">
        <v>407</v>
      </c>
      <c r="E525" s="3" t="s">
        <v>408</v>
      </c>
      <c r="F525" s="3">
        <v>9201</v>
      </c>
      <c r="G525" s="3">
        <v>9</v>
      </c>
      <c r="H525" s="3">
        <v>0.58399999999999996</v>
      </c>
      <c r="I525" s="6">
        <v>0.59750779023844669</v>
      </c>
      <c r="J525" s="6">
        <v>0.60436198990812406</v>
      </c>
      <c r="K525" s="11">
        <v>0.60379877733399312</v>
      </c>
      <c r="L525" s="7">
        <v>57</v>
      </c>
      <c r="M525" s="7">
        <v>57</v>
      </c>
      <c r="N525" s="7">
        <v>60</v>
      </c>
      <c r="O525" s="7"/>
    </row>
    <row r="526" spans="2:15" x14ac:dyDescent="0.25">
      <c r="B526" s="3">
        <v>201</v>
      </c>
      <c r="C526" s="3" t="s">
        <v>409</v>
      </c>
      <c r="D526" s="3" t="s">
        <v>410</v>
      </c>
      <c r="E526" s="3" t="s">
        <v>408</v>
      </c>
      <c r="F526" s="3">
        <v>9102</v>
      </c>
      <c r="G526" s="3">
        <v>9</v>
      </c>
      <c r="H526" s="3">
        <v>0.439</v>
      </c>
      <c r="I526" s="6">
        <v>0.40202865376084618</v>
      </c>
      <c r="J526" s="6">
        <v>0.40830522071556308</v>
      </c>
      <c r="K526" s="11">
        <v>0.40727573771843706</v>
      </c>
      <c r="L526" s="7">
        <v>283</v>
      </c>
      <c r="M526" s="7">
        <v>268</v>
      </c>
      <c r="N526" s="7">
        <v>265</v>
      </c>
      <c r="O526" s="7"/>
    </row>
    <row r="527" spans="2:15" x14ac:dyDescent="0.25">
      <c r="B527" s="3">
        <v>202</v>
      </c>
      <c r="C527" s="3" t="s">
        <v>411</v>
      </c>
      <c r="D527" s="3" t="s">
        <v>412</v>
      </c>
      <c r="E527" s="3" t="s">
        <v>408</v>
      </c>
      <c r="F527" s="3">
        <v>9121</v>
      </c>
      <c r="G527" s="3">
        <v>9</v>
      </c>
      <c r="H527" s="3">
        <v>0.41599999999999998</v>
      </c>
      <c r="I527" s="6">
        <v>0.38208851480065537</v>
      </c>
      <c r="J527" s="6">
        <v>0.38046283929176744</v>
      </c>
      <c r="K527" s="11">
        <v>0.37764070706838659</v>
      </c>
      <c r="L527" s="7">
        <v>307</v>
      </c>
      <c r="M527" s="7">
        <v>306</v>
      </c>
      <c r="N527" s="7">
        <v>311</v>
      </c>
      <c r="O527" s="7"/>
    </row>
    <row r="528" spans="2:15" x14ac:dyDescent="0.25">
      <c r="B528" s="3">
        <v>203</v>
      </c>
      <c r="C528" s="3" t="s">
        <v>413</v>
      </c>
      <c r="D528" s="3" t="s">
        <v>414</v>
      </c>
      <c r="E528" s="3" t="s">
        <v>408</v>
      </c>
      <c r="F528" s="3">
        <v>9202</v>
      </c>
      <c r="G528" s="3">
        <v>9</v>
      </c>
      <c r="H528" s="3">
        <v>0.53300000000000003</v>
      </c>
      <c r="I528" s="6">
        <v>0.50141220449632007</v>
      </c>
      <c r="J528" s="6">
        <v>0.49763286111690747</v>
      </c>
      <c r="K528" s="11">
        <v>0.50211559304307851</v>
      </c>
      <c r="L528" s="7">
        <v>161</v>
      </c>
      <c r="M528" s="7">
        <v>162</v>
      </c>
      <c r="N528" s="7">
        <v>158</v>
      </c>
      <c r="O528" s="7"/>
    </row>
    <row r="529" spans="2:15" x14ac:dyDescent="0.25">
      <c r="B529" s="3">
        <v>204</v>
      </c>
      <c r="C529" s="3" t="s">
        <v>415</v>
      </c>
      <c r="D529" s="3" t="s">
        <v>416</v>
      </c>
      <c r="E529" s="3" t="s">
        <v>408</v>
      </c>
      <c r="F529" s="3">
        <v>9103</v>
      </c>
      <c r="G529" s="3">
        <v>9</v>
      </c>
      <c r="H529" s="3">
        <v>0.54400000000000004</v>
      </c>
      <c r="I529" s="6">
        <v>0.46111348917512618</v>
      </c>
      <c r="J529" s="6">
        <v>0.47211067814509478</v>
      </c>
      <c r="K529" s="11">
        <v>0.45741731423051929</v>
      </c>
      <c r="L529" s="7">
        <v>204</v>
      </c>
      <c r="M529" s="7">
        <v>191</v>
      </c>
      <c r="N529" s="7">
        <v>208</v>
      </c>
      <c r="O529" s="7"/>
    </row>
    <row r="530" spans="2:15" x14ac:dyDescent="0.25">
      <c r="B530" s="3">
        <v>205</v>
      </c>
      <c r="C530" s="3" t="s">
        <v>417</v>
      </c>
      <c r="D530" s="3" t="s">
        <v>418</v>
      </c>
      <c r="E530" s="3" t="s">
        <v>408</v>
      </c>
      <c r="F530" s="3">
        <v>9203</v>
      </c>
      <c r="G530" s="3">
        <v>9</v>
      </c>
      <c r="H530" s="3">
        <v>0.47199999999999998</v>
      </c>
      <c r="I530" s="6">
        <v>0.51484203478589485</v>
      </c>
      <c r="J530" s="6">
        <v>0.51851464718475415</v>
      </c>
      <c r="K530" s="11">
        <v>0.50451406166667967</v>
      </c>
      <c r="L530" s="7">
        <v>138</v>
      </c>
      <c r="M530" s="7">
        <v>141</v>
      </c>
      <c r="N530" s="7">
        <v>152</v>
      </c>
      <c r="O530" s="7"/>
    </row>
    <row r="531" spans="2:15" x14ac:dyDescent="0.25">
      <c r="B531" s="3">
        <v>206</v>
      </c>
      <c r="C531" s="3" t="s">
        <v>419</v>
      </c>
      <c r="D531" s="3" t="s">
        <v>420</v>
      </c>
      <c r="E531" s="3" t="s">
        <v>408</v>
      </c>
      <c r="F531" s="3">
        <v>9104</v>
      </c>
      <c r="G531" s="3">
        <v>9</v>
      </c>
      <c r="H531" s="3">
        <v>0.45400000000000001</v>
      </c>
      <c r="I531" s="6">
        <v>0.36578965290629606</v>
      </c>
      <c r="J531" s="6">
        <v>0.37582244238780149</v>
      </c>
      <c r="K531" s="11">
        <v>0.37586340338818441</v>
      </c>
      <c r="L531" s="7">
        <v>324</v>
      </c>
      <c r="M531" s="7">
        <v>310</v>
      </c>
      <c r="N531" s="7">
        <v>313</v>
      </c>
      <c r="O531" s="7"/>
    </row>
    <row r="532" spans="2:15" x14ac:dyDescent="0.25">
      <c r="B532" s="3">
        <v>208</v>
      </c>
      <c r="C532" s="3" t="s">
        <v>423</v>
      </c>
      <c r="D532" s="3" t="s">
        <v>424</v>
      </c>
      <c r="E532" s="3" t="s">
        <v>408</v>
      </c>
      <c r="F532" s="3">
        <v>9105</v>
      </c>
      <c r="G532" s="3">
        <v>9</v>
      </c>
      <c r="H532" s="3">
        <v>0.44600000000000001</v>
      </c>
      <c r="I532" s="6">
        <v>0.42551009254722805</v>
      </c>
      <c r="J532" s="6">
        <v>0.42454660987944387</v>
      </c>
      <c r="K532" s="11">
        <v>0.41870434820646413</v>
      </c>
      <c r="L532" s="7">
        <v>249</v>
      </c>
      <c r="M532" s="7">
        <v>245</v>
      </c>
      <c r="N532" s="7">
        <v>250</v>
      </c>
      <c r="O532" s="7"/>
    </row>
    <row r="533" spans="2:15" x14ac:dyDescent="0.25">
      <c r="B533" s="3">
        <v>209</v>
      </c>
      <c r="C533" s="3" t="s">
        <v>425</v>
      </c>
      <c r="D533" s="3" t="s">
        <v>426</v>
      </c>
      <c r="E533" s="3" t="s">
        <v>408</v>
      </c>
      <c r="F533" s="3">
        <v>9106</v>
      </c>
      <c r="G533" s="3">
        <v>9</v>
      </c>
      <c r="H533" s="3">
        <v>0.496</v>
      </c>
      <c r="I533" s="6">
        <v>0.3918341563675411</v>
      </c>
      <c r="J533" s="6">
        <v>0.40018452613362265</v>
      </c>
      <c r="K533" s="11">
        <v>0.39736956106439381</v>
      </c>
      <c r="L533" s="7">
        <v>295</v>
      </c>
      <c r="M533" s="7">
        <v>278</v>
      </c>
      <c r="N533" s="7">
        <v>284</v>
      </c>
      <c r="O533" s="7"/>
    </row>
    <row r="534" spans="2:15" x14ac:dyDescent="0.25">
      <c r="B534" s="3">
        <v>210</v>
      </c>
      <c r="C534" s="3" t="s">
        <v>427</v>
      </c>
      <c r="D534" s="3" t="s">
        <v>428</v>
      </c>
      <c r="E534" s="3" t="s">
        <v>408</v>
      </c>
      <c r="F534" s="3">
        <v>9107</v>
      </c>
      <c r="G534" s="3">
        <v>9</v>
      </c>
      <c r="H534" s="3">
        <v>0.50800000000000001</v>
      </c>
      <c r="I534" s="6">
        <v>0.45147103940213229</v>
      </c>
      <c r="J534" s="6">
        <v>0.45702938820720546</v>
      </c>
      <c r="K534" s="11">
        <v>0.45795761855100853</v>
      </c>
      <c r="L534" s="7">
        <v>220</v>
      </c>
      <c r="M534" s="7">
        <v>209</v>
      </c>
      <c r="N534" s="7">
        <v>207</v>
      </c>
      <c r="O534" s="7"/>
    </row>
    <row r="535" spans="2:15" x14ac:dyDescent="0.25">
      <c r="B535" s="3">
        <v>211</v>
      </c>
      <c r="C535" s="3" t="s">
        <v>429</v>
      </c>
      <c r="D535" s="3" t="s">
        <v>430</v>
      </c>
      <c r="E535" s="3" t="s">
        <v>408</v>
      </c>
      <c r="F535" s="3">
        <v>9108</v>
      </c>
      <c r="G535" s="3">
        <v>9</v>
      </c>
      <c r="H535" s="3">
        <v>0.57799999999999996</v>
      </c>
      <c r="I535" s="6">
        <v>0.52124365940541095</v>
      </c>
      <c r="J535" s="6">
        <v>0.54171663170458384</v>
      </c>
      <c r="K535" s="11">
        <v>0.52725745186714379</v>
      </c>
      <c r="L535" s="7">
        <v>134</v>
      </c>
      <c r="M535" s="7">
        <v>122</v>
      </c>
      <c r="N535" s="7">
        <v>129</v>
      </c>
      <c r="O535" s="7"/>
    </row>
    <row r="536" spans="2:15" x14ac:dyDescent="0.25">
      <c r="B536" s="3">
        <v>212</v>
      </c>
      <c r="C536" s="3" t="s">
        <v>431</v>
      </c>
      <c r="D536" s="3" t="s">
        <v>432</v>
      </c>
      <c r="E536" s="3" t="s">
        <v>408</v>
      </c>
      <c r="F536" s="3">
        <v>9109</v>
      </c>
      <c r="G536" s="3">
        <v>9</v>
      </c>
      <c r="H536" s="3">
        <v>0.52400000000000002</v>
      </c>
      <c r="I536" s="6">
        <v>0.51237230189545835</v>
      </c>
      <c r="J536" s="6">
        <v>0.52895554021867752</v>
      </c>
      <c r="K536" s="11">
        <v>0.51420930732714076</v>
      </c>
      <c r="L536" s="7">
        <v>143</v>
      </c>
      <c r="M536" s="7">
        <v>129</v>
      </c>
      <c r="N536" s="7">
        <v>142</v>
      </c>
      <c r="O536" s="7"/>
    </row>
    <row r="537" spans="2:15" x14ac:dyDescent="0.25">
      <c r="B537" s="3">
        <v>213</v>
      </c>
      <c r="C537" s="3" t="s">
        <v>433</v>
      </c>
      <c r="D537" s="3" t="s">
        <v>434</v>
      </c>
      <c r="E537" s="3" t="s">
        <v>408</v>
      </c>
      <c r="F537" s="3">
        <v>9205</v>
      </c>
      <c r="G537" s="3">
        <v>9</v>
      </c>
      <c r="H537" s="3">
        <v>0.47</v>
      </c>
      <c r="I537" s="6">
        <v>0.35681241397067998</v>
      </c>
      <c r="J537" s="6">
        <v>0.3572608547719377</v>
      </c>
      <c r="K537" s="11">
        <v>0.35959763576592307</v>
      </c>
      <c r="L537" s="7">
        <v>336</v>
      </c>
      <c r="M537" s="7">
        <v>335</v>
      </c>
      <c r="N537" s="7">
        <v>334</v>
      </c>
      <c r="O537" s="7"/>
    </row>
    <row r="538" spans="2:15" x14ac:dyDescent="0.25">
      <c r="B538" s="3">
        <v>214</v>
      </c>
      <c r="C538" s="3" t="s">
        <v>435</v>
      </c>
      <c r="D538" s="3" t="s">
        <v>436</v>
      </c>
      <c r="E538" s="3" t="s">
        <v>408</v>
      </c>
      <c r="F538" s="3">
        <v>9206</v>
      </c>
      <c r="G538" s="3">
        <v>9</v>
      </c>
      <c r="H538" s="3">
        <v>0.502</v>
      </c>
      <c r="I538" s="6">
        <v>0.47921027252460641</v>
      </c>
      <c r="J538" s="6">
        <v>0.48603186885699257</v>
      </c>
      <c r="K538" s="11">
        <v>0.48013195968316258</v>
      </c>
      <c r="L538" s="7">
        <v>189</v>
      </c>
      <c r="M538" s="7">
        <v>182</v>
      </c>
      <c r="N538" s="7">
        <v>186</v>
      </c>
      <c r="O538" s="7"/>
    </row>
    <row r="539" spans="2:15" x14ac:dyDescent="0.25">
      <c r="B539" s="3">
        <v>215</v>
      </c>
      <c r="C539" s="3" t="s">
        <v>437</v>
      </c>
      <c r="D539" s="3" t="s">
        <v>438</v>
      </c>
      <c r="E539" s="3" t="s">
        <v>408</v>
      </c>
      <c r="F539" s="3">
        <v>9207</v>
      </c>
      <c r="G539" s="3">
        <v>9</v>
      </c>
      <c r="H539" s="3">
        <v>0.4</v>
      </c>
      <c r="I539" s="6">
        <v>0.35690854196743788</v>
      </c>
      <c r="J539" s="6">
        <v>0.3595810532239207</v>
      </c>
      <c r="K539" s="11">
        <v>0.36226942232867121</v>
      </c>
      <c r="L539" s="7">
        <v>334</v>
      </c>
      <c r="M539" s="7">
        <v>330</v>
      </c>
      <c r="N539" s="7">
        <v>332</v>
      </c>
      <c r="O539" s="7"/>
    </row>
    <row r="540" spans="2:15" x14ac:dyDescent="0.25">
      <c r="B540" s="3">
        <v>216</v>
      </c>
      <c r="C540" s="3" t="s">
        <v>439</v>
      </c>
      <c r="D540" s="3" t="s">
        <v>440</v>
      </c>
      <c r="E540" s="3" t="s">
        <v>408</v>
      </c>
      <c r="F540" s="3">
        <v>9110</v>
      </c>
      <c r="G540" s="3">
        <v>9</v>
      </c>
      <c r="H540" s="3">
        <v>0.44700000000000001</v>
      </c>
      <c r="I540" s="6">
        <v>0.3566377372342211</v>
      </c>
      <c r="J540" s="6">
        <v>0.36190125167590365</v>
      </c>
      <c r="K540" s="11">
        <v>0.36070560727521206</v>
      </c>
      <c r="L540" s="7">
        <v>337</v>
      </c>
      <c r="M540" s="7">
        <v>328</v>
      </c>
      <c r="N540" s="7">
        <v>333</v>
      </c>
      <c r="O540" s="7"/>
    </row>
    <row r="541" spans="2:15" x14ac:dyDescent="0.25">
      <c r="B541" s="3">
        <v>217</v>
      </c>
      <c r="C541" s="3" t="s">
        <v>441</v>
      </c>
      <c r="D541" s="3" t="s">
        <v>442</v>
      </c>
      <c r="E541" s="3" t="s">
        <v>408</v>
      </c>
      <c r="F541" s="3">
        <v>9111</v>
      </c>
      <c r="G541" s="3">
        <v>9</v>
      </c>
      <c r="H541" s="3">
        <v>0.49399999999999999</v>
      </c>
      <c r="I541" s="6">
        <v>0.45873696889884624</v>
      </c>
      <c r="J541" s="6">
        <v>0.4686303804671203</v>
      </c>
      <c r="K541" s="11">
        <v>0.4613386512794691</v>
      </c>
      <c r="L541" s="7">
        <v>206</v>
      </c>
      <c r="M541" s="7">
        <v>194</v>
      </c>
      <c r="N541" s="7">
        <v>203</v>
      </c>
      <c r="O541" s="7"/>
    </row>
    <row r="542" spans="2:15" x14ac:dyDescent="0.25">
      <c r="B542" s="3">
        <v>218</v>
      </c>
      <c r="C542" s="3" t="s">
        <v>443</v>
      </c>
      <c r="D542" s="3" t="s">
        <v>444</v>
      </c>
      <c r="E542" s="3" t="s">
        <v>408</v>
      </c>
      <c r="F542" s="3">
        <v>9112</v>
      </c>
      <c r="G542" s="3">
        <v>9</v>
      </c>
      <c r="H542" s="3">
        <v>0.51200000000000001</v>
      </c>
      <c r="I542" s="6">
        <v>0.44748739522253833</v>
      </c>
      <c r="J542" s="6">
        <v>0.45122889207724803</v>
      </c>
      <c r="K542" s="11">
        <v>0.4510905997167019</v>
      </c>
      <c r="L542" s="7">
        <v>224</v>
      </c>
      <c r="M542" s="7">
        <v>216</v>
      </c>
      <c r="N542" s="7">
        <v>221</v>
      </c>
      <c r="O542" s="7"/>
    </row>
    <row r="543" spans="2:15" x14ac:dyDescent="0.25">
      <c r="B543" s="3">
        <v>219</v>
      </c>
      <c r="C543" s="3" t="s">
        <v>445</v>
      </c>
      <c r="D543" s="3" t="s">
        <v>446</v>
      </c>
      <c r="E543" s="3" t="s">
        <v>408</v>
      </c>
      <c r="F543" s="3">
        <v>9113</v>
      </c>
      <c r="G543" s="3">
        <v>9</v>
      </c>
      <c r="H543" s="3">
        <v>0.48199999999999998</v>
      </c>
      <c r="I543" s="6">
        <v>0.44167844980268223</v>
      </c>
      <c r="J543" s="6">
        <v>0.45006879285125656</v>
      </c>
      <c r="K543" s="11">
        <v>0.44202836514084082</v>
      </c>
      <c r="L543" s="7">
        <v>231</v>
      </c>
      <c r="M543" s="7">
        <v>222</v>
      </c>
      <c r="N543" s="7">
        <v>229</v>
      </c>
      <c r="O543" s="7"/>
    </row>
    <row r="544" spans="2:15" x14ac:dyDescent="0.25">
      <c r="B544" s="3">
        <v>220</v>
      </c>
      <c r="C544" s="3" t="s">
        <v>447</v>
      </c>
      <c r="D544" s="3" t="s">
        <v>448</v>
      </c>
      <c r="E544" s="3" t="s">
        <v>408</v>
      </c>
      <c r="F544" s="3">
        <v>9114</v>
      </c>
      <c r="G544" s="3">
        <v>9</v>
      </c>
      <c r="H544" s="3">
        <v>0.57399999999999995</v>
      </c>
      <c r="I544" s="6">
        <v>0.52382990100668525</v>
      </c>
      <c r="J544" s="6">
        <v>0.54519692938255837</v>
      </c>
      <c r="K544" s="11">
        <v>0.52855008927016134</v>
      </c>
      <c r="L544" s="7">
        <v>133</v>
      </c>
      <c r="M544" s="7">
        <v>119</v>
      </c>
      <c r="N544" s="7">
        <v>127</v>
      </c>
      <c r="O544" s="7"/>
    </row>
    <row r="545" spans="2:15" x14ac:dyDescent="0.25">
      <c r="B545" s="3">
        <v>221</v>
      </c>
      <c r="C545" s="3" t="s">
        <v>449</v>
      </c>
      <c r="D545" s="3" t="s">
        <v>450</v>
      </c>
      <c r="E545" s="3" t="s">
        <v>408</v>
      </c>
      <c r="F545" s="3">
        <v>9115</v>
      </c>
      <c r="G545" s="3">
        <v>9</v>
      </c>
      <c r="H545" s="3">
        <v>0.53400000000000003</v>
      </c>
      <c r="I545" s="6">
        <v>0.54980856134794465</v>
      </c>
      <c r="J545" s="6">
        <v>0.5799999061623029</v>
      </c>
      <c r="K545" s="11">
        <v>0.55196981678912638</v>
      </c>
      <c r="L545" s="7">
        <v>111</v>
      </c>
      <c r="M545" s="7">
        <v>79</v>
      </c>
      <c r="N545" s="7">
        <v>111</v>
      </c>
      <c r="O545" s="7"/>
    </row>
    <row r="546" spans="2:15" x14ac:dyDescent="0.25">
      <c r="B546" s="3">
        <v>222</v>
      </c>
      <c r="C546" s="3" t="s">
        <v>451</v>
      </c>
      <c r="D546" s="3" t="s">
        <v>452</v>
      </c>
      <c r="E546" s="3" t="s">
        <v>408</v>
      </c>
      <c r="F546" s="3">
        <v>9208</v>
      </c>
      <c r="G546" s="3">
        <v>9</v>
      </c>
      <c r="H546" s="3">
        <v>0.45900000000000002</v>
      </c>
      <c r="I546" s="6">
        <v>0.47562458197436835</v>
      </c>
      <c r="J546" s="6">
        <v>0.48719196808298409</v>
      </c>
      <c r="K546" s="11">
        <v>0.47747771324846933</v>
      </c>
      <c r="L546" s="7">
        <v>194</v>
      </c>
      <c r="M546" s="7">
        <v>179</v>
      </c>
      <c r="N546" s="7">
        <v>192</v>
      </c>
      <c r="O546" s="7"/>
    </row>
    <row r="547" spans="2:15" x14ac:dyDescent="0.25">
      <c r="B547" s="3">
        <v>223</v>
      </c>
      <c r="C547" s="3" t="s">
        <v>453</v>
      </c>
      <c r="D547" s="3" t="s">
        <v>454</v>
      </c>
      <c r="E547" s="3" t="s">
        <v>408</v>
      </c>
      <c r="F547" s="3">
        <v>9209</v>
      </c>
      <c r="G547" s="3">
        <v>9</v>
      </c>
      <c r="H547" s="3">
        <v>0.41799999999999998</v>
      </c>
      <c r="I547" s="6">
        <v>0.43739487614805156</v>
      </c>
      <c r="J547" s="6">
        <v>0.43034710600940129</v>
      </c>
      <c r="K547" s="11">
        <v>0.42832092725360116</v>
      </c>
      <c r="L547" s="7">
        <v>236</v>
      </c>
      <c r="M547" s="7">
        <v>240</v>
      </c>
      <c r="N547" s="7">
        <v>241</v>
      </c>
      <c r="O547" s="7"/>
    </row>
    <row r="548" spans="2:15" x14ac:dyDescent="0.25">
      <c r="B548" s="3">
        <v>224</v>
      </c>
      <c r="C548" s="3" t="s">
        <v>455</v>
      </c>
      <c r="D548" s="3" t="s">
        <v>456</v>
      </c>
      <c r="E548" s="3" t="s">
        <v>408</v>
      </c>
      <c r="F548" s="3">
        <v>9116</v>
      </c>
      <c r="G548" s="3">
        <v>9</v>
      </c>
      <c r="H548" s="3">
        <v>0.47399999999999998</v>
      </c>
      <c r="I548" s="6">
        <v>0.36992812531440084</v>
      </c>
      <c r="J548" s="6">
        <v>0.37582244238780149</v>
      </c>
      <c r="K548" s="11">
        <v>0.37492250302265911</v>
      </c>
      <c r="L548" s="7">
        <v>318</v>
      </c>
      <c r="M548" s="7">
        <v>309</v>
      </c>
      <c r="N548" s="7">
        <v>317</v>
      </c>
      <c r="O548" s="7"/>
    </row>
    <row r="549" spans="2:15" x14ac:dyDescent="0.25">
      <c r="B549" s="3">
        <v>225</v>
      </c>
      <c r="C549" s="3" t="s">
        <v>457</v>
      </c>
      <c r="D549" s="3" t="s">
        <v>458</v>
      </c>
      <c r="E549" s="3" t="s">
        <v>408</v>
      </c>
      <c r="F549" s="3">
        <v>9101</v>
      </c>
      <c r="G549" s="3">
        <v>9</v>
      </c>
      <c r="H549" s="3">
        <v>0.63700000000000001</v>
      </c>
      <c r="I549" s="6">
        <v>0.64431950977781516</v>
      </c>
      <c r="J549" s="6">
        <v>0.65772655430373239</v>
      </c>
      <c r="K549" s="11">
        <v>0.6527952974075959</v>
      </c>
      <c r="L549" s="7">
        <v>29</v>
      </c>
      <c r="M549" s="7">
        <v>20</v>
      </c>
      <c r="N549" s="7">
        <v>26</v>
      </c>
      <c r="O549" s="7"/>
    </row>
    <row r="550" spans="2:15" x14ac:dyDescent="0.25">
      <c r="B550" s="3">
        <v>227</v>
      </c>
      <c r="C550" s="3" t="s">
        <v>461</v>
      </c>
      <c r="D550" s="3" t="s">
        <v>462</v>
      </c>
      <c r="E550" s="3" t="s">
        <v>408</v>
      </c>
      <c r="F550" s="3">
        <v>9118</v>
      </c>
      <c r="G550" s="3">
        <v>9</v>
      </c>
      <c r="H550" s="3">
        <v>0.39700000000000002</v>
      </c>
      <c r="I550" s="6">
        <v>0.3931443824690613</v>
      </c>
      <c r="J550" s="6">
        <v>0.3955441292296567</v>
      </c>
      <c r="K550" s="11">
        <v>0.39329270814236428</v>
      </c>
      <c r="L550" s="7">
        <v>293</v>
      </c>
      <c r="M550" s="7">
        <v>285</v>
      </c>
      <c r="N550" s="7">
        <v>291</v>
      </c>
      <c r="O550" s="7"/>
    </row>
    <row r="551" spans="2:15" x14ac:dyDescent="0.25">
      <c r="B551" s="3">
        <v>228</v>
      </c>
      <c r="C551" s="3" t="s">
        <v>463</v>
      </c>
      <c r="D551" s="3" t="s">
        <v>464</v>
      </c>
      <c r="E551" s="3" t="s">
        <v>408</v>
      </c>
      <c r="F551" s="3">
        <v>9210</v>
      </c>
      <c r="G551" s="3">
        <v>9</v>
      </c>
      <c r="H551" s="3">
        <v>0.55200000000000005</v>
      </c>
      <c r="I551" s="6">
        <v>0.49781615383343558</v>
      </c>
      <c r="J551" s="6">
        <v>0.50923385337682225</v>
      </c>
      <c r="K551" s="11">
        <v>0.50281175905624076</v>
      </c>
      <c r="L551" s="7">
        <v>166</v>
      </c>
      <c r="M551" s="7">
        <v>152</v>
      </c>
      <c r="N551" s="7">
        <v>155</v>
      </c>
      <c r="O551" s="7"/>
    </row>
    <row r="552" spans="2:15" x14ac:dyDescent="0.25">
      <c r="B552" s="3">
        <v>229</v>
      </c>
      <c r="C552" s="3" t="s">
        <v>465</v>
      </c>
      <c r="D552" s="3" t="s">
        <v>466</v>
      </c>
      <c r="E552" s="3" t="s">
        <v>408</v>
      </c>
      <c r="F552" s="3">
        <v>9211</v>
      </c>
      <c r="G552" s="3">
        <v>9</v>
      </c>
      <c r="H552" s="3">
        <v>0.54600000000000004</v>
      </c>
      <c r="I552" s="6">
        <v>0.55729349293659958</v>
      </c>
      <c r="J552" s="6">
        <v>0.57303931080635395</v>
      </c>
      <c r="K552" s="11">
        <v>0.5655684026718828</v>
      </c>
      <c r="L552" s="7">
        <v>104</v>
      </c>
      <c r="M552" s="7">
        <v>89</v>
      </c>
      <c r="N552" s="7">
        <v>98</v>
      </c>
      <c r="O552" s="7"/>
    </row>
    <row r="553" spans="2:15" x14ac:dyDescent="0.25">
      <c r="B553" s="3">
        <v>230</v>
      </c>
      <c r="C553" s="3" t="s">
        <v>467</v>
      </c>
      <c r="D553" s="3" t="s">
        <v>468</v>
      </c>
      <c r="E553" s="3" t="s">
        <v>408</v>
      </c>
      <c r="F553" s="3">
        <v>9119</v>
      </c>
      <c r="G553" s="3">
        <v>9</v>
      </c>
      <c r="H553" s="3">
        <v>0.45700000000000002</v>
      </c>
      <c r="I553" s="6">
        <v>0.43832054715662722</v>
      </c>
      <c r="J553" s="6">
        <v>0.44310819749530761</v>
      </c>
      <c r="K553" s="11">
        <v>0.43951913466914955</v>
      </c>
      <c r="L553" s="7">
        <v>235</v>
      </c>
      <c r="M553" s="7">
        <v>228</v>
      </c>
      <c r="N553" s="7">
        <v>235</v>
      </c>
      <c r="O553" s="7"/>
    </row>
    <row r="554" spans="2:15" x14ac:dyDescent="0.25">
      <c r="B554" s="3">
        <v>231</v>
      </c>
      <c r="C554" s="3" t="s">
        <v>469</v>
      </c>
      <c r="D554" s="3" t="s">
        <v>470</v>
      </c>
      <c r="E554" s="3" t="s">
        <v>408</v>
      </c>
      <c r="F554" s="3">
        <v>9120</v>
      </c>
      <c r="G554" s="3">
        <v>9</v>
      </c>
      <c r="H554" s="3">
        <v>0.56599999999999995</v>
      </c>
      <c r="I554" s="6">
        <v>0.56686830229453911</v>
      </c>
      <c r="J554" s="6">
        <v>0.61248268449006449</v>
      </c>
      <c r="K554" s="11">
        <v>0.56683924779577377</v>
      </c>
      <c r="L554" s="7">
        <v>94</v>
      </c>
      <c r="M554" s="7">
        <v>50</v>
      </c>
      <c r="N554" s="7">
        <v>96</v>
      </c>
      <c r="O554" s="7"/>
    </row>
    <row r="555" spans="2:15" x14ac:dyDescent="0.25">
      <c r="B555" s="3">
        <v>232</v>
      </c>
      <c r="C555" s="3" t="s">
        <v>471</v>
      </c>
      <c r="D555" s="3" t="s">
        <v>472</v>
      </c>
      <c r="E555" s="3" t="s">
        <v>473</v>
      </c>
      <c r="F555" s="3">
        <v>14102</v>
      </c>
      <c r="G555" s="3">
        <v>14</v>
      </c>
      <c r="H555" s="3">
        <v>0.375</v>
      </c>
      <c r="I555" s="6">
        <v>0.39933247653344822</v>
      </c>
      <c r="J555" s="6">
        <v>0.4117855183935375</v>
      </c>
      <c r="K555" s="11">
        <v>0.40837631582815309</v>
      </c>
      <c r="L555" s="7">
        <v>288</v>
      </c>
      <c r="M555" s="7">
        <v>263</v>
      </c>
      <c r="N555" s="7">
        <v>263</v>
      </c>
      <c r="O555" s="7"/>
    </row>
    <row r="556" spans="2:15" x14ac:dyDescent="0.25">
      <c r="B556" s="3">
        <v>233</v>
      </c>
      <c r="C556" s="3" t="s">
        <v>474</v>
      </c>
      <c r="D556" s="3" t="s">
        <v>475</v>
      </c>
      <c r="E556" s="3" t="s">
        <v>473</v>
      </c>
      <c r="F556" s="3">
        <v>14202</v>
      </c>
      <c r="G556" s="3">
        <v>14</v>
      </c>
      <c r="H556" s="3">
        <v>0.51100000000000001</v>
      </c>
      <c r="I556" s="6">
        <v>0.40293488917876069</v>
      </c>
      <c r="J556" s="6">
        <v>0.41062541916754602</v>
      </c>
      <c r="K556" s="11">
        <v>0.40597252983867227</v>
      </c>
      <c r="L556" s="7">
        <v>281</v>
      </c>
      <c r="M556" s="7">
        <v>264</v>
      </c>
      <c r="N556" s="7">
        <v>270</v>
      </c>
      <c r="O556" s="7"/>
    </row>
    <row r="557" spans="2:15" x14ac:dyDescent="0.25">
      <c r="B557" s="3">
        <v>234</v>
      </c>
      <c r="C557" s="3" t="s">
        <v>476</v>
      </c>
      <c r="D557" s="3" t="s">
        <v>477</v>
      </c>
      <c r="E557" s="3" t="s">
        <v>473</v>
      </c>
      <c r="F557" s="3">
        <v>14201</v>
      </c>
      <c r="G557" s="3">
        <v>14</v>
      </c>
      <c r="H557" s="3">
        <v>0.56699999999999995</v>
      </c>
      <c r="I557" s="6">
        <v>0.54998523226296403</v>
      </c>
      <c r="J557" s="6">
        <v>0.56723881467639659</v>
      </c>
      <c r="K557" s="11">
        <v>0.55717895266987272</v>
      </c>
      <c r="L557" s="7">
        <v>110</v>
      </c>
      <c r="M557" s="7">
        <v>96</v>
      </c>
      <c r="N557" s="7">
        <v>106</v>
      </c>
      <c r="O557" s="7"/>
    </row>
    <row r="558" spans="2:15" x14ac:dyDescent="0.25">
      <c r="B558" s="3">
        <v>235</v>
      </c>
      <c r="C558" s="3" t="s">
        <v>478</v>
      </c>
      <c r="D558" s="3" t="s">
        <v>479</v>
      </c>
      <c r="E558" s="3" t="s">
        <v>473</v>
      </c>
      <c r="F558" s="3">
        <v>14203</v>
      </c>
      <c r="G558" s="3">
        <v>14</v>
      </c>
      <c r="H558" s="3">
        <v>0.47199999999999998</v>
      </c>
      <c r="I558" s="6">
        <v>0.38660413152764972</v>
      </c>
      <c r="J558" s="6">
        <v>0.38742343464771634</v>
      </c>
      <c r="K558" s="11">
        <v>0.38507369003897296</v>
      </c>
      <c r="L558" s="7">
        <v>302</v>
      </c>
      <c r="M558" s="7">
        <v>295</v>
      </c>
      <c r="N558" s="7">
        <v>303</v>
      </c>
      <c r="O558" s="7"/>
    </row>
    <row r="559" spans="2:15" x14ac:dyDescent="0.25">
      <c r="B559" s="3">
        <v>236</v>
      </c>
      <c r="C559" s="3" t="s">
        <v>480</v>
      </c>
      <c r="D559" s="3" t="s">
        <v>481</v>
      </c>
      <c r="E559" s="3" t="s">
        <v>473</v>
      </c>
      <c r="F559" s="3">
        <v>14103</v>
      </c>
      <c r="G559" s="3">
        <v>14</v>
      </c>
      <c r="H559" s="3">
        <v>0.54200000000000004</v>
      </c>
      <c r="I559" s="6">
        <v>0.48664813147012692</v>
      </c>
      <c r="J559" s="6">
        <v>0.49067226576095851</v>
      </c>
      <c r="K559" s="11">
        <v>0.49061653556575424</v>
      </c>
      <c r="L559" s="7">
        <v>182</v>
      </c>
      <c r="M559" s="7">
        <v>174</v>
      </c>
      <c r="N559" s="7">
        <v>169</v>
      </c>
      <c r="O559" s="7"/>
    </row>
    <row r="560" spans="2:15" x14ac:dyDescent="0.25">
      <c r="B560" s="3">
        <v>237</v>
      </c>
      <c r="C560" s="3" t="s">
        <v>482</v>
      </c>
      <c r="D560" s="3" t="s">
        <v>483</v>
      </c>
      <c r="E560" s="3" t="s">
        <v>473</v>
      </c>
      <c r="F560" s="3">
        <v>14104</v>
      </c>
      <c r="G560" s="3">
        <v>14</v>
      </c>
      <c r="H560" s="3">
        <v>0.47599999999999998</v>
      </c>
      <c r="I560" s="6">
        <v>0.43503688641274618</v>
      </c>
      <c r="J560" s="6">
        <v>0.45006879285125656</v>
      </c>
      <c r="K560" s="11">
        <v>0.43965452471620436</v>
      </c>
      <c r="L560" s="7">
        <v>239</v>
      </c>
      <c r="M560" s="7">
        <v>221</v>
      </c>
      <c r="N560" s="7">
        <v>233</v>
      </c>
      <c r="O560" s="7"/>
    </row>
    <row r="561" spans="2:15" x14ac:dyDescent="0.25">
      <c r="B561" s="3">
        <v>238</v>
      </c>
      <c r="C561" s="3" t="s">
        <v>484</v>
      </c>
      <c r="D561" s="3" t="s">
        <v>485</v>
      </c>
      <c r="E561" s="3" t="s">
        <v>473</v>
      </c>
      <c r="F561" s="3">
        <v>14105</v>
      </c>
      <c r="G561" s="3">
        <v>14</v>
      </c>
      <c r="H561" s="3">
        <v>0.45200000000000001</v>
      </c>
      <c r="I561" s="6">
        <v>0.47721326064546565</v>
      </c>
      <c r="J561" s="6">
        <v>0.50111315879488183</v>
      </c>
      <c r="K561" s="11">
        <v>0.47848950543454927</v>
      </c>
      <c r="L561" s="7">
        <v>191</v>
      </c>
      <c r="M561" s="7">
        <v>159</v>
      </c>
      <c r="N561" s="7">
        <v>189</v>
      </c>
      <c r="O561" s="7"/>
    </row>
    <row r="562" spans="2:15" x14ac:dyDescent="0.25">
      <c r="B562" s="3">
        <v>239</v>
      </c>
      <c r="C562" s="3" t="s">
        <v>486</v>
      </c>
      <c r="D562" s="3" t="s">
        <v>487</v>
      </c>
      <c r="E562" s="3" t="s">
        <v>473</v>
      </c>
      <c r="F562" s="3">
        <v>14106</v>
      </c>
      <c r="G562" s="3">
        <v>14</v>
      </c>
      <c r="H562" s="3">
        <v>0.496</v>
      </c>
      <c r="I562" s="6">
        <v>0.47725306385188548</v>
      </c>
      <c r="J562" s="6">
        <v>0.49183236498695004</v>
      </c>
      <c r="K562" s="11">
        <v>0.48831520743116263</v>
      </c>
      <c r="L562" s="7">
        <v>190</v>
      </c>
      <c r="M562" s="7">
        <v>172</v>
      </c>
      <c r="N562" s="7">
        <v>175</v>
      </c>
      <c r="O562" s="7"/>
    </row>
    <row r="563" spans="2:15" x14ac:dyDescent="0.25">
      <c r="B563" s="3">
        <v>240</v>
      </c>
      <c r="C563" s="3" t="s">
        <v>488</v>
      </c>
      <c r="D563" s="3" t="s">
        <v>489</v>
      </c>
      <c r="E563" s="3" t="s">
        <v>473</v>
      </c>
      <c r="F563" s="3">
        <v>14107</v>
      </c>
      <c r="G563" s="3">
        <v>14</v>
      </c>
      <c r="H563" s="3">
        <v>0.50900000000000001</v>
      </c>
      <c r="I563" s="6">
        <v>0.47161450406682115</v>
      </c>
      <c r="J563" s="6">
        <v>0.48255157117901815</v>
      </c>
      <c r="K563" s="11">
        <v>0.48167474064329308</v>
      </c>
      <c r="L563" s="7">
        <v>197</v>
      </c>
      <c r="M563" s="7">
        <v>185</v>
      </c>
      <c r="N563" s="7">
        <v>185</v>
      </c>
      <c r="O563" s="7"/>
    </row>
    <row r="564" spans="2:15" x14ac:dyDescent="0.25">
      <c r="B564" s="3">
        <v>241</v>
      </c>
      <c r="C564" s="3" t="s">
        <v>490</v>
      </c>
      <c r="D564" s="3" t="s">
        <v>491</v>
      </c>
      <c r="E564" s="3" t="s">
        <v>473</v>
      </c>
      <c r="F564" s="3">
        <v>14108</v>
      </c>
      <c r="G564" s="3">
        <v>14</v>
      </c>
      <c r="H564" s="3">
        <v>0.52400000000000002</v>
      </c>
      <c r="I564" s="6">
        <v>0.4505316252498438</v>
      </c>
      <c r="J564" s="6">
        <v>0.45470918975522245</v>
      </c>
      <c r="K564" s="11">
        <v>0.45180871227839614</v>
      </c>
      <c r="L564" s="7">
        <v>221</v>
      </c>
      <c r="M564" s="7">
        <v>211</v>
      </c>
      <c r="N564" s="7">
        <v>216</v>
      </c>
      <c r="O564" s="7"/>
    </row>
    <row r="565" spans="2:15" x14ac:dyDescent="0.25">
      <c r="B565" s="3">
        <v>242</v>
      </c>
      <c r="C565" s="3" t="s">
        <v>492</v>
      </c>
      <c r="D565" s="3" t="s">
        <v>493</v>
      </c>
      <c r="E565" s="3" t="s">
        <v>473</v>
      </c>
      <c r="F565" s="3">
        <v>14204</v>
      </c>
      <c r="G565" s="3">
        <v>14</v>
      </c>
      <c r="H565" s="3">
        <v>0.53</v>
      </c>
      <c r="I565" s="6">
        <v>0.49076746977727298</v>
      </c>
      <c r="J565" s="6">
        <v>0.51387425028078826</v>
      </c>
      <c r="K565" s="11">
        <v>0.50120643317603697</v>
      </c>
      <c r="L565" s="7">
        <v>175</v>
      </c>
      <c r="M565" s="7">
        <v>146</v>
      </c>
      <c r="N565" s="7">
        <v>159</v>
      </c>
      <c r="O565" s="7"/>
    </row>
    <row r="566" spans="2:15" x14ac:dyDescent="0.25">
      <c r="B566" s="3">
        <v>243</v>
      </c>
      <c r="C566" s="3" t="s">
        <v>494</v>
      </c>
      <c r="D566" s="3" t="s">
        <v>495</v>
      </c>
      <c r="E566" s="3" t="s">
        <v>473</v>
      </c>
      <c r="F566" s="3">
        <v>14101</v>
      </c>
      <c r="G566" s="3">
        <v>14</v>
      </c>
      <c r="H566" s="3">
        <v>0.58799999999999997</v>
      </c>
      <c r="I566" s="6">
        <v>0.62556613097281866</v>
      </c>
      <c r="J566" s="6">
        <v>0.64032506591386018</v>
      </c>
      <c r="K566" s="11">
        <v>0.63848131896548388</v>
      </c>
      <c r="L566" s="7">
        <v>39</v>
      </c>
      <c r="M566" s="7">
        <v>31</v>
      </c>
      <c r="N566" s="7">
        <v>35</v>
      </c>
      <c r="O566" s="7"/>
    </row>
    <row r="567" spans="2:15" x14ac:dyDescent="0.25">
      <c r="B567" s="3">
        <v>244</v>
      </c>
      <c r="C567" s="3" t="s">
        <v>496</v>
      </c>
      <c r="D567" s="3" t="s">
        <v>497</v>
      </c>
      <c r="E567" s="3" t="s">
        <v>482</v>
      </c>
      <c r="F567" s="3">
        <v>10202</v>
      </c>
      <c r="G567" s="3">
        <v>10</v>
      </c>
      <c r="H567" s="3">
        <v>0.53800000000000003</v>
      </c>
      <c r="I567" s="6">
        <v>0.49995360502777447</v>
      </c>
      <c r="J567" s="6">
        <v>0.48603186885699257</v>
      </c>
      <c r="K567" s="11">
        <v>0.48276168417027521</v>
      </c>
      <c r="L567" s="7">
        <v>162</v>
      </c>
      <c r="M567" s="7">
        <v>181</v>
      </c>
      <c r="N567" s="7">
        <v>184</v>
      </c>
      <c r="O567" s="7"/>
    </row>
    <row r="568" spans="2:15" x14ac:dyDescent="0.25">
      <c r="B568" s="3">
        <v>245</v>
      </c>
      <c r="C568" s="3" t="s">
        <v>498</v>
      </c>
      <c r="D568" s="3" t="s">
        <v>499</v>
      </c>
      <c r="E568" s="3" t="s">
        <v>482</v>
      </c>
      <c r="F568" s="3">
        <v>10102</v>
      </c>
      <c r="G568" s="3">
        <v>10</v>
      </c>
      <c r="H568" s="3">
        <v>0.41299999999999998</v>
      </c>
      <c r="I568" s="6">
        <v>0.45414442164983415</v>
      </c>
      <c r="J568" s="6">
        <v>0.46050968588517993</v>
      </c>
      <c r="K568" s="11">
        <v>0.45647911533645991</v>
      </c>
      <c r="L568" s="7">
        <v>214</v>
      </c>
      <c r="M568" s="7">
        <v>206</v>
      </c>
      <c r="N568" s="7">
        <v>209</v>
      </c>
      <c r="O568" s="7"/>
    </row>
    <row r="569" spans="2:15" x14ac:dyDescent="0.25">
      <c r="B569" s="3">
        <v>246</v>
      </c>
      <c r="C569" s="3" t="s">
        <v>500</v>
      </c>
      <c r="D569" s="3" t="s">
        <v>501</v>
      </c>
      <c r="E569" s="3" t="s">
        <v>482</v>
      </c>
      <c r="F569" s="3">
        <v>10201</v>
      </c>
      <c r="G569" s="3">
        <v>10</v>
      </c>
      <c r="H569" s="3">
        <v>0.46</v>
      </c>
      <c r="I569" s="6">
        <v>0.53221129049064375</v>
      </c>
      <c r="J569" s="6">
        <v>0.54983732628652426</v>
      </c>
      <c r="K569" s="11">
        <v>0.54310596016776902</v>
      </c>
      <c r="L569" s="7">
        <v>122</v>
      </c>
      <c r="M569" s="7">
        <v>109</v>
      </c>
      <c r="N569" s="7">
        <v>116</v>
      </c>
      <c r="O569" s="7"/>
    </row>
    <row r="570" spans="2:15" x14ac:dyDescent="0.25">
      <c r="B570" s="3">
        <v>247</v>
      </c>
      <c r="C570" s="3" t="s">
        <v>502</v>
      </c>
      <c r="D570" s="3" t="s">
        <v>503</v>
      </c>
      <c r="E570" s="3" t="s">
        <v>482</v>
      </c>
      <c r="F570" s="3">
        <v>10401</v>
      </c>
      <c r="G570" s="3">
        <v>10</v>
      </c>
      <c r="H570" s="3">
        <v>0.38300000000000001</v>
      </c>
      <c r="I570" s="6">
        <v>0.48929730886989176</v>
      </c>
      <c r="J570" s="6">
        <v>0.46050968588517993</v>
      </c>
      <c r="K570" s="11">
        <v>0.48290873392969974</v>
      </c>
      <c r="L570" s="7">
        <v>178</v>
      </c>
      <c r="M570" s="7">
        <v>205</v>
      </c>
      <c r="N570" s="7">
        <v>183</v>
      </c>
      <c r="O570" s="7"/>
    </row>
    <row r="571" spans="2:15" x14ac:dyDescent="0.25">
      <c r="B571" s="3">
        <v>248</v>
      </c>
      <c r="C571" s="3" t="s">
        <v>504</v>
      </c>
      <c r="D571" s="3" t="s">
        <v>505</v>
      </c>
      <c r="E571" s="3" t="s">
        <v>482</v>
      </c>
      <c r="F571" s="3">
        <v>10203</v>
      </c>
      <c r="G571" s="3">
        <v>10</v>
      </c>
      <c r="H571" s="3">
        <v>0.47799999999999998</v>
      </c>
      <c r="I571" s="6">
        <v>0.41931656359948799</v>
      </c>
      <c r="J571" s="6">
        <v>0.42338651065345234</v>
      </c>
      <c r="K571" s="11">
        <v>0.42069905450456602</v>
      </c>
      <c r="L571" s="7">
        <v>254</v>
      </c>
      <c r="M571" s="7">
        <v>246</v>
      </c>
      <c r="N571" s="7">
        <v>248</v>
      </c>
      <c r="O571" s="7"/>
    </row>
    <row r="572" spans="2:15" x14ac:dyDescent="0.25">
      <c r="B572" s="3">
        <v>250</v>
      </c>
      <c r="C572" s="3" t="s">
        <v>508</v>
      </c>
      <c r="D572" s="3" t="s">
        <v>509</v>
      </c>
      <c r="E572" s="3" t="s">
        <v>482</v>
      </c>
      <c r="F572" s="3">
        <v>10204</v>
      </c>
      <c r="G572" s="3">
        <v>10</v>
      </c>
      <c r="H572" s="3">
        <v>0.39800000000000002</v>
      </c>
      <c r="I572" s="6">
        <v>0.38385651541122606</v>
      </c>
      <c r="J572" s="6">
        <v>0.38162293851775891</v>
      </c>
      <c r="K572" s="11">
        <v>0.38627991862634237</v>
      </c>
      <c r="L572" s="7">
        <v>305</v>
      </c>
      <c r="M572" s="7">
        <v>302</v>
      </c>
      <c r="N572" s="7">
        <v>302</v>
      </c>
      <c r="O572" s="7"/>
    </row>
    <row r="573" spans="2:15" x14ac:dyDescent="0.25">
      <c r="B573" s="3">
        <v>251</v>
      </c>
      <c r="C573" s="3" t="s">
        <v>510</v>
      </c>
      <c r="D573" s="3" t="s">
        <v>511</v>
      </c>
      <c r="E573" s="3" t="s">
        <v>482</v>
      </c>
      <c r="F573" s="3">
        <v>10205</v>
      </c>
      <c r="G573" s="3">
        <v>10</v>
      </c>
      <c r="H573" s="3">
        <v>0.47399999999999998</v>
      </c>
      <c r="I573" s="6">
        <v>0.42597554721372899</v>
      </c>
      <c r="J573" s="6">
        <v>0.43498750291336724</v>
      </c>
      <c r="K573" s="11">
        <v>0.43303216857452126</v>
      </c>
      <c r="L573" s="7">
        <v>248</v>
      </c>
      <c r="M573" s="7">
        <v>236</v>
      </c>
      <c r="N573" s="7">
        <v>240</v>
      </c>
      <c r="O573" s="7"/>
    </row>
    <row r="574" spans="2:15" x14ac:dyDescent="0.25">
      <c r="B574" s="3">
        <v>252</v>
      </c>
      <c r="C574" s="3" t="s">
        <v>512</v>
      </c>
      <c r="D574" s="3" t="s">
        <v>513</v>
      </c>
      <c r="E574" s="3" t="s">
        <v>482</v>
      </c>
      <c r="F574" s="3">
        <v>10104</v>
      </c>
      <c r="G574" s="3">
        <v>10</v>
      </c>
      <c r="H574" s="3">
        <v>0.43099999999999999</v>
      </c>
      <c r="I574" s="6">
        <v>0.40987250491803306</v>
      </c>
      <c r="J574" s="6">
        <v>0.40366482381159713</v>
      </c>
      <c r="K574" s="11">
        <v>0.40270363826900463</v>
      </c>
      <c r="L574" s="7">
        <v>269</v>
      </c>
      <c r="M574" s="7">
        <v>272</v>
      </c>
      <c r="N574" s="7">
        <v>273</v>
      </c>
      <c r="O574" s="7"/>
    </row>
    <row r="575" spans="2:15" x14ac:dyDescent="0.25">
      <c r="B575" s="3">
        <v>253</v>
      </c>
      <c r="C575" s="3" t="s">
        <v>514</v>
      </c>
      <c r="D575" s="3" t="s">
        <v>515</v>
      </c>
      <c r="E575" s="3" t="s">
        <v>482</v>
      </c>
      <c r="F575" s="3">
        <v>10105</v>
      </c>
      <c r="G575" s="3">
        <v>10</v>
      </c>
      <c r="H575" s="3">
        <v>0.45300000000000001</v>
      </c>
      <c r="I575" s="6">
        <v>0.52907659429404053</v>
      </c>
      <c r="J575" s="6">
        <v>0.55795802086846469</v>
      </c>
      <c r="K575" s="11">
        <v>0.52719266770190276</v>
      </c>
      <c r="L575" s="7">
        <v>128</v>
      </c>
      <c r="M575" s="7">
        <v>102</v>
      </c>
      <c r="N575" s="7">
        <v>130</v>
      </c>
      <c r="O575" s="7"/>
    </row>
    <row r="576" spans="2:15" x14ac:dyDescent="0.25">
      <c r="B576" s="3">
        <v>255</v>
      </c>
      <c r="C576" s="3" t="s">
        <v>518</v>
      </c>
      <c r="D576" s="3" t="s">
        <v>519</v>
      </c>
      <c r="E576" s="3" t="s">
        <v>482</v>
      </c>
      <c r="F576" s="3">
        <v>10403</v>
      </c>
      <c r="G576" s="3">
        <v>10</v>
      </c>
      <c r="H576" s="3">
        <v>0.48399999999999999</v>
      </c>
      <c r="I576" s="6">
        <v>0.38838701439852952</v>
      </c>
      <c r="J576" s="6">
        <v>0.39902442690763118</v>
      </c>
      <c r="K576" s="11">
        <v>0.39740923646139348</v>
      </c>
      <c r="L576" s="7">
        <v>300</v>
      </c>
      <c r="M576" s="7">
        <v>281</v>
      </c>
      <c r="N576" s="7">
        <v>282</v>
      </c>
      <c r="O576" s="7"/>
    </row>
    <row r="577" spans="2:15" x14ac:dyDescent="0.25">
      <c r="B577" s="3">
        <v>256</v>
      </c>
      <c r="C577" s="3" t="s">
        <v>520</v>
      </c>
      <c r="D577" s="3" t="s">
        <v>521</v>
      </c>
      <c r="E577" s="3" t="s">
        <v>482</v>
      </c>
      <c r="F577" s="3">
        <v>10107</v>
      </c>
      <c r="G577" s="3">
        <v>10</v>
      </c>
      <c r="H577" s="3">
        <v>0.48</v>
      </c>
      <c r="I577" s="6">
        <v>0.5387998542303023</v>
      </c>
      <c r="J577" s="6">
        <v>0.54751712783454132</v>
      </c>
      <c r="K577" s="11">
        <v>0.54199030474812582</v>
      </c>
      <c r="L577" s="7">
        <v>118</v>
      </c>
      <c r="M577" s="7">
        <v>116</v>
      </c>
      <c r="N577" s="7">
        <v>117</v>
      </c>
      <c r="O577" s="7"/>
    </row>
    <row r="578" spans="2:15" x14ac:dyDescent="0.25">
      <c r="B578" s="3">
        <v>257</v>
      </c>
      <c r="C578" s="3" t="s">
        <v>522</v>
      </c>
      <c r="D578" s="3" t="s">
        <v>523</v>
      </c>
      <c r="E578" s="3" t="s">
        <v>482</v>
      </c>
      <c r="F578" s="3">
        <v>10106</v>
      </c>
      <c r="G578" s="3">
        <v>10</v>
      </c>
      <c r="H578" s="3">
        <v>0.51</v>
      </c>
      <c r="I578" s="6">
        <v>0.40371620281927206</v>
      </c>
      <c r="J578" s="6">
        <v>0.40134462535961413</v>
      </c>
      <c r="K578" s="11">
        <v>0.40145771171864886</v>
      </c>
      <c r="L578" s="7">
        <v>279</v>
      </c>
      <c r="M578" s="7">
        <v>276</v>
      </c>
      <c r="N578" s="7">
        <v>274</v>
      </c>
      <c r="O578" s="7"/>
    </row>
    <row r="579" spans="2:15" x14ac:dyDescent="0.25">
      <c r="B579" s="3">
        <v>258</v>
      </c>
      <c r="C579" s="3" t="s">
        <v>524</v>
      </c>
      <c r="D579" s="3" t="s">
        <v>525</v>
      </c>
      <c r="E579" s="3" t="s">
        <v>482</v>
      </c>
      <c r="F579" s="3">
        <v>10108</v>
      </c>
      <c r="G579" s="3">
        <v>10</v>
      </c>
      <c r="H579" s="3">
        <v>0.47899999999999998</v>
      </c>
      <c r="I579" s="6">
        <v>0.40631021250489707</v>
      </c>
      <c r="J579" s="6">
        <v>0.40946531994155455</v>
      </c>
      <c r="K579" s="11">
        <v>0.4058037459474344</v>
      </c>
      <c r="L579" s="7">
        <v>273</v>
      </c>
      <c r="M579" s="7">
        <v>266</v>
      </c>
      <c r="N579" s="7">
        <v>271</v>
      </c>
      <c r="O579" s="7"/>
    </row>
    <row r="580" spans="2:15" x14ac:dyDescent="0.25">
      <c r="B580" s="3">
        <v>259</v>
      </c>
      <c r="C580" s="3" t="s">
        <v>526</v>
      </c>
      <c r="D580" s="3" t="s">
        <v>527</v>
      </c>
      <c r="E580" s="3" t="s">
        <v>482</v>
      </c>
      <c r="F580" s="3">
        <v>10301</v>
      </c>
      <c r="G580" s="3">
        <v>10</v>
      </c>
      <c r="H580" s="3">
        <v>0.59899999999999998</v>
      </c>
      <c r="I580" s="6">
        <v>0.60413992472618516</v>
      </c>
      <c r="J580" s="6">
        <v>0.62176347829799639</v>
      </c>
      <c r="K580" s="11">
        <v>0.61765529719278922</v>
      </c>
      <c r="L580" s="7">
        <v>53</v>
      </c>
      <c r="M580" s="7">
        <v>43</v>
      </c>
      <c r="N580" s="7">
        <v>48</v>
      </c>
      <c r="O580" s="7"/>
    </row>
    <row r="581" spans="2:15" x14ac:dyDescent="0.25">
      <c r="B581" s="3">
        <v>261</v>
      </c>
      <c r="C581" s="3" t="s">
        <v>530</v>
      </c>
      <c r="D581" s="3" t="s">
        <v>531</v>
      </c>
      <c r="E581" s="3" t="s">
        <v>482</v>
      </c>
      <c r="F581" s="3">
        <v>10101</v>
      </c>
      <c r="G581" s="3">
        <v>10</v>
      </c>
      <c r="H581" s="3">
        <v>0.59399999999999997</v>
      </c>
      <c r="I581" s="6">
        <v>0.57722284543484681</v>
      </c>
      <c r="J581" s="6">
        <v>0.60320189068213259</v>
      </c>
      <c r="K581" s="11">
        <v>0.5871903080285259</v>
      </c>
      <c r="L581" s="7">
        <v>82</v>
      </c>
      <c r="M581" s="7">
        <v>58</v>
      </c>
      <c r="N581" s="7">
        <v>76</v>
      </c>
      <c r="O581" s="7"/>
    </row>
    <row r="582" spans="2:15" x14ac:dyDescent="0.25">
      <c r="B582" s="3">
        <v>262</v>
      </c>
      <c r="C582" s="3" t="s">
        <v>532</v>
      </c>
      <c r="D582" s="3" t="s">
        <v>533</v>
      </c>
      <c r="E582" s="3" t="s">
        <v>482</v>
      </c>
      <c r="F582" s="3">
        <v>10302</v>
      </c>
      <c r="G582" s="3">
        <v>10</v>
      </c>
      <c r="H582" s="3">
        <v>0.39100000000000001</v>
      </c>
      <c r="I582" s="6">
        <v>0.41682606829697144</v>
      </c>
      <c r="J582" s="6">
        <v>0.40946531994155455</v>
      </c>
      <c r="K582" s="11">
        <v>0.40812287218888377</v>
      </c>
      <c r="L582" s="7">
        <v>259</v>
      </c>
      <c r="M582" s="7">
        <v>267</v>
      </c>
      <c r="N582" s="7">
        <v>264</v>
      </c>
      <c r="O582" s="7"/>
    </row>
    <row r="583" spans="2:15" x14ac:dyDescent="0.25">
      <c r="B583" s="3">
        <v>263</v>
      </c>
      <c r="C583" s="3" t="s">
        <v>534</v>
      </c>
      <c r="D583" s="3" t="s">
        <v>535</v>
      </c>
      <c r="E583" s="3" t="s">
        <v>482</v>
      </c>
      <c r="F583" s="3">
        <v>10109</v>
      </c>
      <c r="G583" s="3">
        <v>10</v>
      </c>
      <c r="H583" s="3">
        <v>0.58299999999999996</v>
      </c>
      <c r="I583" s="6">
        <v>0.59241881655542961</v>
      </c>
      <c r="J583" s="6">
        <v>0.63104427210592828</v>
      </c>
      <c r="K583" s="11">
        <v>0.59993761533873891</v>
      </c>
      <c r="L583" s="7">
        <v>64</v>
      </c>
      <c r="M583" s="7">
        <v>35</v>
      </c>
      <c r="N583" s="7">
        <v>65</v>
      </c>
      <c r="O583" s="7"/>
    </row>
    <row r="584" spans="2:15" x14ac:dyDescent="0.25">
      <c r="B584" s="3">
        <v>265</v>
      </c>
      <c r="C584" s="3" t="s">
        <v>538</v>
      </c>
      <c r="D584" s="3" t="s">
        <v>539</v>
      </c>
      <c r="E584" s="3" t="s">
        <v>482</v>
      </c>
      <c r="F584" s="3">
        <v>10303</v>
      </c>
      <c r="G584" s="3">
        <v>10</v>
      </c>
      <c r="H584" s="3">
        <v>0.53600000000000003</v>
      </c>
      <c r="I584" s="6">
        <v>0.49694152235918276</v>
      </c>
      <c r="J584" s="6">
        <v>0.49995305956889041</v>
      </c>
      <c r="K584" s="11">
        <v>0.50220803058596242</v>
      </c>
      <c r="L584" s="7">
        <v>168</v>
      </c>
      <c r="M584" s="7">
        <v>160</v>
      </c>
      <c r="N584" s="7">
        <v>157</v>
      </c>
      <c r="O584" s="7"/>
    </row>
    <row r="585" spans="2:15" x14ac:dyDescent="0.25">
      <c r="B585" s="3">
        <v>266</v>
      </c>
      <c r="C585" s="3" t="s">
        <v>540</v>
      </c>
      <c r="D585" s="3" t="s">
        <v>541</v>
      </c>
      <c r="E585" s="3" t="s">
        <v>482</v>
      </c>
      <c r="F585" s="3">
        <v>10304</v>
      </c>
      <c r="G585" s="3">
        <v>10</v>
      </c>
      <c r="H585" s="3">
        <v>0.51100000000000001</v>
      </c>
      <c r="I585" s="6">
        <v>0.4403124715399675</v>
      </c>
      <c r="J585" s="6">
        <v>0.45122889207724803</v>
      </c>
      <c r="K585" s="11">
        <v>0.44609158346674843</v>
      </c>
      <c r="L585" s="7">
        <v>234</v>
      </c>
      <c r="M585" s="7">
        <v>219</v>
      </c>
      <c r="N585" s="7">
        <v>224</v>
      </c>
      <c r="O585" s="7"/>
    </row>
    <row r="586" spans="2:15" x14ac:dyDescent="0.25">
      <c r="B586" s="3">
        <v>267</v>
      </c>
      <c r="C586" s="3" t="s">
        <v>542</v>
      </c>
      <c r="D586" s="3" t="s">
        <v>543</v>
      </c>
      <c r="E586" s="3" t="s">
        <v>482</v>
      </c>
      <c r="F586" s="3">
        <v>10207</v>
      </c>
      <c r="G586" s="3">
        <v>10</v>
      </c>
      <c r="H586" s="3">
        <v>0.35599999999999998</v>
      </c>
      <c r="I586" s="6">
        <v>0.40814784050066899</v>
      </c>
      <c r="J586" s="6">
        <v>0.43034710600940129</v>
      </c>
      <c r="K586" s="11">
        <v>0.42382077821406905</v>
      </c>
      <c r="L586" s="7">
        <v>271</v>
      </c>
      <c r="M586" s="7">
        <v>239</v>
      </c>
      <c r="N586" s="7">
        <v>245</v>
      </c>
      <c r="O586" s="7"/>
    </row>
    <row r="587" spans="2:15" x14ac:dyDescent="0.25">
      <c r="B587" s="3">
        <v>268</v>
      </c>
      <c r="C587" s="3" t="s">
        <v>544</v>
      </c>
      <c r="D587" s="3" t="s">
        <v>545</v>
      </c>
      <c r="E587" s="3" t="s">
        <v>482</v>
      </c>
      <c r="F587" s="3">
        <v>10208</v>
      </c>
      <c r="G587" s="3">
        <v>10</v>
      </c>
      <c r="H587" s="3">
        <v>0.45600000000000002</v>
      </c>
      <c r="I587" s="6">
        <v>0.44567659790252068</v>
      </c>
      <c r="J587" s="6">
        <v>0.4593495866591884</v>
      </c>
      <c r="K587" s="11">
        <v>0.45897101956594449</v>
      </c>
      <c r="L587" s="7">
        <v>225</v>
      </c>
      <c r="M587" s="7">
        <v>204</v>
      </c>
      <c r="N587" s="7">
        <v>206</v>
      </c>
      <c r="O587" s="7"/>
    </row>
    <row r="588" spans="2:15" x14ac:dyDescent="0.25">
      <c r="B588" s="3">
        <v>269</v>
      </c>
      <c r="C588" s="3" t="s">
        <v>546</v>
      </c>
      <c r="D588" s="3" t="s">
        <v>547</v>
      </c>
      <c r="E588" s="3" t="s">
        <v>482</v>
      </c>
      <c r="F588" s="3">
        <v>10209</v>
      </c>
      <c r="G588" s="3">
        <v>10</v>
      </c>
      <c r="H588" s="3">
        <v>0.36899999999999999</v>
      </c>
      <c r="I588" s="6">
        <v>0.40879752766059929</v>
      </c>
      <c r="J588" s="6">
        <v>0.39786432768163971</v>
      </c>
      <c r="K588" s="11">
        <v>0.39883776466307347</v>
      </c>
      <c r="L588" s="7">
        <v>270</v>
      </c>
      <c r="M588" s="7">
        <v>280</v>
      </c>
      <c r="N588" s="7">
        <v>279</v>
      </c>
      <c r="O588" s="7"/>
    </row>
    <row r="589" spans="2:15" x14ac:dyDescent="0.25">
      <c r="B589" s="3">
        <v>270</v>
      </c>
      <c r="C589" s="3" t="s">
        <v>548</v>
      </c>
      <c r="D589" s="3" t="s">
        <v>549</v>
      </c>
      <c r="E589" s="3" t="s">
        <v>482</v>
      </c>
      <c r="F589" s="3">
        <v>10210</v>
      </c>
      <c r="G589" s="3">
        <v>10</v>
      </c>
      <c r="H589" s="3">
        <v>0.47099999999999997</v>
      </c>
      <c r="I589" s="6">
        <v>0.39046286091988697</v>
      </c>
      <c r="J589" s="6">
        <v>0.3955441292296567</v>
      </c>
      <c r="K589" s="11">
        <v>0.39795399338429338</v>
      </c>
      <c r="L589" s="7">
        <v>297</v>
      </c>
      <c r="M589" s="7">
        <v>284</v>
      </c>
      <c r="N589" s="7">
        <v>280</v>
      </c>
      <c r="O589" s="7"/>
    </row>
    <row r="590" spans="2:15" x14ac:dyDescent="0.25">
      <c r="B590" s="3">
        <v>271</v>
      </c>
      <c r="C590" s="3" t="s">
        <v>550</v>
      </c>
      <c r="D590" s="3" t="s">
        <v>551</v>
      </c>
      <c r="E590" s="3" t="s">
        <v>482</v>
      </c>
      <c r="F590" s="3">
        <v>10305</v>
      </c>
      <c r="G590" s="3">
        <v>10</v>
      </c>
      <c r="H590" s="3">
        <v>0.48899999999999999</v>
      </c>
      <c r="I590" s="6">
        <v>0.45724646052630602</v>
      </c>
      <c r="J590" s="6">
        <v>0.4686303804671203</v>
      </c>
      <c r="K590" s="11">
        <v>0.46379034102742078</v>
      </c>
      <c r="L590" s="7">
        <v>207</v>
      </c>
      <c r="M590" s="7">
        <v>193</v>
      </c>
      <c r="N590" s="7">
        <v>202</v>
      </c>
      <c r="O590" s="7"/>
    </row>
    <row r="591" spans="2:15" x14ac:dyDescent="0.25">
      <c r="B591" s="3">
        <v>273</v>
      </c>
      <c r="C591" s="3" t="s">
        <v>554</v>
      </c>
      <c r="D591" s="3" t="s">
        <v>555</v>
      </c>
      <c r="E591" s="3" t="s">
        <v>482</v>
      </c>
      <c r="F591" s="3">
        <v>10307</v>
      </c>
      <c r="G591" s="3">
        <v>10</v>
      </c>
      <c r="H591" s="3">
        <v>0.36</v>
      </c>
      <c r="I591" s="6">
        <v>0.45386140753049248</v>
      </c>
      <c r="J591" s="6">
        <v>0.46282988433716288</v>
      </c>
      <c r="K591" s="11">
        <v>0.45256730765474379</v>
      </c>
      <c r="L591" s="7">
        <v>215</v>
      </c>
      <c r="M591" s="7">
        <v>200</v>
      </c>
      <c r="N591" s="7">
        <v>213</v>
      </c>
      <c r="O591" s="7"/>
    </row>
    <row r="592" spans="2:15" x14ac:dyDescent="0.25">
      <c r="B592" s="3">
        <v>274</v>
      </c>
      <c r="C592" s="3" t="s">
        <v>556</v>
      </c>
      <c r="D592" s="3" t="s">
        <v>557</v>
      </c>
      <c r="E592" s="3" t="s">
        <v>705</v>
      </c>
      <c r="F592" s="3">
        <v>11201</v>
      </c>
      <c r="G592" s="3">
        <v>11</v>
      </c>
      <c r="H592" s="3">
        <v>0.56299999999999994</v>
      </c>
      <c r="I592" s="6">
        <v>0.5699243096725165</v>
      </c>
      <c r="J592" s="6">
        <v>0.57651960848432837</v>
      </c>
      <c r="K592" s="11">
        <v>0.58070314793906408</v>
      </c>
      <c r="L592" s="7">
        <v>90</v>
      </c>
      <c r="M592" s="7">
        <v>86</v>
      </c>
      <c r="N592" s="7">
        <v>86</v>
      </c>
      <c r="O592" s="7"/>
    </row>
    <row r="593" spans="2:15" x14ac:dyDescent="0.25">
      <c r="B593" s="3">
        <v>275</v>
      </c>
      <c r="C593" s="3" t="s">
        <v>558</v>
      </c>
      <c r="D593" s="3" t="s">
        <v>559</v>
      </c>
      <c r="E593" s="3" t="s">
        <v>705</v>
      </c>
      <c r="F593" s="3">
        <v>11401</v>
      </c>
      <c r="G593" s="3">
        <v>11</v>
      </c>
      <c r="H593" s="3">
        <v>0.49299999999999999</v>
      </c>
      <c r="I593" s="6">
        <v>0.48924666855433996</v>
      </c>
      <c r="J593" s="6">
        <v>0.49647276189091594</v>
      </c>
      <c r="K593" s="11">
        <v>0.49542693543787614</v>
      </c>
      <c r="L593" s="7">
        <v>179</v>
      </c>
      <c r="M593" s="7">
        <v>164</v>
      </c>
      <c r="N593" s="7">
        <v>166</v>
      </c>
      <c r="O593" s="7"/>
    </row>
    <row r="594" spans="2:15" x14ac:dyDescent="0.25">
      <c r="B594" s="3">
        <v>276</v>
      </c>
      <c r="C594" s="3" t="s">
        <v>560</v>
      </c>
      <c r="D594" s="3" t="s">
        <v>561</v>
      </c>
      <c r="E594" s="3" t="s">
        <v>705</v>
      </c>
      <c r="F594" s="3">
        <v>11202</v>
      </c>
      <c r="G594" s="3">
        <v>11</v>
      </c>
      <c r="H594" s="3">
        <v>0.497</v>
      </c>
      <c r="I594" s="6">
        <v>0.58547829360823656</v>
      </c>
      <c r="J594" s="6">
        <v>0.58348020384027732</v>
      </c>
      <c r="K594" s="11">
        <v>0.60045543450958672</v>
      </c>
      <c r="L594" s="7">
        <v>72</v>
      </c>
      <c r="M594" s="7">
        <v>74</v>
      </c>
      <c r="N594" s="7">
        <v>63</v>
      </c>
      <c r="O594" s="7"/>
    </row>
    <row r="595" spans="2:15" x14ac:dyDescent="0.25">
      <c r="B595" s="3">
        <v>277</v>
      </c>
      <c r="C595" s="3" t="s">
        <v>562</v>
      </c>
      <c r="D595" s="3" t="s">
        <v>563</v>
      </c>
      <c r="E595" s="3" t="s">
        <v>705</v>
      </c>
      <c r="F595" s="3">
        <v>11301</v>
      </c>
      <c r="G595" s="3">
        <v>11</v>
      </c>
      <c r="H595" s="3">
        <v>0.46</v>
      </c>
      <c r="I595" s="6">
        <v>0.55263337282701197</v>
      </c>
      <c r="J595" s="6">
        <v>0.55331762396449868</v>
      </c>
      <c r="K595" s="11">
        <v>0.5555818309411209</v>
      </c>
      <c r="L595" s="7">
        <v>109</v>
      </c>
      <c r="M595" s="7">
        <v>106</v>
      </c>
      <c r="N595" s="7">
        <v>107</v>
      </c>
      <c r="O595" s="7"/>
    </row>
    <row r="596" spans="2:15" x14ac:dyDescent="0.25">
      <c r="B596" s="3">
        <v>278</v>
      </c>
      <c r="C596" s="3" t="s">
        <v>564</v>
      </c>
      <c r="D596" s="3" t="s">
        <v>565</v>
      </c>
      <c r="E596" s="3" t="s">
        <v>705</v>
      </c>
      <c r="F596" s="3">
        <v>11101</v>
      </c>
      <c r="G596" s="3">
        <v>11</v>
      </c>
      <c r="H596" s="3">
        <v>0.53100000000000003</v>
      </c>
      <c r="I596" s="6">
        <v>0.58151123545508776</v>
      </c>
      <c r="J596" s="6">
        <v>0.58696050151825174</v>
      </c>
      <c r="K596" s="11">
        <v>0.58694454869906254</v>
      </c>
      <c r="L596" s="7">
        <v>75</v>
      </c>
      <c r="M596" s="7">
        <v>71</v>
      </c>
      <c r="N596" s="7">
        <v>77</v>
      </c>
      <c r="O596" s="7"/>
    </row>
    <row r="597" spans="2:15" x14ac:dyDescent="0.25">
      <c r="B597" s="3">
        <v>286</v>
      </c>
      <c r="C597" s="3" t="s">
        <v>579</v>
      </c>
      <c r="D597" s="3" t="s">
        <v>580</v>
      </c>
      <c r="E597" s="3" t="s">
        <v>706</v>
      </c>
      <c r="F597" s="3">
        <v>12401</v>
      </c>
      <c r="G597" s="3">
        <v>12</v>
      </c>
      <c r="H597" s="3">
        <v>0.52700000000000002</v>
      </c>
      <c r="I597" s="6">
        <v>0.64449431305103921</v>
      </c>
      <c r="J597" s="6">
        <v>0.67164774501563018</v>
      </c>
      <c r="K597" s="11">
        <v>0.65365447140222743</v>
      </c>
      <c r="L597" s="7">
        <v>28</v>
      </c>
      <c r="M597" s="7">
        <v>18</v>
      </c>
      <c r="N597" s="7">
        <v>25</v>
      </c>
      <c r="O597" s="7"/>
    </row>
    <row r="598" spans="2:15" x14ac:dyDescent="0.25">
      <c r="B598" s="3">
        <v>287</v>
      </c>
      <c r="C598" s="3" t="s">
        <v>581</v>
      </c>
      <c r="D598" s="3" t="s">
        <v>582</v>
      </c>
      <c r="E598" s="3" t="s">
        <v>706</v>
      </c>
      <c r="F598" s="3">
        <v>12301</v>
      </c>
      <c r="G598" s="3">
        <v>12</v>
      </c>
      <c r="H598" s="3">
        <v>0.53800000000000003</v>
      </c>
      <c r="I598" s="6">
        <v>0.5948507309840082</v>
      </c>
      <c r="J598" s="6">
        <v>0.5846403030662688</v>
      </c>
      <c r="K598" s="11">
        <v>0.59464115623405667</v>
      </c>
      <c r="L598" s="7">
        <v>59</v>
      </c>
      <c r="M598" s="7">
        <v>72</v>
      </c>
      <c r="N598" s="7">
        <v>68</v>
      </c>
      <c r="O598" s="7"/>
    </row>
    <row r="599" spans="2:15" x14ac:dyDescent="0.25">
      <c r="B599" s="3">
        <v>289</v>
      </c>
      <c r="C599" s="3" t="s">
        <v>585</v>
      </c>
      <c r="D599" s="3" t="s">
        <v>586</v>
      </c>
      <c r="E599" s="3" t="s">
        <v>706</v>
      </c>
      <c r="F599" s="3">
        <v>12101</v>
      </c>
      <c r="G599" s="3">
        <v>12</v>
      </c>
      <c r="H599" s="3">
        <v>0.61899999999999999</v>
      </c>
      <c r="I599" s="6">
        <v>0.64662695516119206</v>
      </c>
      <c r="J599" s="6">
        <v>0.64844576049580049</v>
      </c>
      <c r="K599" s="11">
        <v>0.65549699134438577</v>
      </c>
      <c r="L599" s="7">
        <v>25</v>
      </c>
      <c r="M599" s="7">
        <v>29</v>
      </c>
      <c r="N599" s="7">
        <v>24</v>
      </c>
      <c r="O599" s="7"/>
    </row>
    <row r="600" spans="2:15" x14ac:dyDescent="0.25">
      <c r="B600" s="3">
        <v>295</v>
      </c>
      <c r="C600" s="3" t="s">
        <v>595</v>
      </c>
      <c r="D600" s="3" t="s">
        <v>596</v>
      </c>
      <c r="E600" s="3" t="s">
        <v>707</v>
      </c>
      <c r="F600" s="3">
        <v>13502</v>
      </c>
      <c r="G600" s="3">
        <v>13</v>
      </c>
      <c r="H600" s="3">
        <v>0.46400000000000002</v>
      </c>
      <c r="I600" s="6">
        <v>0.68102888680356055</v>
      </c>
      <c r="J600" s="6">
        <v>0.54751712783454132</v>
      </c>
      <c r="K600" s="11">
        <v>0.533768521203008</v>
      </c>
      <c r="L600" s="7">
        <v>15</v>
      </c>
      <c r="M600" s="7">
        <v>115</v>
      </c>
      <c r="N600" s="7">
        <v>124</v>
      </c>
      <c r="O600" s="7"/>
    </row>
    <row r="601" spans="2:15" x14ac:dyDescent="0.25">
      <c r="B601" s="3">
        <v>296</v>
      </c>
      <c r="C601" s="3" t="s">
        <v>597</v>
      </c>
      <c r="D601" s="3" t="s">
        <v>598</v>
      </c>
      <c r="E601" s="3" t="s">
        <v>707</v>
      </c>
      <c r="F601" s="3">
        <v>13402</v>
      </c>
      <c r="G601" s="3">
        <v>13</v>
      </c>
      <c r="H601" s="3">
        <v>0.53400000000000003</v>
      </c>
      <c r="I601" s="6">
        <v>0.52113196331644274</v>
      </c>
      <c r="J601" s="6">
        <v>0.54983732628652426</v>
      </c>
      <c r="K601" s="11">
        <v>0.53464668254780068</v>
      </c>
      <c r="L601" s="7">
        <v>135</v>
      </c>
      <c r="M601" s="7">
        <v>110</v>
      </c>
      <c r="N601" s="7">
        <v>123</v>
      </c>
      <c r="O601" s="7"/>
    </row>
    <row r="602" spans="2:15" x14ac:dyDescent="0.25">
      <c r="B602" s="3">
        <v>297</v>
      </c>
      <c r="C602" s="3" t="s">
        <v>599</v>
      </c>
      <c r="D602" s="3" t="s">
        <v>600</v>
      </c>
      <c r="E602" s="3" t="s">
        <v>707</v>
      </c>
      <c r="F602" s="3">
        <v>13403</v>
      </c>
      <c r="G602" s="3">
        <v>13</v>
      </c>
      <c r="H602" s="3">
        <v>0.47899999999999998</v>
      </c>
      <c r="I602" s="6">
        <v>0.476740040988193</v>
      </c>
      <c r="J602" s="6">
        <v>0.46515008278914582</v>
      </c>
      <c r="K602" s="11">
        <v>0.47820649721235925</v>
      </c>
      <c r="L602" s="7">
        <v>193</v>
      </c>
      <c r="M602" s="7">
        <v>197</v>
      </c>
      <c r="N602" s="7">
        <v>191</v>
      </c>
      <c r="O602" s="7"/>
    </row>
    <row r="603" spans="2:15" x14ac:dyDescent="0.25">
      <c r="B603" s="3">
        <v>298</v>
      </c>
      <c r="C603" s="3" t="s">
        <v>601</v>
      </c>
      <c r="D603" s="3" t="s">
        <v>602</v>
      </c>
      <c r="E603" s="3" t="s">
        <v>707</v>
      </c>
      <c r="F603" s="3">
        <v>13102</v>
      </c>
      <c r="G603" s="3">
        <v>13</v>
      </c>
      <c r="H603" s="3">
        <v>0.53800000000000003</v>
      </c>
      <c r="I603" s="6">
        <v>0.59657454573130353</v>
      </c>
      <c r="J603" s="6">
        <v>0.6078422875860986</v>
      </c>
      <c r="K603" s="11">
        <v>0.60536622966942111</v>
      </c>
      <c r="L603" s="7">
        <v>58</v>
      </c>
      <c r="M603" s="7">
        <v>53</v>
      </c>
      <c r="N603" s="7">
        <v>56</v>
      </c>
      <c r="O603" s="7"/>
    </row>
    <row r="604" spans="2:15" x14ac:dyDescent="0.25">
      <c r="B604" s="3">
        <v>299</v>
      </c>
      <c r="C604" s="3" t="s">
        <v>603</v>
      </c>
      <c r="D604" s="3" t="s">
        <v>604</v>
      </c>
      <c r="E604" s="3" t="s">
        <v>707</v>
      </c>
      <c r="F604" s="3">
        <v>13103</v>
      </c>
      <c r="G604" s="3">
        <v>13</v>
      </c>
      <c r="H604" s="3">
        <v>0.54600000000000004</v>
      </c>
      <c r="I604" s="6">
        <v>0.55437434656866869</v>
      </c>
      <c r="J604" s="6">
        <v>0.55215752473850721</v>
      </c>
      <c r="K604" s="11">
        <v>0.55940858461083809</v>
      </c>
      <c r="L604" s="7">
        <v>107</v>
      </c>
      <c r="M604" s="7">
        <v>107</v>
      </c>
      <c r="N604" s="7">
        <v>102</v>
      </c>
      <c r="O604" s="7"/>
    </row>
    <row r="605" spans="2:15" x14ac:dyDescent="0.25">
      <c r="B605" s="3">
        <v>300</v>
      </c>
      <c r="C605" s="3" t="s">
        <v>605</v>
      </c>
      <c r="D605" s="3" t="s">
        <v>606</v>
      </c>
      <c r="E605" s="3" t="s">
        <v>707</v>
      </c>
      <c r="F605" s="3">
        <v>13301</v>
      </c>
      <c r="G605" s="3">
        <v>13</v>
      </c>
      <c r="H605" s="3">
        <v>0.58099999999999996</v>
      </c>
      <c r="I605" s="6">
        <v>0.54874893073051778</v>
      </c>
      <c r="J605" s="6">
        <v>0.54403683015656679</v>
      </c>
      <c r="K605" s="11">
        <v>0.55402451234142125</v>
      </c>
      <c r="L605" s="7">
        <v>113</v>
      </c>
      <c r="M605" s="7">
        <v>120</v>
      </c>
      <c r="N605" s="7">
        <v>109</v>
      </c>
      <c r="O605" s="7"/>
    </row>
    <row r="606" spans="2:15" x14ac:dyDescent="0.25">
      <c r="B606" s="3">
        <v>301</v>
      </c>
      <c r="C606" s="3" t="s">
        <v>607</v>
      </c>
      <c r="D606" s="3" t="s">
        <v>608</v>
      </c>
      <c r="E606" s="3" t="s">
        <v>707</v>
      </c>
      <c r="F606" s="3">
        <v>13104</v>
      </c>
      <c r="G606" s="3">
        <v>13</v>
      </c>
      <c r="H606" s="3">
        <v>0.51</v>
      </c>
      <c r="I606" s="6">
        <v>0.58592090810495168</v>
      </c>
      <c r="J606" s="6">
        <v>0.58232010461428585</v>
      </c>
      <c r="K606" s="11">
        <v>0.59711483453204184</v>
      </c>
      <c r="L606" s="7">
        <v>71</v>
      </c>
      <c r="M606" s="7">
        <v>76</v>
      </c>
      <c r="N606" s="7">
        <v>67</v>
      </c>
      <c r="O606" s="7"/>
    </row>
    <row r="607" spans="2:15" x14ac:dyDescent="0.25">
      <c r="B607" s="3">
        <v>302</v>
      </c>
      <c r="C607" s="3" t="s">
        <v>609</v>
      </c>
      <c r="D607" s="3" t="s">
        <v>610</v>
      </c>
      <c r="E607" s="3" t="s">
        <v>707</v>
      </c>
      <c r="F607" s="3">
        <v>13503</v>
      </c>
      <c r="G607" s="3">
        <v>13</v>
      </c>
      <c r="H607" s="3">
        <v>0.48499999999999999</v>
      </c>
      <c r="I607" s="6">
        <v>0.44828351253140786</v>
      </c>
      <c r="J607" s="6">
        <v>0.44310819749530761</v>
      </c>
      <c r="K607" s="11">
        <v>0.44514792068544956</v>
      </c>
      <c r="L607" s="7">
        <v>223</v>
      </c>
      <c r="M607" s="7">
        <v>227</v>
      </c>
      <c r="N607" s="7">
        <v>226</v>
      </c>
      <c r="O607" s="7"/>
    </row>
    <row r="608" spans="2:15" x14ac:dyDescent="0.25">
      <c r="B608" s="3">
        <v>303</v>
      </c>
      <c r="C608" s="3" t="s">
        <v>611</v>
      </c>
      <c r="D608" s="3" t="s">
        <v>612</v>
      </c>
      <c r="E608" s="3" t="s">
        <v>707</v>
      </c>
      <c r="F608" s="3">
        <v>13105</v>
      </c>
      <c r="G608" s="3">
        <v>13</v>
      </c>
      <c r="H608" s="3">
        <v>0.56000000000000005</v>
      </c>
      <c r="I608" s="6">
        <v>0.57822887624035246</v>
      </c>
      <c r="J608" s="6">
        <v>0.58232010461428585</v>
      </c>
      <c r="K608" s="11">
        <v>0.58915546074444991</v>
      </c>
      <c r="L608" s="7">
        <v>80</v>
      </c>
      <c r="M608" s="7">
        <v>75</v>
      </c>
      <c r="N608" s="7">
        <v>73</v>
      </c>
      <c r="O608" s="7"/>
    </row>
    <row r="609" spans="2:15" x14ac:dyDescent="0.25">
      <c r="B609" s="3">
        <v>304</v>
      </c>
      <c r="C609" s="3" t="s">
        <v>613</v>
      </c>
      <c r="D609" s="3" t="s">
        <v>614</v>
      </c>
      <c r="E609" s="3" t="s">
        <v>707</v>
      </c>
      <c r="F609" s="3">
        <v>13602</v>
      </c>
      <c r="G609" s="3">
        <v>13</v>
      </c>
      <c r="H609" s="3">
        <v>0.435</v>
      </c>
      <c r="I609" s="6">
        <v>0.5125230497143487</v>
      </c>
      <c r="J609" s="6">
        <v>0.51851464718475415</v>
      </c>
      <c r="K609" s="11">
        <v>0.52618862061905991</v>
      </c>
      <c r="L609" s="7">
        <v>142</v>
      </c>
      <c r="M609" s="7">
        <v>140</v>
      </c>
      <c r="N609" s="7">
        <v>132</v>
      </c>
      <c r="O609" s="7"/>
    </row>
    <row r="610" spans="2:15" x14ac:dyDescent="0.25">
      <c r="B610" s="3">
        <v>305</v>
      </c>
      <c r="C610" s="3" t="s">
        <v>615</v>
      </c>
      <c r="D610" s="3" t="s">
        <v>616</v>
      </c>
      <c r="E610" s="3" t="s">
        <v>707</v>
      </c>
      <c r="F610" s="3">
        <v>13106</v>
      </c>
      <c r="G610" s="3">
        <v>13</v>
      </c>
      <c r="H610" s="3">
        <v>0.54400000000000004</v>
      </c>
      <c r="I610" s="6">
        <v>0.62974449196317439</v>
      </c>
      <c r="J610" s="6">
        <v>0.60436198990812406</v>
      </c>
      <c r="K610" s="11">
        <v>0.64052427970026482</v>
      </c>
      <c r="L610" s="7">
        <v>35</v>
      </c>
      <c r="M610" s="7">
        <v>56</v>
      </c>
      <c r="N610" s="7">
        <v>34</v>
      </c>
      <c r="O610" s="7"/>
    </row>
    <row r="611" spans="2:15" x14ac:dyDescent="0.25">
      <c r="B611" s="3">
        <v>306</v>
      </c>
      <c r="C611" s="3" t="s">
        <v>617</v>
      </c>
      <c r="D611" s="3" t="s">
        <v>618</v>
      </c>
      <c r="E611" s="3" t="s">
        <v>707</v>
      </c>
      <c r="F611" s="3">
        <v>13107</v>
      </c>
      <c r="G611" s="3">
        <v>13</v>
      </c>
      <c r="H611" s="3">
        <v>0.57099999999999995</v>
      </c>
      <c r="I611" s="6">
        <v>0.5901873693679589</v>
      </c>
      <c r="J611" s="6">
        <v>0.57419941003234543</v>
      </c>
      <c r="K611" s="11">
        <v>0.59223319800967644</v>
      </c>
      <c r="L611" s="7">
        <v>67</v>
      </c>
      <c r="M611" s="7">
        <v>88</v>
      </c>
      <c r="N611" s="7">
        <v>70</v>
      </c>
      <c r="O611" s="7"/>
    </row>
    <row r="612" spans="2:15" x14ac:dyDescent="0.25">
      <c r="B612" s="3">
        <v>307</v>
      </c>
      <c r="C612" s="3" t="s">
        <v>619</v>
      </c>
      <c r="D612" s="3" t="s">
        <v>620</v>
      </c>
      <c r="E612" s="3" t="s">
        <v>707</v>
      </c>
      <c r="F612" s="3">
        <v>13108</v>
      </c>
      <c r="G612" s="3">
        <v>13</v>
      </c>
      <c r="H612" s="3">
        <v>0.55800000000000005</v>
      </c>
      <c r="I612" s="6">
        <v>0.61928744449340278</v>
      </c>
      <c r="J612" s="6">
        <v>0.5799999061623029</v>
      </c>
      <c r="K612" s="11">
        <v>0.63272643178451871</v>
      </c>
      <c r="L612" s="7">
        <v>43</v>
      </c>
      <c r="M612" s="7">
        <v>77</v>
      </c>
      <c r="N612" s="7">
        <v>40</v>
      </c>
      <c r="O612" s="7"/>
    </row>
    <row r="613" spans="2:15" x14ac:dyDescent="0.25">
      <c r="B613" s="3">
        <v>308</v>
      </c>
      <c r="C613" s="3" t="s">
        <v>621</v>
      </c>
      <c r="D613" s="3" t="s">
        <v>622</v>
      </c>
      <c r="E613" s="3" t="s">
        <v>707</v>
      </c>
      <c r="F613" s="3">
        <v>13603</v>
      </c>
      <c r="G613" s="3">
        <v>13</v>
      </c>
      <c r="H613" s="3">
        <v>0.43</v>
      </c>
      <c r="I613" s="6">
        <v>0.48976668898343884</v>
      </c>
      <c r="J613" s="6">
        <v>0.46515008278914582</v>
      </c>
      <c r="K613" s="11">
        <v>0.46564056018278549</v>
      </c>
      <c r="L613" s="7">
        <v>176</v>
      </c>
      <c r="M613" s="7">
        <v>196</v>
      </c>
      <c r="N613" s="7">
        <v>199</v>
      </c>
      <c r="O613" s="7"/>
    </row>
    <row r="614" spans="2:15" x14ac:dyDescent="0.25">
      <c r="B614" s="3">
        <v>309</v>
      </c>
      <c r="C614" s="3" t="s">
        <v>623</v>
      </c>
      <c r="D614" s="3" t="s">
        <v>624</v>
      </c>
      <c r="E614" s="3" t="s">
        <v>707</v>
      </c>
      <c r="F614" s="3">
        <v>13109</v>
      </c>
      <c r="G614" s="3">
        <v>13</v>
      </c>
      <c r="H614" s="3">
        <v>0.55500000000000005</v>
      </c>
      <c r="I614" s="6">
        <v>0.66799287855400014</v>
      </c>
      <c r="J614" s="6">
        <v>0.6983300272134344</v>
      </c>
      <c r="K614" s="11">
        <v>0.66820385220387923</v>
      </c>
      <c r="L614" s="7">
        <v>20</v>
      </c>
      <c r="M614" s="7">
        <v>13</v>
      </c>
      <c r="N614" s="7">
        <v>19</v>
      </c>
      <c r="O614" s="7"/>
    </row>
    <row r="615" spans="2:15" x14ac:dyDescent="0.25">
      <c r="B615" s="3">
        <v>310</v>
      </c>
      <c r="C615" s="3" t="s">
        <v>625</v>
      </c>
      <c r="D615" s="3" t="s">
        <v>626</v>
      </c>
      <c r="E615" s="3" t="s">
        <v>707</v>
      </c>
      <c r="F615" s="3">
        <v>13110</v>
      </c>
      <c r="G615" s="3">
        <v>13</v>
      </c>
      <c r="H615" s="3">
        <v>0.56000000000000005</v>
      </c>
      <c r="I615" s="6">
        <v>0.64491777383282556</v>
      </c>
      <c r="J615" s="6">
        <v>0.64844576049580049</v>
      </c>
      <c r="K615" s="11">
        <v>0.65260818716616631</v>
      </c>
      <c r="L615" s="7">
        <v>26</v>
      </c>
      <c r="M615" s="7">
        <v>28</v>
      </c>
      <c r="N615" s="7">
        <v>27</v>
      </c>
      <c r="O615" s="7"/>
    </row>
    <row r="616" spans="2:15" x14ac:dyDescent="0.25">
      <c r="B616" s="3">
        <v>311</v>
      </c>
      <c r="C616" s="3" t="s">
        <v>627</v>
      </c>
      <c r="D616" s="3" t="s">
        <v>628</v>
      </c>
      <c r="E616" s="3" t="s">
        <v>707</v>
      </c>
      <c r="F616" s="3">
        <v>13111</v>
      </c>
      <c r="G616" s="3">
        <v>13</v>
      </c>
      <c r="H616" s="3">
        <v>0.59399999999999997</v>
      </c>
      <c r="I616" s="6">
        <v>0.56460069417045489</v>
      </c>
      <c r="J616" s="6">
        <v>0.57187921158036248</v>
      </c>
      <c r="K616" s="11">
        <v>0.57294585538954967</v>
      </c>
      <c r="L616" s="7">
        <v>100</v>
      </c>
      <c r="M616" s="7">
        <v>93</v>
      </c>
      <c r="N616" s="7">
        <v>91</v>
      </c>
      <c r="O616" s="7"/>
    </row>
    <row r="617" spans="2:15" x14ac:dyDescent="0.25">
      <c r="B617" s="3">
        <v>312</v>
      </c>
      <c r="C617" s="3" t="s">
        <v>629</v>
      </c>
      <c r="D617" s="3" t="s">
        <v>630</v>
      </c>
      <c r="E617" s="3" t="s">
        <v>707</v>
      </c>
      <c r="F617" s="3">
        <v>13112</v>
      </c>
      <c r="G617" s="3">
        <v>13</v>
      </c>
      <c r="H617" s="3">
        <v>0.51300000000000001</v>
      </c>
      <c r="I617" s="6">
        <v>0.42696441555861347</v>
      </c>
      <c r="J617" s="6">
        <v>0.43730770136535019</v>
      </c>
      <c r="K617" s="11">
        <v>0.43962960617779534</v>
      </c>
      <c r="L617" s="7">
        <v>246</v>
      </c>
      <c r="M617" s="7">
        <v>233</v>
      </c>
      <c r="N617" s="7">
        <v>234</v>
      </c>
      <c r="O617" s="7"/>
    </row>
    <row r="618" spans="2:15" x14ac:dyDescent="0.25">
      <c r="B618" s="3">
        <v>313</v>
      </c>
      <c r="C618" s="3" t="s">
        <v>631</v>
      </c>
      <c r="D618" s="3" t="s">
        <v>632</v>
      </c>
      <c r="E618" s="3" t="s">
        <v>707</v>
      </c>
      <c r="F618" s="3">
        <v>13113</v>
      </c>
      <c r="G618" s="3">
        <v>13</v>
      </c>
      <c r="H618" s="3">
        <v>0.61399999999999999</v>
      </c>
      <c r="I618" s="6">
        <v>0.6437194329513245</v>
      </c>
      <c r="J618" s="6">
        <v>0.64844576049580049</v>
      </c>
      <c r="K618" s="11">
        <v>0.65937127324772626</v>
      </c>
      <c r="L618" s="7">
        <v>30</v>
      </c>
      <c r="M618" s="7">
        <v>27</v>
      </c>
      <c r="N618" s="7">
        <v>22</v>
      </c>
      <c r="O618" s="7"/>
    </row>
    <row r="619" spans="2:15" x14ac:dyDescent="0.25">
      <c r="B619" s="3">
        <v>314</v>
      </c>
      <c r="C619" s="3" t="s">
        <v>633</v>
      </c>
      <c r="D619" s="3" t="s">
        <v>634</v>
      </c>
      <c r="E619" s="3" t="s">
        <v>707</v>
      </c>
      <c r="F619" s="3">
        <v>13302</v>
      </c>
      <c r="G619" s="3">
        <v>13</v>
      </c>
      <c r="H619" s="3">
        <v>0.48899999999999999</v>
      </c>
      <c r="I619" s="6">
        <v>0.50274075872657065</v>
      </c>
      <c r="J619" s="6">
        <v>0.5254752425407031</v>
      </c>
      <c r="K619" s="11">
        <v>0.50695470489995487</v>
      </c>
      <c r="L619" s="7">
        <v>160</v>
      </c>
      <c r="M619" s="7">
        <v>133</v>
      </c>
      <c r="N619" s="7">
        <v>151</v>
      </c>
      <c r="O619" s="7"/>
    </row>
    <row r="620" spans="2:15" x14ac:dyDescent="0.25">
      <c r="B620" s="3">
        <v>315</v>
      </c>
      <c r="C620" s="3" t="s">
        <v>635</v>
      </c>
      <c r="D620" s="3" t="s">
        <v>636</v>
      </c>
      <c r="E620" s="3" t="s">
        <v>707</v>
      </c>
      <c r="F620" s="3">
        <v>13114</v>
      </c>
      <c r="G620" s="3">
        <v>13</v>
      </c>
      <c r="H620" s="3">
        <v>0.69</v>
      </c>
      <c r="I620" s="6">
        <v>0.71938869954370976</v>
      </c>
      <c r="J620" s="6">
        <v>0.70877092024735777</v>
      </c>
      <c r="K620" s="11">
        <v>0.73613334816416742</v>
      </c>
      <c r="L620" s="7">
        <v>6</v>
      </c>
      <c r="M620" s="7">
        <v>9</v>
      </c>
      <c r="N620" s="7">
        <v>6</v>
      </c>
      <c r="O620" s="7"/>
    </row>
    <row r="621" spans="2:15" x14ac:dyDescent="0.25">
      <c r="B621" s="3">
        <v>316</v>
      </c>
      <c r="C621" s="3" t="s">
        <v>637</v>
      </c>
      <c r="D621" s="3" t="s">
        <v>638</v>
      </c>
      <c r="E621" s="3" t="s">
        <v>707</v>
      </c>
      <c r="F621" s="3">
        <v>13115</v>
      </c>
      <c r="G621" s="3">
        <v>13</v>
      </c>
      <c r="H621" s="3">
        <v>0.59</v>
      </c>
      <c r="I621" s="6">
        <v>0.58298777258336365</v>
      </c>
      <c r="J621" s="6">
        <v>0.57303931080635395</v>
      </c>
      <c r="K621" s="11">
        <v>0.59164979195987888</v>
      </c>
      <c r="L621" s="7">
        <v>74</v>
      </c>
      <c r="M621" s="7">
        <v>91</v>
      </c>
      <c r="N621" s="7">
        <v>71</v>
      </c>
      <c r="O621" s="7"/>
    </row>
    <row r="622" spans="2:15" x14ac:dyDescent="0.25">
      <c r="B622" s="3">
        <v>317</v>
      </c>
      <c r="C622" s="3" t="s">
        <v>639</v>
      </c>
      <c r="D622" s="3" t="s">
        <v>640</v>
      </c>
      <c r="E622" s="3" t="s">
        <v>707</v>
      </c>
      <c r="F622" s="3">
        <v>13116</v>
      </c>
      <c r="G622" s="3">
        <v>13</v>
      </c>
      <c r="H622" s="3">
        <v>0.54</v>
      </c>
      <c r="I622" s="6">
        <v>0.51144073161712489</v>
      </c>
      <c r="J622" s="6">
        <v>0.50111315879488183</v>
      </c>
      <c r="K622" s="11">
        <v>0.51603791221663076</v>
      </c>
      <c r="L622" s="7">
        <v>147</v>
      </c>
      <c r="M622" s="7">
        <v>157</v>
      </c>
      <c r="N622" s="7">
        <v>139</v>
      </c>
      <c r="O622" s="7"/>
    </row>
    <row r="623" spans="2:15" x14ac:dyDescent="0.25">
      <c r="B623" s="3">
        <v>318</v>
      </c>
      <c r="C623" s="3" t="s">
        <v>641</v>
      </c>
      <c r="D623" s="3" t="s">
        <v>642</v>
      </c>
      <c r="E623" s="3" t="s">
        <v>707</v>
      </c>
      <c r="F623" s="3">
        <v>13117</v>
      </c>
      <c r="G623" s="3">
        <v>13</v>
      </c>
      <c r="H623" s="3">
        <v>0.48399999999999999</v>
      </c>
      <c r="I623" s="6">
        <v>0.57826530485146421</v>
      </c>
      <c r="J623" s="6">
        <v>0.57187921158036248</v>
      </c>
      <c r="K623" s="11">
        <v>0.58432377818768955</v>
      </c>
      <c r="L623" s="7">
        <v>79</v>
      </c>
      <c r="M623" s="7">
        <v>95</v>
      </c>
      <c r="N623" s="7">
        <v>82</v>
      </c>
      <c r="O623" s="7"/>
    </row>
    <row r="624" spans="2:15" x14ac:dyDescent="0.25">
      <c r="B624" s="3">
        <v>319</v>
      </c>
      <c r="C624" s="3" t="s">
        <v>643</v>
      </c>
      <c r="D624" s="3" t="s">
        <v>644</v>
      </c>
      <c r="E624" s="3" t="s">
        <v>707</v>
      </c>
      <c r="F624" s="3">
        <v>13118</v>
      </c>
      <c r="G624" s="3">
        <v>13</v>
      </c>
      <c r="H624" s="3">
        <v>0.55900000000000005</v>
      </c>
      <c r="I624" s="6">
        <v>0.67163127113696031</v>
      </c>
      <c r="J624" s="6">
        <v>0.67048764578963871</v>
      </c>
      <c r="K624" s="11">
        <v>0.68286054340401137</v>
      </c>
      <c r="L624" s="7">
        <v>19</v>
      </c>
      <c r="M624" s="7">
        <v>19</v>
      </c>
      <c r="N624" s="7">
        <v>15</v>
      </c>
      <c r="O624" s="7"/>
    </row>
    <row r="625" spans="2:15" x14ac:dyDescent="0.25">
      <c r="B625" s="3">
        <v>320</v>
      </c>
      <c r="C625" s="3" t="s">
        <v>645</v>
      </c>
      <c r="D625" s="3" t="s">
        <v>646</v>
      </c>
      <c r="E625" s="3" t="s">
        <v>707</v>
      </c>
      <c r="F625" s="3">
        <v>13119</v>
      </c>
      <c r="G625" s="3">
        <v>13</v>
      </c>
      <c r="H625" s="3">
        <v>0.54800000000000004</v>
      </c>
      <c r="I625" s="6">
        <v>0.62386182785412991</v>
      </c>
      <c r="J625" s="6">
        <v>0.61712308139403038</v>
      </c>
      <c r="K625" s="11">
        <v>0.64161490450820857</v>
      </c>
      <c r="L625" s="7">
        <v>41</v>
      </c>
      <c r="M625" s="7">
        <v>46</v>
      </c>
      <c r="N625" s="7">
        <v>33</v>
      </c>
      <c r="O625" s="7"/>
    </row>
    <row r="626" spans="2:15" x14ac:dyDescent="0.25">
      <c r="B626" s="3">
        <v>321</v>
      </c>
      <c r="C626" s="3" t="s">
        <v>647</v>
      </c>
      <c r="D626" s="3" t="s">
        <v>648</v>
      </c>
      <c r="E626" s="3" t="s">
        <v>707</v>
      </c>
      <c r="F626" s="3">
        <v>13504</v>
      </c>
      <c r="G626" s="3">
        <v>13</v>
      </c>
      <c r="H626" s="3">
        <v>0.40699999999999997</v>
      </c>
      <c r="I626" s="6">
        <v>0.52555855097940785</v>
      </c>
      <c r="J626" s="6">
        <v>0.3572608547719377</v>
      </c>
      <c r="K626" s="11">
        <v>0.35822287402248248</v>
      </c>
      <c r="L626" s="7">
        <v>130</v>
      </c>
      <c r="M626" s="7">
        <v>334</v>
      </c>
      <c r="N626" s="7">
        <v>338</v>
      </c>
      <c r="O626" s="7"/>
    </row>
    <row r="627" spans="2:15" x14ac:dyDescent="0.25">
      <c r="B627" s="3">
        <v>322</v>
      </c>
      <c r="C627" s="3" t="s">
        <v>649</v>
      </c>
      <c r="D627" s="3" t="s">
        <v>650</v>
      </c>
      <c r="E627" s="3" t="s">
        <v>707</v>
      </c>
      <c r="F627" s="3">
        <v>13501</v>
      </c>
      <c r="G627" s="3">
        <v>13</v>
      </c>
      <c r="H627" s="3">
        <v>0.54300000000000004</v>
      </c>
      <c r="I627" s="6">
        <v>0.47446414435431344</v>
      </c>
      <c r="J627" s="6">
        <v>0.48023137272703514</v>
      </c>
      <c r="K627" s="11">
        <v>0.4831790605525248</v>
      </c>
      <c r="L627" s="7">
        <v>195</v>
      </c>
      <c r="M627" s="7">
        <v>186</v>
      </c>
      <c r="N627" s="7">
        <v>182</v>
      </c>
      <c r="O627" s="7"/>
    </row>
    <row r="628" spans="2:15" x14ac:dyDescent="0.25">
      <c r="B628" s="3">
        <v>323</v>
      </c>
      <c r="C628" s="3" t="s">
        <v>651</v>
      </c>
      <c r="D628" s="3" t="s">
        <v>652</v>
      </c>
      <c r="E628" s="3" t="s">
        <v>707</v>
      </c>
      <c r="F628" s="3">
        <v>13120</v>
      </c>
      <c r="G628" s="3">
        <v>13</v>
      </c>
      <c r="H628" s="3">
        <v>0.63100000000000001</v>
      </c>
      <c r="I628" s="6">
        <v>0.76160421282651725</v>
      </c>
      <c r="J628" s="6">
        <v>0.76097538541697451</v>
      </c>
      <c r="K628" s="11">
        <v>0.76795917341092412</v>
      </c>
      <c r="L628" s="7">
        <v>4</v>
      </c>
      <c r="M628" s="7">
        <v>5</v>
      </c>
      <c r="N628" s="7">
        <v>3</v>
      </c>
      <c r="O628" s="7"/>
    </row>
    <row r="629" spans="2:15" x14ac:dyDescent="0.25">
      <c r="B629" s="3">
        <v>324</v>
      </c>
      <c r="C629" s="3" t="s">
        <v>653</v>
      </c>
      <c r="D629" s="3" t="s">
        <v>654</v>
      </c>
      <c r="E629" s="3" t="s">
        <v>707</v>
      </c>
      <c r="F629" s="3">
        <v>13604</v>
      </c>
      <c r="G629" s="3">
        <v>13</v>
      </c>
      <c r="H629" s="3">
        <v>0.56399999999999995</v>
      </c>
      <c r="I629" s="6">
        <v>0.5946674718824464</v>
      </c>
      <c r="J629" s="6">
        <v>0.62292357752398786</v>
      </c>
      <c r="K629" s="11">
        <v>0.60003127737696882</v>
      </c>
      <c r="L629" s="7">
        <v>60</v>
      </c>
      <c r="M629" s="7">
        <v>42</v>
      </c>
      <c r="N629" s="7">
        <v>64</v>
      </c>
      <c r="O629" s="7"/>
    </row>
    <row r="630" spans="2:15" x14ac:dyDescent="0.25">
      <c r="B630" s="3">
        <v>325</v>
      </c>
      <c r="C630" s="3" t="s">
        <v>655</v>
      </c>
      <c r="D630" s="3" t="s">
        <v>656</v>
      </c>
      <c r="E630" s="3" t="s">
        <v>707</v>
      </c>
      <c r="F630" s="3">
        <v>13404</v>
      </c>
      <c r="G630" s="3">
        <v>13</v>
      </c>
      <c r="H630" s="3">
        <v>0.47699999999999998</v>
      </c>
      <c r="I630" s="6">
        <v>0.43663107324063</v>
      </c>
      <c r="J630" s="6">
        <v>0.43498750291336724</v>
      </c>
      <c r="K630" s="11">
        <v>0.44023789057429252</v>
      </c>
      <c r="L630" s="7">
        <v>237</v>
      </c>
      <c r="M630" s="7">
        <v>235</v>
      </c>
      <c r="N630" s="7">
        <v>232</v>
      </c>
      <c r="O630" s="7"/>
    </row>
    <row r="631" spans="2:15" x14ac:dyDescent="0.25">
      <c r="B631" s="3">
        <v>326</v>
      </c>
      <c r="C631" s="3" t="s">
        <v>657</v>
      </c>
      <c r="D631" s="3" t="s">
        <v>658</v>
      </c>
      <c r="E631" s="3" t="s">
        <v>707</v>
      </c>
      <c r="F631" s="3">
        <v>13121</v>
      </c>
      <c r="G631" s="3">
        <v>13</v>
      </c>
      <c r="H631" s="3">
        <v>0.60799999999999998</v>
      </c>
      <c r="I631" s="6">
        <v>0.5785671834151348</v>
      </c>
      <c r="J631" s="6">
        <v>0.57883980693631143</v>
      </c>
      <c r="K631" s="11">
        <v>0.58570460847680117</v>
      </c>
      <c r="L631" s="7">
        <v>78</v>
      </c>
      <c r="M631" s="7">
        <v>81</v>
      </c>
      <c r="N631" s="7">
        <v>80</v>
      </c>
      <c r="O631" s="7"/>
    </row>
    <row r="632" spans="2:15" x14ac:dyDescent="0.25">
      <c r="B632" s="3">
        <v>327</v>
      </c>
      <c r="C632" s="3" t="s">
        <v>659</v>
      </c>
      <c r="D632" s="3" t="s">
        <v>660</v>
      </c>
      <c r="E632" s="3" t="s">
        <v>707</v>
      </c>
      <c r="F632" s="3">
        <v>13605</v>
      </c>
      <c r="G632" s="3">
        <v>13</v>
      </c>
      <c r="H632" s="3">
        <v>0.58299999999999996</v>
      </c>
      <c r="I632" s="6">
        <v>0.57752998649144527</v>
      </c>
      <c r="J632" s="6">
        <v>0.57883980693631143</v>
      </c>
      <c r="K632" s="11">
        <v>0.58958669437724098</v>
      </c>
      <c r="L632" s="7">
        <v>81</v>
      </c>
      <c r="M632" s="7">
        <v>82</v>
      </c>
      <c r="N632" s="7">
        <v>72</v>
      </c>
      <c r="O632" s="7"/>
    </row>
    <row r="633" spans="2:15" x14ac:dyDescent="0.25">
      <c r="B633" s="3">
        <v>328</v>
      </c>
      <c r="C633" s="3" t="s">
        <v>661</v>
      </c>
      <c r="D633" s="3" t="s">
        <v>662</v>
      </c>
      <c r="E633" s="3" t="s">
        <v>707</v>
      </c>
      <c r="F633" s="3">
        <v>13122</v>
      </c>
      <c r="G633" s="3">
        <v>13</v>
      </c>
      <c r="H633" s="3">
        <v>0.55200000000000005</v>
      </c>
      <c r="I633" s="6">
        <v>0.5709109419052647</v>
      </c>
      <c r="J633" s="6">
        <v>0.56607871545040511</v>
      </c>
      <c r="K633" s="11">
        <v>0.58299366719494616</v>
      </c>
      <c r="L633" s="7">
        <v>88</v>
      </c>
      <c r="M633" s="7">
        <v>98</v>
      </c>
      <c r="N633" s="7">
        <v>85</v>
      </c>
      <c r="O633" s="7"/>
    </row>
    <row r="634" spans="2:15" x14ac:dyDescent="0.25">
      <c r="B634" s="3">
        <v>329</v>
      </c>
      <c r="C634" s="3" t="s">
        <v>663</v>
      </c>
      <c r="D634" s="3" t="s">
        <v>664</v>
      </c>
      <c r="E634" s="3" t="s">
        <v>707</v>
      </c>
      <c r="F634" s="3">
        <v>13202</v>
      </c>
      <c r="G634" s="3">
        <v>13</v>
      </c>
      <c r="H634" s="3">
        <v>0.45100000000000001</v>
      </c>
      <c r="I634" s="6">
        <v>0.44141567926528291</v>
      </c>
      <c r="J634" s="6">
        <v>0.43730770136535019</v>
      </c>
      <c r="K634" s="11">
        <v>0.44359336379237763</v>
      </c>
      <c r="L634" s="7">
        <v>232</v>
      </c>
      <c r="M634" s="7">
        <v>232</v>
      </c>
      <c r="N634" s="7">
        <v>228</v>
      </c>
      <c r="O634" s="7"/>
    </row>
    <row r="635" spans="2:15" x14ac:dyDescent="0.25">
      <c r="B635" s="3">
        <v>330</v>
      </c>
      <c r="C635" s="3" t="s">
        <v>665</v>
      </c>
      <c r="D635" s="3" t="s">
        <v>666</v>
      </c>
      <c r="E635" s="3" t="s">
        <v>707</v>
      </c>
      <c r="F635" s="3">
        <v>13123</v>
      </c>
      <c r="G635" s="3">
        <v>13</v>
      </c>
      <c r="H635" s="3">
        <v>0.63</v>
      </c>
      <c r="I635" s="6">
        <v>0.77762332234261078</v>
      </c>
      <c r="J635" s="6">
        <v>0.77489657612887242</v>
      </c>
      <c r="K635" s="11">
        <v>0.79889195896415055</v>
      </c>
      <c r="L635" s="7">
        <v>3</v>
      </c>
      <c r="M635" s="7">
        <v>3</v>
      </c>
      <c r="N635" s="7">
        <v>1</v>
      </c>
      <c r="O635" s="7"/>
    </row>
    <row r="636" spans="2:15" x14ac:dyDescent="0.25">
      <c r="B636" s="3">
        <v>331</v>
      </c>
      <c r="C636" s="3" t="s">
        <v>667</v>
      </c>
      <c r="D636" s="3" t="s">
        <v>668</v>
      </c>
      <c r="E636" s="3" t="s">
        <v>707</v>
      </c>
      <c r="F636" s="3">
        <v>13124</v>
      </c>
      <c r="G636" s="3">
        <v>13</v>
      </c>
      <c r="H636" s="3">
        <v>0.54900000000000004</v>
      </c>
      <c r="I636" s="6">
        <v>0.5938181838879838</v>
      </c>
      <c r="J636" s="6">
        <v>0.58812060074424333</v>
      </c>
      <c r="K636" s="11">
        <v>0.60494429862066945</v>
      </c>
      <c r="L636" s="7">
        <v>62</v>
      </c>
      <c r="M636" s="7">
        <v>67</v>
      </c>
      <c r="N636" s="7">
        <v>57</v>
      </c>
      <c r="O636" s="7"/>
    </row>
    <row r="637" spans="2:15" x14ac:dyDescent="0.25">
      <c r="B637" s="3">
        <v>332</v>
      </c>
      <c r="C637" s="3" t="s">
        <v>669</v>
      </c>
      <c r="D637" s="3" t="s">
        <v>670</v>
      </c>
      <c r="E637" s="3" t="s">
        <v>707</v>
      </c>
      <c r="F637" s="3">
        <v>13201</v>
      </c>
      <c r="G637" s="3">
        <v>13</v>
      </c>
      <c r="H637" s="3">
        <v>0.57499999999999996</v>
      </c>
      <c r="I637" s="6">
        <v>0.59315013056388388</v>
      </c>
      <c r="J637" s="6">
        <v>0.5846403030662688</v>
      </c>
      <c r="K637" s="11">
        <v>0.6075319174037509</v>
      </c>
      <c r="L637" s="7">
        <v>63</v>
      </c>
      <c r="M637" s="7">
        <v>73</v>
      </c>
      <c r="N637" s="7">
        <v>55</v>
      </c>
      <c r="O637" s="7"/>
    </row>
    <row r="638" spans="2:15" x14ac:dyDescent="0.25">
      <c r="B638" s="3">
        <v>333</v>
      </c>
      <c r="C638" s="3" t="s">
        <v>671</v>
      </c>
      <c r="D638" s="3" t="s">
        <v>672</v>
      </c>
      <c r="E638" s="3" t="s">
        <v>707</v>
      </c>
      <c r="F638" s="3">
        <v>13125</v>
      </c>
      <c r="G638" s="3">
        <v>13</v>
      </c>
      <c r="H638" s="3">
        <v>0.54200000000000004</v>
      </c>
      <c r="I638" s="6">
        <v>0.57578707372954552</v>
      </c>
      <c r="J638" s="6">
        <v>0.53823633402660942</v>
      </c>
      <c r="K638" s="11">
        <v>0.58643800157146198</v>
      </c>
      <c r="L638" s="7">
        <v>83</v>
      </c>
      <c r="M638" s="7">
        <v>123</v>
      </c>
      <c r="N638" s="7">
        <v>78</v>
      </c>
      <c r="O638" s="7"/>
    </row>
    <row r="639" spans="2:15" x14ac:dyDescent="0.25">
      <c r="B639" s="3">
        <v>334</v>
      </c>
      <c r="C639" s="3" t="s">
        <v>673</v>
      </c>
      <c r="D639" s="3" t="s">
        <v>674</v>
      </c>
      <c r="E639" s="3" t="s">
        <v>707</v>
      </c>
      <c r="F639" s="3">
        <v>13126</v>
      </c>
      <c r="G639" s="3">
        <v>13</v>
      </c>
      <c r="H639" s="3">
        <v>0.55800000000000005</v>
      </c>
      <c r="I639" s="6">
        <v>0.60238943026332137</v>
      </c>
      <c r="J639" s="6">
        <v>0.60900238681208996</v>
      </c>
      <c r="K639" s="11">
        <v>0.61472090476928609</v>
      </c>
      <c r="L639" s="7">
        <v>55</v>
      </c>
      <c r="M639" s="7">
        <v>52</v>
      </c>
      <c r="N639" s="7">
        <v>49</v>
      </c>
      <c r="O639" s="7"/>
    </row>
    <row r="640" spans="2:15" x14ac:dyDescent="0.25">
      <c r="B640" s="3">
        <v>335</v>
      </c>
      <c r="C640" s="3" t="s">
        <v>675</v>
      </c>
      <c r="D640" s="3" t="s">
        <v>676</v>
      </c>
      <c r="E640" s="3" t="s">
        <v>707</v>
      </c>
      <c r="F640" s="3">
        <v>13127</v>
      </c>
      <c r="G640" s="3">
        <v>13</v>
      </c>
      <c r="H640" s="3">
        <v>0.58799999999999997</v>
      </c>
      <c r="I640" s="6">
        <v>0.57539126908386096</v>
      </c>
      <c r="J640" s="6">
        <v>0.54867722706053279</v>
      </c>
      <c r="K640" s="11">
        <v>0.5881025974792663</v>
      </c>
      <c r="L640" s="7">
        <v>85</v>
      </c>
      <c r="M640" s="7">
        <v>112</v>
      </c>
      <c r="N640" s="7">
        <v>75</v>
      </c>
      <c r="O640" s="7"/>
    </row>
    <row r="641" spans="2:15" x14ac:dyDescent="0.25">
      <c r="B641" s="3">
        <v>336</v>
      </c>
      <c r="C641" s="3" t="s">
        <v>677</v>
      </c>
      <c r="D641" s="3" t="s">
        <v>678</v>
      </c>
      <c r="E641" s="3" t="s">
        <v>707</v>
      </c>
      <c r="F641" s="3">
        <v>13128</v>
      </c>
      <c r="G641" s="3">
        <v>13</v>
      </c>
      <c r="H641" s="3">
        <v>0.54600000000000004</v>
      </c>
      <c r="I641" s="6">
        <v>0.56091777743029403</v>
      </c>
      <c r="J641" s="6">
        <v>0.55679792164247321</v>
      </c>
      <c r="K641" s="11">
        <v>0.57017745861942426</v>
      </c>
      <c r="L641" s="7">
        <v>102</v>
      </c>
      <c r="M641" s="7">
        <v>104</v>
      </c>
      <c r="N641" s="7">
        <v>93</v>
      </c>
      <c r="O641" s="7"/>
    </row>
    <row r="642" spans="2:15" x14ac:dyDescent="0.25">
      <c r="B642" s="3">
        <v>337</v>
      </c>
      <c r="C642" s="3" t="s">
        <v>679</v>
      </c>
      <c r="D642" s="3" t="s">
        <v>680</v>
      </c>
      <c r="E642" s="3" t="s">
        <v>707</v>
      </c>
      <c r="F642" s="3">
        <v>13401</v>
      </c>
      <c r="G642" s="3">
        <v>13</v>
      </c>
      <c r="H642" s="3">
        <v>0.53900000000000003</v>
      </c>
      <c r="I642" s="6">
        <v>0.5534497606555222</v>
      </c>
      <c r="J642" s="6">
        <v>0.55447772319049027</v>
      </c>
      <c r="K642" s="11">
        <v>0.56721402669644339</v>
      </c>
      <c r="L642" s="7">
        <v>108</v>
      </c>
      <c r="M642" s="7">
        <v>105</v>
      </c>
      <c r="N642" s="7">
        <v>94</v>
      </c>
      <c r="O642" s="7"/>
    </row>
    <row r="643" spans="2:15" x14ac:dyDescent="0.25">
      <c r="B643" s="3">
        <v>338</v>
      </c>
      <c r="C643" s="3" t="s">
        <v>681</v>
      </c>
      <c r="D643" s="3" t="s">
        <v>682</v>
      </c>
      <c r="E643" s="3" t="s">
        <v>707</v>
      </c>
      <c r="F643" s="3">
        <v>13129</v>
      </c>
      <c r="G643" s="3">
        <v>13</v>
      </c>
      <c r="H643" s="3">
        <v>0.55600000000000005</v>
      </c>
      <c r="I643" s="6">
        <v>0.59111650666914239</v>
      </c>
      <c r="J643" s="6">
        <v>0.59740139455217522</v>
      </c>
      <c r="K643" s="11">
        <v>0.60093759714592632</v>
      </c>
      <c r="L643" s="7">
        <v>66</v>
      </c>
      <c r="M643" s="7">
        <v>60</v>
      </c>
      <c r="N643" s="7">
        <v>61</v>
      </c>
      <c r="O643" s="7"/>
    </row>
    <row r="644" spans="2:15" x14ac:dyDescent="0.25">
      <c r="B644" s="3">
        <v>339</v>
      </c>
      <c r="C644" s="3" t="s">
        <v>683</v>
      </c>
      <c r="D644" s="3" t="s">
        <v>684</v>
      </c>
      <c r="E644" s="3" t="s">
        <v>707</v>
      </c>
      <c r="F644" s="3">
        <v>13203</v>
      </c>
      <c r="G644" s="3">
        <v>13</v>
      </c>
      <c r="H644" s="3">
        <v>0.41099999999999998</v>
      </c>
      <c r="I644" s="6">
        <v>0.41687130524517346</v>
      </c>
      <c r="J644" s="6">
        <v>0.40946531994155455</v>
      </c>
      <c r="K644" s="11">
        <v>0.41401022661543396</v>
      </c>
      <c r="L644" s="7">
        <v>258</v>
      </c>
      <c r="M644" s="7">
        <v>265</v>
      </c>
      <c r="N644" s="7">
        <v>254</v>
      </c>
      <c r="O644" s="7"/>
    </row>
    <row r="645" spans="2:15" x14ac:dyDescent="0.25">
      <c r="B645" s="3">
        <v>340</v>
      </c>
      <c r="C645" s="3" t="s">
        <v>685</v>
      </c>
      <c r="D645" s="3" t="s">
        <v>686</v>
      </c>
      <c r="E645" s="3" t="s">
        <v>707</v>
      </c>
      <c r="F645" s="3">
        <v>13130</v>
      </c>
      <c r="G645" s="3">
        <v>13</v>
      </c>
      <c r="H645" s="3">
        <v>0.59599999999999997</v>
      </c>
      <c r="I645" s="6">
        <v>0.70108564698082754</v>
      </c>
      <c r="J645" s="6">
        <v>0.77025617922490652</v>
      </c>
      <c r="K645" s="11">
        <v>0.71871238378155389</v>
      </c>
      <c r="L645" s="7">
        <v>11</v>
      </c>
      <c r="M645" s="7">
        <v>4</v>
      </c>
      <c r="N645" s="7">
        <v>8</v>
      </c>
      <c r="O645" s="7"/>
    </row>
    <row r="646" spans="2:15" x14ac:dyDescent="0.25">
      <c r="B646" s="3">
        <v>341</v>
      </c>
      <c r="C646" s="3" t="s">
        <v>687</v>
      </c>
      <c r="D646" s="3" t="s">
        <v>688</v>
      </c>
      <c r="E646" s="3" t="s">
        <v>707</v>
      </c>
      <c r="F646" s="3">
        <v>13505</v>
      </c>
      <c r="G646" s="3">
        <v>13</v>
      </c>
      <c r="H646" s="3">
        <v>0.41899999999999998</v>
      </c>
      <c r="I646" s="6">
        <v>0.37929782275270946</v>
      </c>
      <c r="J646" s="6">
        <v>0.38046283929176744</v>
      </c>
      <c r="K646" s="11">
        <v>0.38498748822988571</v>
      </c>
      <c r="L646" s="7">
        <v>310</v>
      </c>
      <c r="M646" s="7">
        <v>303</v>
      </c>
      <c r="N646" s="7">
        <v>304</v>
      </c>
      <c r="O646" s="7"/>
    </row>
    <row r="647" spans="2:15" x14ac:dyDescent="0.25">
      <c r="B647" s="3">
        <v>342</v>
      </c>
      <c r="C647" s="3" t="s">
        <v>689</v>
      </c>
      <c r="D647" s="3" t="s">
        <v>690</v>
      </c>
      <c r="E647" s="3" t="s">
        <v>707</v>
      </c>
      <c r="F647" s="3">
        <v>13131</v>
      </c>
      <c r="G647" s="3">
        <v>13</v>
      </c>
      <c r="H647" s="3">
        <v>0.54600000000000004</v>
      </c>
      <c r="I647" s="6">
        <v>0.52887157145990382</v>
      </c>
      <c r="J647" s="6">
        <v>0.52895554021867752</v>
      </c>
      <c r="K647" s="11">
        <v>0.53689441158139084</v>
      </c>
      <c r="L647" s="7">
        <v>129</v>
      </c>
      <c r="M647" s="7">
        <v>128</v>
      </c>
      <c r="N647" s="7">
        <v>119</v>
      </c>
      <c r="O647" s="7"/>
    </row>
    <row r="648" spans="2:15" x14ac:dyDescent="0.25">
      <c r="B648" s="3">
        <v>343</v>
      </c>
      <c r="C648" s="3" t="s">
        <v>691</v>
      </c>
      <c r="D648" s="3" t="s">
        <v>692</v>
      </c>
      <c r="E648" s="3" t="s">
        <v>707</v>
      </c>
      <c r="F648" s="3">
        <v>13101</v>
      </c>
      <c r="G648" s="3">
        <v>13</v>
      </c>
      <c r="H648" s="3">
        <v>0.56000000000000005</v>
      </c>
      <c r="I648" s="6">
        <v>0.68407310429810353</v>
      </c>
      <c r="J648" s="6">
        <v>0.65540635585174944</v>
      </c>
      <c r="K648" s="11">
        <v>0.70023413800124357</v>
      </c>
      <c r="L648" s="7">
        <v>12</v>
      </c>
      <c r="M648" s="7">
        <v>23</v>
      </c>
      <c r="N648" s="7">
        <v>11</v>
      </c>
      <c r="O648" s="7"/>
    </row>
    <row r="649" spans="2:15" x14ac:dyDescent="0.25">
      <c r="B649" s="3">
        <v>344</v>
      </c>
      <c r="C649" s="3" t="s">
        <v>693</v>
      </c>
      <c r="D649" s="3" t="s">
        <v>694</v>
      </c>
      <c r="E649" s="3" t="s">
        <v>707</v>
      </c>
      <c r="F649" s="3">
        <v>13601</v>
      </c>
      <c r="G649" s="3">
        <v>13</v>
      </c>
      <c r="H649" s="3">
        <v>0.51900000000000002</v>
      </c>
      <c r="I649" s="6">
        <v>0.53773793953460913</v>
      </c>
      <c r="J649" s="6">
        <v>0.54055653247859237</v>
      </c>
      <c r="K649" s="11">
        <v>0.5484955588578051</v>
      </c>
      <c r="L649" s="7">
        <v>119</v>
      </c>
      <c r="M649" s="7">
        <v>121</v>
      </c>
      <c r="N649" s="7">
        <v>113</v>
      </c>
      <c r="O649" s="7"/>
    </row>
    <row r="650" spans="2:15" x14ac:dyDescent="0.25">
      <c r="B650" s="3">
        <v>345</v>
      </c>
      <c r="C650" s="3" t="s">
        <v>695</v>
      </c>
      <c r="D650" s="3" t="s">
        <v>696</v>
      </c>
      <c r="E650" s="3" t="s">
        <v>707</v>
      </c>
      <c r="F650" s="3">
        <v>13303</v>
      </c>
      <c r="G650" s="3">
        <v>13</v>
      </c>
      <c r="H650" s="3">
        <v>0.39400000000000002</v>
      </c>
      <c r="I650" s="6">
        <v>0.50894978470785068</v>
      </c>
      <c r="J650" s="6">
        <v>0.48835206730897557</v>
      </c>
      <c r="K650" s="11">
        <v>0.49729018135636527</v>
      </c>
      <c r="L650" s="7">
        <v>153</v>
      </c>
      <c r="M650" s="7">
        <v>176</v>
      </c>
      <c r="N650" s="7">
        <v>165</v>
      </c>
      <c r="O650" s="7"/>
    </row>
    <row r="651" spans="2:15" x14ac:dyDescent="0.25">
      <c r="B651" s="3">
        <v>346</v>
      </c>
      <c r="C651" s="3" t="s">
        <v>697</v>
      </c>
      <c r="D651" s="3" t="s">
        <v>698</v>
      </c>
      <c r="E651" s="3" t="s">
        <v>707</v>
      </c>
      <c r="F651" s="3">
        <v>13132</v>
      </c>
      <c r="G651" s="3">
        <v>13</v>
      </c>
      <c r="H651" s="3">
        <v>0.63700000000000001</v>
      </c>
      <c r="I651" s="6">
        <v>0.70304426562088351</v>
      </c>
      <c r="J651" s="6">
        <v>0.69949012643942587</v>
      </c>
      <c r="K651" s="11">
        <v>0.71787961708093251</v>
      </c>
      <c r="L651" s="7">
        <v>9</v>
      </c>
      <c r="M651" s="7">
        <v>12</v>
      </c>
      <c r="N651" s="7">
        <v>9</v>
      </c>
      <c r="O651" s="7"/>
    </row>
  </sheetData>
  <autoFilter ref="B3:O348" xr:uid="{5A4CD44D-8068-4D5B-B5DD-04A4FE0716F8}">
    <sortState xmlns:xlrd2="http://schemas.microsoft.com/office/spreadsheetml/2017/richdata2" ref="B4:O348">
      <sortCondition ref="I4:I348"/>
    </sortState>
  </autoFilter>
  <sortState xmlns:xlrd2="http://schemas.microsoft.com/office/spreadsheetml/2017/richdata2" ref="B4:N348">
    <sortCondition ref="L4:L348"/>
  </sortState>
  <mergeCells count="8">
    <mergeCell ref="Q19:Q20"/>
    <mergeCell ref="R19:R20"/>
    <mergeCell ref="S19:S20"/>
    <mergeCell ref="T19:T20"/>
    <mergeCell ref="Q32:Q33"/>
    <mergeCell ref="R32:R33"/>
    <mergeCell ref="S32:S33"/>
    <mergeCell ref="T32:T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IDC_Conectividad</vt:lpstr>
      <vt:lpstr>IDC_Conectividad_Total</vt:lpstr>
      <vt:lpstr>Ajuste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Solis Valdés</dc:creator>
  <cp:lastModifiedBy>JOAQUIN ROZAS BUGUEÑO</cp:lastModifiedBy>
  <dcterms:created xsi:type="dcterms:W3CDTF">2025-06-17T10:45:59Z</dcterms:created>
  <dcterms:modified xsi:type="dcterms:W3CDTF">2025-08-06T10:20:28Z</dcterms:modified>
</cp:coreProperties>
</file>